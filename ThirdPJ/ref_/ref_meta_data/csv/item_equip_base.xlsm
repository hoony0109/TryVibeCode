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Laghaim_M\01_Root Data_xlsm\"/>
    </mc:Choice>
  </mc:AlternateContent>
  <xr:revisionPtr revIDLastSave="0" documentId="13_ncr:1_{16A5C607-AF75-4017-8E12-92CB4F875221}" xr6:coauthVersionLast="47" xr6:coauthVersionMax="47" xr10:uidLastSave="{00000000-0000-0000-0000-000000000000}"/>
  <bookViews>
    <workbookView xWindow="-120" yWindow="-120" windowWidth="29040" windowHeight="15840" xr2:uid="{638ED2BC-A205-4D2C-8EC7-3B9AAD5976A4}"/>
  </bookViews>
  <sheets>
    <sheet name="#칼럼명세" sheetId="1" r:id="rId1"/>
    <sheet name="#각종 참고" sheetId="4" r:id="rId2"/>
    <sheet name="item_equip_base" sheetId="5" r:id="rId3"/>
    <sheet name="#item_equip_base_원본" sheetId="3" r:id="rId4"/>
    <sheet name="#무게관련" sheetId="6" r:id="rId5"/>
    <sheet name="#status" sheetId="7" r:id="rId6"/>
    <sheet name="#enum" sheetId="8" r:id="rId7"/>
  </sheets>
  <definedNames>
    <definedName name="_xlnm._FilterDatabase" localSheetId="3" hidden="1">'#item_equip_base_원본'!$A$4:$CC$352</definedName>
    <definedName name="_xlnm._FilterDatabase" localSheetId="5" hidden="1">'#status'!$A$3:$N$3</definedName>
    <definedName name="_xlnm._FilterDatabase" localSheetId="2" hidden="1">item_equip_base!$A$4:$AP$709</definedName>
    <definedName name="_xleta.SWITCH" hidden="1" xlm="1">#NAME?</definedName>
    <definedName name="감정">'#enum'!$B$2:$F$56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4" i="5" l="1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474" i="5"/>
  <c r="J475" i="5"/>
  <c r="J476" i="5"/>
  <c r="J477" i="5"/>
  <c r="J478" i="5"/>
  <c r="J479" i="5"/>
  <c r="J480" i="5"/>
  <c r="J481" i="5"/>
  <c r="J482" i="5"/>
  <c r="J483" i="5"/>
  <c r="J484" i="5"/>
  <c r="J485" i="5"/>
  <c r="J486" i="5"/>
  <c r="J487" i="5"/>
  <c r="J488" i="5"/>
  <c r="J489" i="5"/>
  <c r="J490" i="5"/>
  <c r="J491" i="5"/>
  <c r="J492" i="5"/>
  <c r="J493" i="5"/>
  <c r="J494" i="5"/>
  <c r="J495" i="5"/>
  <c r="J496" i="5"/>
  <c r="J497" i="5"/>
  <c r="J498" i="5"/>
  <c r="J499" i="5"/>
  <c r="J500" i="5"/>
  <c r="J501" i="5"/>
  <c r="J502" i="5"/>
  <c r="J503" i="5"/>
  <c r="J504" i="5"/>
  <c r="J505" i="5"/>
  <c r="J506" i="5"/>
  <c r="J507" i="5"/>
  <c r="J508" i="5"/>
  <c r="J509" i="5"/>
  <c r="J510" i="5"/>
  <c r="J511" i="5"/>
  <c r="J512" i="5"/>
  <c r="J513" i="5"/>
  <c r="J514" i="5"/>
  <c r="J515" i="5"/>
  <c r="J516" i="5"/>
  <c r="J517" i="5"/>
  <c r="J518" i="5"/>
  <c r="J519" i="5"/>
  <c r="J520" i="5"/>
  <c r="J521" i="5"/>
  <c r="J522" i="5"/>
  <c r="J523" i="5"/>
  <c r="J524" i="5"/>
  <c r="J525" i="5"/>
  <c r="J526" i="5"/>
  <c r="J527" i="5"/>
  <c r="J528" i="5"/>
  <c r="J529" i="5"/>
  <c r="J530" i="5"/>
  <c r="J531" i="5"/>
  <c r="J532" i="5"/>
  <c r="J533" i="5"/>
  <c r="J534" i="5"/>
  <c r="J535" i="5"/>
  <c r="J536" i="5"/>
  <c r="J537" i="5"/>
  <c r="J538" i="5"/>
  <c r="J539" i="5"/>
  <c r="J540" i="5"/>
  <c r="J541" i="5"/>
  <c r="J542" i="5"/>
  <c r="J543" i="5"/>
  <c r="J544" i="5"/>
  <c r="J545" i="5"/>
  <c r="J546" i="5"/>
  <c r="J547" i="5"/>
  <c r="J548" i="5"/>
  <c r="J549" i="5"/>
  <c r="J550" i="5"/>
  <c r="J551" i="5"/>
  <c r="J552" i="5"/>
  <c r="J553" i="5"/>
  <c r="J554" i="5"/>
  <c r="J555" i="5"/>
  <c r="J556" i="5"/>
  <c r="J557" i="5"/>
  <c r="J558" i="5"/>
  <c r="J559" i="5"/>
  <c r="J560" i="5"/>
  <c r="J561" i="5"/>
  <c r="J562" i="5"/>
  <c r="J563" i="5"/>
  <c r="J564" i="5"/>
  <c r="J565" i="5"/>
  <c r="J566" i="5"/>
  <c r="J567" i="5"/>
  <c r="J568" i="5"/>
  <c r="J569" i="5"/>
  <c r="J570" i="5"/>
  <c r="J571" i="5"/>
  <c r="J572" i="5"/>
  <c r="J573" i="5"/>
  <c r="J574" i="5"/>
  <c r="J575" i="5"/>
  <c r="J576" i="5"/>
  <c r="J577" i="5"/>
  <c r="J578" i="5"/>
  <c r="J579" i="5"/>
  <c r="J580" i="5"/>
  <c r="J581" i="5"/>
  <c r="J582" i="5"/>
  <c r="J583" i="5"/>
  <c r="J584" i="5"/>
  <c r="J585" i="5"/>
  <c r="J586" i="5"/>
  <c r="J587" i="5"/>
  <c r="J588" i="5"/>
  <c r="J589" i="5"/>
  <c r="J590" i="5"/>
  <c r="J591" i="5"/>
  <c r="J592" i="5"/>
  <c r="J593" i="5"/>
  <c r="J594" i="5"/>
  <c r="J595" i="5"/>
  <c r="J596" i="5"/>
  <c r="J597" i="5"/>
  <c r="J598" i="5"/>
  <c r="J599" i="5"/>
  <c r="J600" i="5"/>
  <c r="J601" i="5"/>
  <c r="J602" i="5"/>
  <c r="J603" i="5"/>
  <c r="J604" i="5"/>
  <c r="J605" i="5"/>
  <c r="J606" i="5"/>
  <c r="J607" i="5"/>
  <c r="J608" i="5"/>
  <c r="J670" i="5" l="1"/>
  <c r="J671" i="5"/>
  <c r="J672" i="5"/>
  <c r="J673" i="5"/>
  <c r="J674" i="5"/>
  <c r="J675" i="5"/>
  <c r="J676" i="5"/>
  <c r="J677" i="5"/>
  <c r="J678" i="5"/>
  <c r="J679" i="5"/>
  <c r="J680" i="5"/>
  <c r="J681" i="5"/>
  <c r="J682" i="5"/>
  <c r="J683" i="5"/>
  <c r="J684" i="5"/>
  <c r="J685" i="5"/>
  <c r="J686" i="5"/>
  <c r="J687" i="5"/>
  <c r="J688" i="5"/>
  <c r="J689" i="5"/>
  <c r="J690" i="5"/>
  <c r="J691" i="5"/>
  <c r="J692" i="5"/>
  <c r="J693" i="5"/>
  <c r="J694" i="5"/>
  <c r="J695" i="5"/>
  <c r="J696" i="5"/>
  <c r="J697" i="5"/>
  <c r="J698" i="5"/>
  <c r="J699" i="5"/>
  <c r="J700" i="5"/>
  <c r="J669" i="5"/>
  <c r="AL608" i="5" l="1"/>
  <c r="AO608" i="5" s="1"/>
  <c r="C608" i="5"/>
  <c r="AL607" i="5"/>
  <c r="AO607" i="5" s="1"/>
  <c r="C607" i="5"/>
  <c r="AL605" i="5"/>
  <c r="AO605" i="5" s="1"/>
  <c r="C605" i="5"/>
  <c r="AL604" i="5"/>
  <c r="AO604" i="5" s="1"/>
  <c r="C604" i="5"/>
  <c r="AL602" i="5"/>
  <c r="AO602" i="5" s="1"/>
  <c r="C602" i="5"/>
  <c r="AL601" i="5"/>
  <c r="AO601" i="5" s="1"/>
  <c r="C601" i="5"/>
  <c r="AL599" i="5"/>
  <c r="AO599" i="5" s="1"/>
  <c r="C599" i="5"/>
  <c r="AL598" i="5"/>
  <c r="AO598" i="5" s="1"/>
  <c r="C598" i="5"/>
  <c r="AL596" i="5"/>
  <c r="AO596" i="5" s="1"/>
  <c r="C596" i="5"/>
  <c r="AL595" i="5"/>
  <c r="AO595" i="5" s="1"/>
  <c r="C595" i="5"/>
  <c r="AL593" i="5"/>
  <c r="AO593" i="5" s="1"/>
  <c r="C593" i="5"/>
  <c r="AL592" i="5"/>
  <c r="AO592" i="5" s="1"/>
  <c r="C592" i="5"/>
  <c r="AL590" i="5"/>
  <c r="AO590" i="5" s="1"/>
  <c r="C590" i="5"/>
  <c r="AL589" i="5"/>
  <c r="AO589" i="5" s="1"/>
  <c r="C589" i="5"/>
  <c r="AL587" i="5"/>
  <c r="AO587" i="5" s="1"/>
  <c r="C587" i="5"/>
  <c r="AL586" i="5"/>
  <c r="AO586" i="5" s="1"/>
  <c r="C586" i="5"/>
  <c r="AL584" i="5"/>
  <c r="AO584" i="5" s="1"/>
  <c r="C584" i="5"/>
  <c r="AL583" i="5"/>
  <c r="AO583" i="5" s="1"/>
  <c r="C583" i="5"/>
  <c r="AL581" i="5"/>
  <c r="AO581" i="5" s="1"/>
  <c r="C581" i="5"/>
  <c r="AL580" i="5"/>
  <c r="AO580" i="5" s="1"/>
  <c r="C580" i="5"/>
  <c r="AL578" i="5"/>
  <c r="AO578" i="5" s="1"/>
  <c r="C578" i="5"/>
  <c r="AL577" i="5"/>
  <c r="AO577" i="5" s="1"/>
  <c r="C577" i="5"/>
  <c r="AL575" i="5"/>
  <c r="AO575" i="5" s="1"/>
  <c r="C575" i="5"/>
  <c r="AL574" i="5"/>
  <c r="AO574" i="5" s="1"/>
  <c r="C574" i="5"/>
  <c r="AL572" i="5"/>
  <c r="AO572" i="5" s="1"/>
  <c r="C572" i="5"/>
  <c r="AL571" i="5"/>
  <c r="AO571" i="5" s="1"/>
  <c r="C571" i="5"/>
  <c r="AL569" i="5"/>
  <c r="AO569" i="5" s="1"/>
  <c r="C569" i="5"/>
  <c r="AL568" i="5"/>
  <c r="AO568" i="5" s="1"/>
  <c r="C568" i="5"/>
  <c r="AL566" i="5"/>
  <c r="AO566" i="5" s="1"/>
  <c r="C566" i="5"/>
  <c r="AL565" i="5"/>
  <c r="AO565" i="5" s="1"/>
  <c r="C565" i="5"/>
  <c r="AL563" i="5"/>
  <c r="AO563" i="5" s="1"/>
  <c r="C563" i="5"/>
  <c r="AL562" i="5"/>
  <c r="AO562" i="5" s="1"/>
  <c r="C562" i="5"/>
  <c r="AL560" i="5"/>
  <c r="AO560" i="5" s="1"/>
  <c r="C560" i="5"/>
  <c r="AL559" i="5"/>
  <c r="AO559" i="5" s="1"/>
  <c r="C559" i="5"/>
  <c r="AL557" i="5"/>
  <c r="AO557" i="5" s="1"/>
  <c r="C557" i="5"/>
  <c r="AL556" i="5"/>
  <c r="AO556" i="5" s="1"/>
  <c r="C556" i="5"/>
  <c r="AL554" i="5"/>
  <c r="AO554" i="5" s="1"/>
  <c r="C554" i="5"/>
  <c r="AL553" i="5"/>
  <c r="AO553" i="5" s="1"/>
  <c r="C553" i="5"/>
  <c r="AL551" i="5"/>
  <c r="AO551" i="5" s="1"/>
  <c r="C551" i="5"/>
  <c r="AL550" i="5"/>
  <c r="AO550" i="5" s="1"/>
  <c r="C550" i="5"/>
  <c r="AL548" i="5"/>
  <c r="AO548" i="5" s="1"/>
  <c r="C548" i="5"/>
  <c r="AL547" i="5"/>
  <c r="AO547" i="5" s="1"/>
  <c r="C547" i="5"/>
  <c r="AL545" i="5"/>
  <c r="AO545" i="5" s="1"/>
  <c r="C545" i="5"/>
  <c r="AL544" i="5"/>
  <c r="AO544" i="5" s="1"/>
  <c r="C544" i="5"/>
  <c r="AL542" i="5"/>
  <c r="AO542" i="5" s="1"/>
  <c r="C542" i="5"/>
  <c r="AL541" i="5"/>
  <c r="AO541" i="5" s="1"/>
  <c r="C541" i="5"/>
  <c r="AL539" i="5"/>
  <c r="AO539" i="5" s="1"/>
  <c r="C539" i="5"/>
  <c r="AL538" i="5"/>
  <c r="AO538" i="5" s="1"/>
  <c r="C538" i="5"/>
  <c r="AL536" i="5"/>
  <c r="AO536" i="5" s="1"/>
  <c r="C536" i="5"/>
  <c r="AL535" i="5"/>
  <c r="AO535" i="5" s="1"/>
  <c r="C535" i="5"/>
  <c r="AL533" i="5"/>
  <c r="AO533" i="5" s="1"/>
  <c r="C533" i="5"/>
  <c r="AL532" i="5"/>
  <c r="AO532" i="5" s="1"/>
  <c r="C532" i="5"/>
  <c r="AL530" i="5"/>
  <c r="AO530" i="5" s="1"/>
  <c r="C530" i="5"/>
  <c r="AL529" i="5"/>
  <c r="AO529" i="5" s="1"/>
  <c r="C529" i="5"/>
  <c r="AL527" i="5"/>
  <c r="AO527" i="5" s="1"/>
  <c r="C527" i="5"/>
  <c r="AL526" i="5"/>
  <c r="AO526" i="5" s="1"/>
  <c r="C526" i="5"/>
  <c r="AL524" i="5"/>
  <c r="AO524" i="5" s="1"/>
  <c r="C524" i="5"/>
  <c r="AL523" i="5"/>
  <c r="AO523" i="5" s="1"/>
  <c r="C523" i="5"/>
  <c r="AL521" i="5"/>
  <c r="AO521" i="5" s="1"/>
  <c r="C521" i="5"/>
  <c r="AL520" i="5"/>
  <c r="AO520" i="5" s="1"/>
  <c r="C520" i="5"/>
  <c r="AL518" i="5"/>
  <c r="AO518" i="5" s="1"/>
  <c r="C518" i="5"/>
  <c r="AL517" i="5"/>
  <c r="AO517" i="5" s="1"/>
  <c r="C517" i="5"/>
  <c r="AL515" i="5"/>
  <c r="AO515" i="5" s="1"/>
  <c r="C515" i="5"/>
  <c r="AL514" i="5"/>
  <c r="AO514" i="5" s="1"/>
  <c r="C514" i="5"/>
  <c r="AL512" i="5"/>
  <c r="AO512" i="5" s="1"/>
  <c r="C512" i="5"/>
  <c r="AL511" i="5"/>
  <c r="AO511" i="5" s="1"/>
  <c r="C511" i="5"/>
  <c r="AL509" i="5"/>
  <c r="AO509" i="5" s="1"/>
  <c r="C509" i="5"/>
  <c r="AL508" i="5"/>
  <c r="AO508" i="5" s="1"/>
  <c r="C508" i="5"/>
  <c r="AL506" i="5"/>
  <c r="AO506" i="5" s="1"/>
  <c r="C506" i="5"/>
  <c r="AL505" i="5"/>
  <c r="AO505" i="5" s="1"/>
  <c r="C505" i="5"/>
  <c r="AL503" i="5"/>
  <c r="AO503" i="5" s="1"/>
  <c r="C503" i="5"/>
  <c r="AL502" i="5"/>
  <c r="AO502" i="5" s="1"/>
  <c r="C502" i="5"/>
  <c r="AL500" i="5"/>
  <c r="AO500" i="5" s="1"/>
  <c r="AH500" i="5"/>
  <c r="AH518" i="5" s="1"/>
  <c r="AH536" i="5" s="1"/>
  <c r="AH554" i="5" s="1"/>
  <c r="AH572" i="5" s="1"/>
  <c r="AH590" i="5" s="1"/>
  <c r="AH608" i="5" s="1"/>
  <c r="C500" i="5"/>
  <c r="AL499" i="5"/>
  <c r="AO499" i="5" s="1"/>
  <c r="AH499" i="5"/>
  <c r="AH517" i="5" s="1"/>
  <c r="AH535" i="5" s="1"/>
  <c r="AH553" i="5" s="1"/>
  <c r="AH571" i="5" s="1"/>
  <c r="AH589" i="5" s="1"/>
  <c r="AH607" i="5" s="1"/>
  <c r="C499" i="5"/>
  <c r="AL497" i="5"/>
  <c r="AO497" i="5" s="1"/>
  <c r="AH497" i="5"/>
  <c r="C497" i="5"/>
  <c r="AL496" i="5"/>
  <c r="AO496" i="5" s="1"/>
  <c r="AH496" i="5"/>
  <c r="C496" i="5"/>
  <c r="AL494" i="5"/>
  <c r="AO494" i="5" s="1"/>
  <c r="AH494" i="5"/>
  <c r="C494" i="5"/>
  <c r="AL493" i="5"/>
  <c r="AO493" i="5" s="1"/>
  <c r="AH493" i="5"/>
  <c r="C493" i="5"/>
  <c r="AL491" i="5"/>
  <c r="AO491" i="5" s="1"/>
  <c r="AH491" i="5"/>
  <c r="C491" i="5"/>
  <c r="AL490" i="5"/>
  <c r="AO490" i="5" s="1"/>
  <c r="AH490" i="5"/>
  <c r="C490" i="5"/>
  <c r="AL488" i="5"/>
  <c r="AO488" i="5" s="1"/>
  <c r="AH488" i="5"/>
  <c r="C488" i="5"/>
  <c r="AL487" i="5"/>
  <c r="AO487" i="5" s="1"/>
  <c r="AH487" i="5"/>
  <c r="C487" i="5"/>
  <c r="AL485" i="5"/>
  <c r="AO485" i="5" s="1"/>
  <c r="AH485" i="5"/>
  <c r="C485" i="5"/>
  <c r="AL484" i="5"/>
  <c r="AO484" i="5" s="1"/>
  <c r="AH484" i="5"/>
  <c r="C484" i="5"/>
  <c r="AL482" i="5"/>
  <c r="AO482" i="5" s="1"/>
  <c r="C482" i="5"/>
  <c r="AL481" i="5"/>
  <c r="AO481" i="5" s="1"/>
  <c r="C481" i="5"/>
  <c r="AL479" i="5"/>
  <c r="AO479" i="5" s="1"/>
  <c r="C479" i="5"/>
  <c r="AL478" i="5"/>
  <c r="AO478" i="5" s="1"/>
  <c r="C478" i="5"/>
  <c r="AL476" i="5"/>
  <c r="AO476" i="5" s="1"/>
  <c r="C476" i="5"/>
  <c r="AL475" i="5"/>
  <c r="AO475" i="5" s="1"/>
  <c r="C475" i="5"/>
  <c r="AL473" i="5"/>
  <c r="AO473" i="5" s="1"/>
  <c r="C473" i="5"/>
  <c r="AL472" i="5"/>
  <c r="AO472" i="5" s="1"/>
  <c r="C472" i="5"/>
  <c r="AL470" i="5"/>
  <c r="AO470" i="5" s="1"/>
  <c r="C470" i="5"/>
  <c r="AL469" i="5"/>
  <c r="AO469" i="5" s="1"/>
  <c r="C469" i="5"/>
  <c r="AL467" i="5"/>
  <c r="AO467" i="5" s="1"/>
  <c r="C467" i="5"/>
  <c r="AL466" i="5"/>
  <c r="AO466" i="5" s="1"/>
  <c r="C466" i="5"/>
  <c r="AL464" i="5"/>
  <c r="AO464" i="5" s="1"/>
  <c r="C464" i="5"/>
  <c r="AL463" i="5"/>
  <c r="AO463" i="5" s="1"/>
  <c r="C463" i="5"/>
  <c r="AL461" i="5"/>
  <c r="AO461" i="5" s="1"/>
  <c r="C461" i="5"/>
  <c r="AL460" i="5"/>
  <c r="AO460" i="5" s="1"/>
  <c r="C460" i="5"/>
  <c r="AL458" i="5"/>
  <c r="AO458" i="5" s="1"/>
  <c r="C458" i="5"/>
  <c r="AL457" i="5"/>
  <c r="AO457" i="5" s="1"/>
  <c r="C457" i="5"/>
  <c r="AL455" i="5"/>
  <c r="AO455" i="5" s="1"/>
  <c r="C455" i="5"/>
  <c r="AL454" i="5"/>
  <c r="AO454" i="5" s="1"/>
  <c r="C454" i="5"/>
  <c r="AL452" i="5"/>
  <c r="AO452" i="5" s="1"/>
  <c r="C452" i="5"/>
  <c r="AL451" i="5"/>
  <c r="AO451" i="5" s="1"/>
  <c r="C451" i="5"/>
  <c r="AL449" i="5"/>
  <c r="AO449" i="5" s="1"/>
  <c r="C449" i="5"/>
  <c r="AL448" i="5"/>
  <c r="AO448" i="5" s="1"/>
  <c r="C448" i="5"/>
  <c r="AL446" i="5"/>
  <c r="AO446" i="5" s="1"/>
  <c r="C446" i="5"/>
  <c r="AL445" i="5"/>
  <c r="AO445" i="5" s="1"/>
  <c r="C445" i="5"/>
  <c r="AL443" i="5"/>
  <c r="AO443" i="5" s="1"/>
  <c r="C443" i="5"/>
  <c r="AL442" i="5"/>
  <c r="AO442" i="5" s="1"/>
  <c r="C442" i="5"/>
  <c r="AL440" i="5"/>
  <c r="AO440" i="5" s="1"/>
  <c r="C440" i="5"/>
  <c r="AL439" i="5"/>
  <c r="AO439" i="5" s="1"/>
  <c r="C439" i="5"/>
  <c r="AL437" i="5"/>
  <c r="AO437" i="5" s="1"/>
  <c r="C437" i="5"/>
  <c r="AL436" i="5"/>
  <c r="AO436" i="5" s="1"/>
  <c r="C436" i="5"/>
  <c r="AL434" i="5"/>
  <c r="AO434" i="5" s="1"/>
  <c r="C434" i="5"/>
  <c r="AL433" i="5"/>
  <c r="AO433" i="5" s="1"/>
  <c r="C433" i="5"/>
  <c r="AL431" i="5"/>
  <c r="AO431" i="5" s="1"/>
  <c r="C431" i="5"/>
  <c r="AL430" i="5"/>
  <c r="AO430" i="5" s="1"/>
  <c r="C430" i="5"/>
  <c r="AL428" i="5"/>
  <c r="AO428" i="5" s="1"/>
  <c r="AH428" i="5"/>
  <c r="AH446" i="5" s="1"/>
  <c r="AH464" i="5" s="1"/>
  <c r="C428" i="5"/>
  <c r="AL427" i="5"/>
  <c r="AO427" i="5" s="1"/>
  <c r="AH427" i="5"/>
  <c r="AH445" i="5" s="1"/>
  <c r="AH463" i="5" s="1"/>
  <c r="C427" i="5"/>
  <c r="AL425" i="5"/>
  <c r="AO425" i="5" s="1"/>
  <c r="AH425" i="5"/>
  <c r="AH443" i="5" s="1"/>
  <c r="AH461" i="5" s="1"/>
  <c r="C425" i="5"/>
  <c r="AL424" i="5"/>
  <c r="AO424" i="5" s="1"/>
  <c r="AH424" i="5"/>
  <c r="AH442" i="5" s="1"/>
  <c r="AH460" i="5" s="1"/>
  <c r="C424" i="5"/>
  <c r="AL422" i="5"/>
  <c r="AO422" i="5" s="1"/>
  <c r="AH422" i="5"/>
  <c r="AH440" i="5" s="1"/>
  <c r="AH458" i="5" s="1"/>
  <c r="C422" i="5"/>
  <c r="AL421" i="5"/>
  <c r="AO421" i="5" s="1"/>
  <c r="AH421" i="5"/>
  <c r="AH439" i="5" s="1"/>
  <c r="AH457" i="5" s="1"/>
  <c r="C421" i="5"/>
  <c r="AL419" i="5"/>
  <c r="AO419" i="5" s="1"/>
  <c r="AH419" i="5"/>
  <c r="AH437" i="5" s="1"/>
  <c r="AH455" i="5" s="1"/>
  <c r="C419" i="5"/>
  <c r="AL418" i="5"/>
  <c r="AO418" i="5" s="1"/>
  <c r="AH418" i="5"/>
  <c r="AH436" i="5" s="1"/>
  <c r="AH454" i="5" s="1"/>
  <c r="C418" i="5"/>
  <c r="AL416" i="5"/>
  <c r="AO416" i="5" s="1"/>
  <c r="AH416" i="5"/>
  <c r="AH434" i="5" s="1"/>
  <c r="AH452" i="5" s="1"/>
  <c r="C416" i="5"/>
  <c r="AL415" i="5"/>
  <c r="AO415" i="5" s="1"/>
  <c r="AH415" i="5"/>
  <c r="AH433" i="5" s="1"/>
  <c r="AH451" i="5" s="1"/>
  <c r="C415" i="5"/>
  <c r="AL413" i="5"/>
  <c r="AO413" i="5" s="1"/>
  <c r="AH413" i="5"/>
  <c r="AH431" i="5" s="1"/>
  <c r="AH449" i="5" s="1"/>
  <c r="C413" i="5"/>
  <c r="AL412" i="5"/>
  <c r="AO412" i="5" s="1"/>
  <c r="AH412" i="5"/>
  <c r="AH430" i="5" s="1"/>
  <c r="AH448" i="5" s="1"/>
  <c r="C412" i="5"/>
  <c r="AL410" i="5"/>
  <c r="AO410" i="5" s="1"/>
  <c r="C410" i="5"/>
  <c r="AL409" i="5"/>
  <c r="AO409" i="5" s="1"/>
  <c r="C409" i="5"/>
  <c r="AL407" i="5"/>
  <c r="AO407" i="5" s="1"/>
  <c r="C407" i="5"/>
  <c r="AL406" i="5"/>
  <c r="AO406" i="5" s="1"/>
  <c r="C406" i="5"/>
  <c r="AL404" i="5"/>
  <c r="AO404" i="5" s="1"/>
  <c r="C404" i="5"/>
  <c r="AL403" i="5"/>
  <c r="AO403" i="5" s="1"/>
  <c r="C403" i="5"/>
  <c r="AL401" i="5"/>
  <c r="AO401" i="5" s="1"/>
  <c r="C401" i="5"/>
  <c r="AL400" i="5"/>
  <c r="AO400" i="5" s="1"/>
  <c r="C400" i="5"/>
  <c r="AL398" i="5"/>
  <c r="AO398" i="5" s="1"/>
  <c r="C398" i="5"/>
  <c r="AL397" i="5"/>
  <c r="AO397" i="5" s="1"/>
  <c r="C397" i="5"/>
  <c r="AL395" i="5"/>
  <c r="AO395" i="5" s="1"/>
  <c r="C395" i="5"/>
  <c r="AL394" i="5"/>
  <c r="AO394" i="5" s="1"/>
  <c r="C394" i="5"/>
  <c r="AL392" i="5"/>
  <c r="AO392" i="5" s="1"/>
  <c r="C392" i="5"/>
  <c r="AL391" i="5"/>
  <c r="AO391" i="5" s="1"/>
  <c r="C391" i="5"/>
  <c r="AL389" i="5"/>
  <c r="AO389" i="5" s="1"/>
  <c r="C389" i="5"/>
  <c r="AL388" i="5"/>
  <c r="AO388" i="5" s="1"/>
  <c r="C388" i="5"/>
  <c r="AL386" i="5"/>
  <c r="AO386" i="5" s="1"/>
  <c r="C386" i="5"/>
  <c r="AL385" i="5"/>
  <c r="AO385" i="5" s="1"/>
  <c r="C385" i="5"/>
  <c r="AL383" i="5"/>
  <c r="AO383" i="5" s="1"/>
  <c r="C383" i="5"/>
  <c r="AL382" i="5"/>
  <c r="AO382" i="5" s="1"/>
  <c r="C382" i="5"/>
  <c r="AL380" i="5"/>
  <c r="AO380" i="5" s="1"/>
  <c r="C380" i="5"/>
  <c r="AL379" i="5"/>
  <c r="AO379" i="5" s="1"/>
  <c r="C379" i="5"/>
  <c r="AL377" i="5"/>
  <c r="AO377" i="5" s="1"/>
  <c r="C377" i="5"/>
  <c r="AL376" i="5"/>
  <c r="AO376" i="5" s="1"/>
  <c r="C376" i="5"/>
  <c r="AL374" i="5"/>
  <c r="AO374" i="5" s="1"/>
  <c r="C374" i="5"/>
  <c r="AL373" i="5"/>
  <c r="AO373" i="5" s="1"/>
  <c r="C373" i="5"/>
  <c r="AL371" i="5"/>
  <c r="AO371" i="5" s="1"/>
  <c r="C371" i="5"/>
  <c r="AL370" i="5"/>
  <c r="AO370" i="5" s="1"/>
  <c r="C370" i="5"/>
  <c r="AL368" i="5"/>
  <c r="AO368" i="5" s="1"/>
  <c r="C368" i="5"/>
  <c r="AL367" i="5"/>
  <c r="AO367" i="5" s="1"/>
  <c r="C367" i="5"/>
  <c r="AL365" i="5"/>
  <c r="AO365" i="5" s="1"/>
  <c r="C365" i="5"/>
  <c r="AL364" i="5"/>
  <c r="AO364" i="5" s="1"/>
  <c r="C364" i="5"/>
  <c r="AL362" i="5"/>
  <c r="AO362" i="5" s="1"/>
  <c r="C362" i="5"/>
  <c r="AL361" i="5"/>
  <c r="AO361" i="5" s="1"/>
  <c r="C361" i="5"/>
  <c r="AL359" i="5"/>
  <c r="AO359" i="5" s="1"/>
  <c r="C359" i="5"/>
  <c r="AL358" i="5"/>
  <c r="AO358" i="5" s="1"/>
  <c r="C358" i="5"/>
  <c r="AL356" i="5"/>
  <c r="AO356" i="5" s="1"/>
  <c r="AH356" i="5"/>
  <c r="AH374" i="5" s="1"/>
  <c r="AH392" i="5" s="1"/>
  <c r="C356" i="5"/>
  <c r="AL355" i="5"/>
  <c r="AO355" i="5" s="1"/>
  <c r="AH355" i="5"/>
  <c r="AH373" i="5" s="1"/>
  <c r="AH391" i="5" s="1"/>
  <c r="C355" i="5"/>
  <c r="AL353" i="5"/>
  <c r="AO353" i="5" s="1"/>
  <c r="AH353" i="5"/>
  <c r="C353" i="5"/>
  <c r="AL352" i="5"/>
  <c r="AO352" i="5" s="1"/>
  <c r="AH352" i="5"/>
  <c r="C352" i="5"/>
  <c r="AL350" i="5"/>
  <c r="AO350" i="5" s="1"/>
  <c r="AH350" i="5"/>
  <c r="C350" i="5"/>
  <c r="AL349" i="5"/>
  <c r="AO349" i="5" s="1"/>
  <c r="AH349" i="5"/>
  <c r="C349" i="5"/>
  <c r="AL347" i="5"/>
  <c r="AO347" i="5" s="1"/>
  <c r="AH347" i="5"/>
  <c r="C347" i="5"/>
  <c r="AL346" i="5"/>
  <c r="AO346" i="5" s="1"/>
  <c r="AH346" i="5"/>
  <c r="C346" i="5"/>
  <c r="AL344" i="5"/>
  <c r="AO344" i="5" s="1"/>
  <c r="AH344" i="5"/>
  <c r="C344" i="5"/>
  <c r="AL343" i="5"/>
  <c r="AO343" i="5" s="1"/>
  <c r="AH343" i="5"/>
  <c r="C343" i="5"/>
  <c r="AL341" i="5"/>
  <c r="AO341" i="5" s="1"/>
  <c r="AH341" i="5"/>
  <c r="C341" i="5"/>
  <c r="AL340" i="5"/>
  <c r="AO340" i="5" s="1"/>
  <c r="AH340" i="5"/>
  <c r="C340" i="5"/>
  <c r="AL338" i="5"/>
  <c r="AO338" i="5" s="1"/>
  <c r="C338" i="5"/>
  <c r="AL337" i="5"/>
  <c r="AO337" i="5" s="1"/>
  <c r="C337" i="5"/>
  <c r="AL335" i="5"/>
  <c r="AO335" i="5" s="1"/>
  <c r="C335" i="5"/>
  <c r="AL334" i="5"/>
  <c r="AO334" i="5" s="1"/>
  <c r="C334" i="5"/>
  <c r="AL332" i="5"/>
  <c r="AO332" i="5" s="1"/>
  <c r="C332" i="5"/>
  <c r="AL331" i="5"/>
  <c r="AO331" i="5" s="1"/>
  <c r="C331" i="5"/>
  <c r="AL329" i="5"/>
  <c r="AO329" i="5" s="1"/>
  <c r="C329" i="5"/>
  <c r="AL328" i="5"/>
  <c r="AO328" i="5" s="1"/>
  <c r="C328" i="5"/>
  <c r="AL326" i="5"/>
  <c r="AO326" i="5" s="1"/>
  <c r="C326" i="5"/>
  <c r="AL325" i="5"/>
  <c r="AO325" i="5" s="1"/>
  <c r="C325" i="5"/>
  <c r="AL323" i="5"/>
  <c r="AO323" i="5" s="1"/>
  <c r="C323" i="5"/>
  <c r="AL322" i="5"/>
  <c r="AO322" i="5" s="1"/>
  <c r="C322" i="5"/>
  <c r="AL320" i="5"/>
  <c r="AO320" i="5" s="1"/>
  <c r="C320" i="5"/>
  <c r="AL319" i="5"/>
  <c r="AO319" i="5" s="1"/>
  <c r="C319" i="5"/>
  <c r="AL317" i="5"/>
  <c r="AO317" i="5" s="1"/>
  <c r="C317" i="5"/>
  <c r="AL316" i="5"/>
  <c r="AO316" i="5" s="1"/>
  <c r="C316" i="5"/>
  <c r="AL314" i="5"/>
  <c r="AO314" i="5" s="1"/>
  <c r="C314" i="5"/>
  <c r="AL313" i="5"/>
  <c r="AO313" i="5" s="1"/>
  <c r="C313" i="5"/>
  <c r="AL311" i="5"/>
  <c r="AO311" i="5" s="1"/>
  <c r="C311" i="5"/>
  <c r="AL310" i="5"/>
  <c r="AO310" i="5" s="1"/>
  <c r="C310" i="5"/>
  <c r="AL308" i="5"/>
  <c r="AO308" i="5" s="1"/>
  <c r="C308" i="5"/>
  <c r="AL307" i="5"/>
  <c r="AO307" i="5" s="1"/>
  <c r="C307" i="5"/>
  <c r="AL305" i="5"/>
  <c r="AO305" i="5" s="1"/>
  <c r="C305" i="5"/>
  <c r="AL304" i="5"/>
  <c r="AO304" i="5" s="1"/>
  <c r="C304" i="5"/>
  <c r="AL302" i="5"/>
  <c r="AO302" i="5" s="1"/>
  <c r="C302" i="5"/>
  <c r="AL301" i="5"/>
  <c r="AO301" i="5" s="1"/>
  <c r="C301" i="5"/>
  <c r="AL299" i="5"/>
  <c r="AO299" i="5" s="1"/>
  <c r="C299" i="5"/>
  <c r="AL298" i="5"/>
  <c r="AO298" i="5" s="1"/>
  <c r="C298" i="5"/>
  <c r="AL296" i="5"/>
  <c r="AO296" i="5" s="1"/>
  <c r="C296" i="5"/>
  <c r="AL295" i="5"/>
  <c r="AO295" i="5" s="1"/>
  <c r="C295" i="5"/>
  <c r="AL293" i="5"/>
  <c r="AO293" i="5" s="1"/>
  <c r="C293" i="5"/>
  <c r="AL292" i="5"/>
  <c r="AO292" i="5" s="1"/>
  <c r="C292" i="5"/>
  <c r="AL290" i="5"/>
  <c r="AO290" i="5" s="1"/>
  <c r="C290" i="5"/>
  <c r="AL289" i="5"/>
  <c r="AO289" i="5" s="1"/>
  <c r="C289" i="5"/>
  <c r="AL287" i="5"/>
  <c r="AO287" i="5" s="1"/>
  <c r="C287" i="5"/>
  <c r="AL286" i="5"/>
  <c r="AO286" i="5" s="1"/>
  <c r="C286" i="5"/>
  <c r="AL284" i="5"/>
  <c r="AO284" i="5" s="1"/>
  <c r="C284" i="5"/>
  <c r="AL283" i="5"/>
  <c r="AO283" i="5" s="1"/>
  <c r="C283" i="5"/>
  <c r="AL281" i="5"/>
  <c r="AO281" i="5" s="1"/>
  <c r="C281" i="5"/>
  <c r="AL280" i="5"/>
  <c r="AO280" i="5" s="1"/>
  <c r="C280" i="5"/>
  <c r="AL278" i="5"/>
  <c r="AO278" i="5" s="1"/>
  <c r="C278" i="5"/>
  <c r="AL277" i="5"/>
  <c r="AO277" i="5" s="1"/>
  <c r="C277" i="5"/>
  <c r="AL275" i="5"/>
  <c r="AO275" i="5" s="1"/>
  <c r="C275" i="5"/>
  <c r="AL274" i="5"/>
  <c r="AO274" i="5" s="1"/>
  <c r="C274" i="5"/>
  <c r="AL272" i="5"/>
  <c r="AO272" i="5" s="1"/>
  <c r="C272" i="5"/>
  <c r="AL271" i="5"/>
  <c r="AO271" i="5" s="1"/>
  <c r="C271" i="5"/>
  <c r="AL269" i="5"/>
  <c r="AO269" i="5" s="1"/>
  <c r="C269" i="5"/>
  <c r="AL268" i="5"/>
  <c r="AO268" i="5" s="1"/>
  <c r="C268" i="5"/>
  <c r="AL266" i="5"/>
  <c r="AO266" i="5" s="1"/>
  <c r="C266" i="5"/>
  <c r="AL265" i="5"/>
  <c r="AO265" i="5" s="1"/>
  <c r="C265" i="5"/>
  <c r="AL263" i="5"/>
  <c r="AO263" i="5" s="1"/>
  <c r="C263" i="5"/>
  <c r="AL262" i="5"/>
  <c r="AO262" i="5" s="1"/>
  <c r="C262" i="5"/>
  <c r="AL260" i="5"/>
  <c r="AO260" i="5" s="1"/>
  <c r="C260" i="5"/>
  <c r="AL259" i="5"/>
  <c r="AO259" i="5" s="1"/>
  <c r="C259" i="5"/>
  <c r="AL257" i="5"/>
  <c r="AO257" i="5" s="1"/>
  <c r="C257" i="5"/>
  <c r="AL256" i="5"/>
  <c r="AO256" i="5" s="1"/>
  <c r="C256" i="5"/>
  <c r="AL254" i="5"/>
  <c r="AO254" i="5" s="1"/>
  <c r="C254" i="5"/>
  <c r="AL253" i="5"/>
  <c r="AO253" i="5" s="1"/>
  <c r="C253" i="5"/>
  <c r="AL251" i="5"/>
  <c r="AO251" i="5" s="1"/>
  <c r="C251" i="5"/>
  <c r="AL250" i="5"/>
  <c r="AO250" i="5" s="1"/>
  <c r="C250" i="5"/>
  <c r="AL248" i="5"/>
  <c r="AO248" i="5" s="1"/>
  <c r="C248" i="5"/>
  <c r="AL247" i="5"/>
  <c r="AO247" i="5" s="1"/>
  <c r="C247" i="5"/>
  <c r="AL245" i="5"/>
  <c r="AO245" i="5" s="1"/>
  <c r="C245" i="5"/>
  <c r="AL244" i="5"/>
  <c r="AO244" i="5" s="1"/>
  <c r="C244" i="5"/>
  <c r="AL242" i="5"/>
  <c r="AO242" i="5" s="1"/>
  <c r="C242" i="5"/>
  <c r="AL241" i="5"/>
  <c r="AO241" i="5" s="1"/>
  <c r="C241" i="5"/>
  <c r="AL239" i="5"/>
  <c r="AO239" i="5" s="1"/>
  <c r="C239" i="5"/>
  <c r="AL238" i="5"/>
  <c r="AO238" i="5" s="1"/>
  <c r="C238" i="5"/>
  <c r="AL236" i="5"/>
  <c r="AO236" i="5" s="1"/>
  <c r="C236" i="5"/>
  <c r="AL235" i="5"/>
  <c r="AO235" i="5" s="1"/>
  <c r="C235" i="5"/>
  <c r="AL233" i="5"/>
  <c r="AO233" i="5" s="1"/>
  <c r="C233" i="5"/>
  <c r="AL232" i="5"/>
  <c r="AO232" i="5" s="1"/>
  <c r="C232" i="5"/>
  <c r="AL230" i="5"/>
  <c r="AO230" i="5" s="1"/>
  <c r="C230" i="5"/>
  <c r="AL229" i="5"/>
  <c r="AO229" i="5" s="1"/>
  <c r="C229" i="5"/>
  <c r="AL227" i="5"/>
  <c r="AO227" i="5" s="1"/>
  <c r="C227" i="5"/>
  <c r="AL226" i="5"/>
  <c r="AO226" i="5" s="1"/>
  <c r="C226" i="5"/>
  <c r="AL224" i="5"/>
  <c r="AO224" i="5" s="1"/>
  <c r="C224" i="5"/>
  <c r="AL223" i="5"/>
  <c r="AO223" i="5" s="1"/>
  <c r="C223" i="5"/>
  <c r="AL221" i="5"/>
  <c r="AO221" i="5" s="1"/>
  <c r="C221" i="5"/>
  <c r="AL220" i="5"/>
  <c r="AO220" i="5" s="1"/>
  <c r="C220" i="5"/>
  <c r="AL218" i="5"/>
  <c r="AO218" i="5" s="1"/>
  <c r="C218" i="5"/>
  <c r="AL217" i="5"/>
  <c r="AO217" i="5" s="1"/>
  <c r="C217" i="5"/>
  <c r="AL215" i="5"/>
  <c r="AO215" i="5" s="1"/>
  <c r="C215" i="5"/>
  <c r="AL214" i="5"/>
  <c r="AO214" i="5" s="1"/>
  <c r="C214" i="5"/>
  <c r="AL212" i="5"/>
  <c r="AO212" i="5" s="1"/>
  <c r="AH212" i="5"/>
  <c r="AH230" i="5" s="1"/>
  <c r="AH248" i="5" s="1"/>
  <c r="AH266" i="5" s="1"/>
  <c r="AH284" i="5" s="1"/>
  <c r="AH302" i="5" s="1"/>
  <c r="AH320" i="5" s="1"/>
  <c r="C212" i="5"/>
  <c r="AL211" i="5"/>
  <c r="AO211" i="5" s="1"/>
  <c r="AH211" i="5"/>
  <c r="AH229" i="5" s="1"/>
  <c r="AH247" i="5" s="1"/>
  <c r="AH265" i="5" s="1"/>
  <c r="AH283" i="5" s="1"/>
  <c r="AH301" i="5" s="1"/>
  <c r="AH319" i="5" s="1"/>
  <c r="C211" i="5"/>
  <c r="AL209" i="5"/>
  <c r="AO209" i="5" s="1"/>
  <c r="AH209" i="5"/>
  <c r="AH227" i="5" s="1"/>
  <c r="AH245" i="5" s="1"/>
  <c r="AH263" i="5" s="1"/>
  <c r="AH281" i="5" s="1"/>
  <c r="AH299" i="5" s="1"/>
  <c r="AH317" i="5" s="1"/>
  <c r="C209" i="5"/>
  <c r="AL208" i="5"/>
  <c r="AO208" i="5" s="1"/>
  <c r="AH208" i="5"/>
  <c r="AH226" i="5" s="1"/>
  <c r="AH244" i="5" s="1"/>
  <c r="AH262" i="5" s="1"/>
  <c r="AH280" i="5" s="1"/>
  <c r="AH298" i="5" s="1"/>
  <c r="AH316" i="5" s="1"/>
  <c r="C208" i="5"/>
  <c r="AL206" i="5"/>
  <c r="AO206" i="5" s="1"/>
  <c r="AH206" i="5"/>
  <c r="AH224" i="5" s="1"/>
  <c r="AH242" i="5" s="1"/>
  <c r="AH260" i="5" s="1"/>
  <c r="AH278" i="5" s="1"/>
  <c r="AH296" i="5" s="1"/>
  <c r="AH314" i="5" s="1"/>
  <c r="C206" i="5"/>
  <c r="AL205" i="5"/>
  <c r="AO205" i="5" s="1"/>
  <c r="AH205" i="5"/>
  <c r="AH223" i="5" s="1"/>
  <c r="AH241" i="5" s="1"/>
  <c r="AH259" i="5" s="1"/>
  <c r="AH277" i="5" s="1"/>
  <c r="AH295" i="5" s="1"/>
  <c r="AH313" i="5" s="1"/>
  <c r="C205" i="5"/>
  <c r="AL203" i="5"/>
  <c r="AO203" i="5" s="1"/>
  <c r="AH203" i="5"/>
  <c r="AH221" i="5" s="1"/>
  <c r="AH239" i="5" s="1"/>
  <c r="AH257" i="5" s="1"/>
  <c r="AH275" i="5" s="1"/>
  <c r="AH293" i="5" s="1"/>
  <c r="AH311" i="5" s="1"/>
  <c r="C203" i="5"/>
  <c r="AL202" i="5"/>
  <c r="AO202" i="5" s="1"/>
  <c r="AH202" i="5"/>
  <c r="AH220" i="5" s="1"/>
  <c r="AH238" i="5" s="1"/>
  <c r="AH256" i="5" s="1"/>
  <c r="AH274" i="5" s="1"/>
  <c r="AH292" i="5" s="1"/>
  <c r="AH310" i="5" s="1"/>
  <c r="C202" i="5"/>
  <c r="AL200" i="5"/>
  <c r="AO200" i="5" s="1"/>
  <c r="AH200" i="5"/>
  <c r="AH218" i="5" s="1"/>
  <c r="AH236" i="5" s="1"/>
  <c r="AH254" i="5" s="1"/>
  <c r="AH272" i="5" s="1"/>
  <c r="AH290" i="5" s="1"/>
  <c r="AH308" i="5" s="1"/>
  <c r="C200" i="5"/>
  <c r="AL199" i="5"/>
  <c r="AO199" i="5" s="1"/>
  <c r="AH199" i="5"/>
  <c r="AH217" i="5" s="1"/>
  <c r="AH235" i="5" s="1"/>
  <c r="AH253" i="5" s="1"/>
  <c r="AH271" i="5" s="1"/>
  <c r="AH289" i="5" s="1"/>
  <c r="AH307" i="5" s="1"/>
  <c r="C199" i="5"/>
  <c r="AL197" i="5"/>
  <c r="AO197" i="5" s="1"/>
  <c r="AH197" i="5"/>
  <c r="AH215" i="5" s="1"/>
  <c r="AH233" i="5" s="1"/>
  <c r="AH251" i="5" s="1"/>
  <c r="AH269" i="5" s="1"/>
  <c r="AH287" i="5" s="1"/>
  <c r="AH305" i="5" s="1"/>
  <c r="C197" i="5"/>
  <c r="AL196" i="5"/>
  <c r="AO196" i="5" s="1"/>
  <c r="AH196" i="5"/>
  <c r="AH214" i="5" s="1"/>
  <c r="AH232" i="5" s="1"/>
  <c r="AH250" i="5" s="1"/>
  <c r="AH268" i="5" s="1"/>
  <c r="AH286" i="5" s="1"/>
  <c r="AH304" i="5" s="1"/>
  <c r="C196" i="5"/>
  <c r="AL194" i="5"/>
  <c r="AO194" i="5" s="1"/>
  <c r="C194" i="5"/>
  <c r="AL193" i="5"/>
  <c r="AO193" i="5" s="1"/>
  <c r="C193" i="5"/>
  <c r="AL191" i="5"/>
  <c r="AO191" i="5" s="1"/>
  <c r="C191" i="5"/>
  <c r="AL190" i="5"/>
  <c r="AO190" i="5" s="1"/>
  <c r="C190" i="5"/>
  <c r="AL188" i="5"/>
  <c r="AO188" i="5" s="1"/>
  <c r="C188" i="5"/>
  <c r="AL187" i="5"/>
  <c r="AO187" i="5" s="1"/>
  <c r="C187" i="5"/>
  <c r="AL185" i="5"/>
  <c r="AO185" i="5" s="1"/>
  <c r="C185" i="5"/>
  <c r="AL184" i="5"/>
  <c r="AO184" i="5" s="1"/>
  <c r="C184" i="5"/>
  <c r="AL182" i="5"/>
  <c r="AO182" i="5" s="1"/>
  <c r="C182" i="5"/>
  <c r="AL181" i="5"/>
  <c r="AO181" i="5" s="1"/>
  <c r="C181" i="5"/>
  <c r="AL179" i="5"/>
  <c r="AO179" i="5" s="1"/>
  <c r="C179" i="5"/>
  <c r="AL178" i="5"/>
  <c r="AO178" i="5" s="1"/>
  <c r="C178" i="5"/>
  <c r="AL176" i="5"/>
  <c r="AO176" i="5" s="1"/>
  <c r="C176" i="5"/>
  <c r="AL175" i="5"/>
  <c r="AO175" i="5" s="1"/>
  <c r="C175" i="5"/>
  <c r="AL173" i="5"/>
  <c r="AO173" i="5" s="1"/>
  <c r="C173" i="5"/>
  <c r="AL172" i="5"/>
  <c r="AO172" i="5" s="1"/>
  <c r="C172" i="5"/>
  <c r="AL170" i="5"/>
  <c r="AO170" i="5" s="1"/>
  <c r="C170" i="5"/>
  <c r="AL169" i="5"/>
  <c r="AO169" i="5" s="1"/>
  <c r="C169" i="5"/>
  <c r="AL167" i="5"/>
  <c r="AO167" i="5" s="1"/>
  <c r="C167" i="5"/>
  <c r="AL166" i="5"/>
  <c r="AO166" i="5" s="1"/>
  <c r="C166" i="5"/>
  <c r="AL164" i="5"/>
  <c r="AO164" i="5" s="1"/>
  <c r="C164" i="5"/>
  <c r="AL163" i="5"/>
  <c r="AO163" i="5" s="1"/>
  <c r="C163" i="5"/>
  <c r="AL161" i="5"/>
  <c r="AO161" i="5" s="1"/>
  <c r="C161" i="5"/>
  <c r="AL160" i="5"/>
  <c r="AO160" i="5" s="1"/>
  <c r="C160" i="5"/>
  <c r="AL158" i="5"/>
  <c r="AO158" i="5" s="1"/>
  <c r="C158" i="5"/>
  <c r="AL157" i="5"/>
  <c r="AO157" i="5" s="1"/>
  <c r="C157" i="5"/>
  <c r="AL155" i="5"/>
  <c r="AO155" i="5" s="1"/>
  <c r="C155" i="5"/>
  <c r="AL154" i="5"/>
  <c r="AO154" i="5" s="1"/>
  <c r="C154" i="5"/>
  <c r="AL152" i="5"/>
  <c r="AO152" i="5" s="1"/>
  <c r="C152" i="5"/>
  <c r="AL151" i="5"/>
  <c r="AO151" i="5" s="1"/>
  <c r="C151" i="5"/>
  <c r="AL149" i="5"/>
  <c r="AO149" i="5" s="1"/>
  <c r="C149" i="5"/>
  <c r="AL148" i="5"/>
  <c r="AO148" i="5" s="1"/>
  <c r="C148" i="5"/>
  <c r="AL146" i="5"/>
  <c r="AO146" i="5" s="1"/>
  <c r="C146" i="5"/>
  <c r="AL145" i="5"/>
  <c r="AO145" i="5" s="1"/>
  <c r="C145" i="5"/>
  <c r="AL143" i="5"/>
  <c r="AO143" i="5" s="1"/>
  <c r="C143" i="5"/>
  <c r="AL142" i="5"/>
  <c r="AO142" i="5" s="1"/>
  <c r="C142" i="5"/>
  <c r="AL140" i="5"/>
  <c r="AO140" i="5" s="1"/>
  <c r="C140" i="5"/>
  <c r="AL139" i="5"/>
  <c r="AO139" i="5" s="1"/>
  <c r="C139" i="5"/>
  <c r="AL137" i="5"/>
  <c r="AO137" i="5" s="1"/>
  <c r="C137" i="5"/>
  <c r="AL136" i="5"/>
  <c r="AO136" i="5" s="1"/>
  <c r="C136" i="5"/>
  <c r="AL134" i="5"/>
  <c r="AO134" i="5" s="1"/>
  <c r="C134" i="5"/>
  <c r="AL133" i="5"/>
  <c r="AO133" i="5" s="1"/>
  <c r="C133" i="5"/>
  <c r="AL131" i="5"/>
  <c r="AO131" i="5" s="1"/>
  <c r="C131" i="5"/>
  <c r="AL130" i="5"/>
  <c r="AO130" i="5" s="1"/>
  <c r="C130" i="5"/>
  <c r="AL128" i="5"/>
  <c r="AO128" i="5" s="1"/>
  <c r="C128" i="5"/>
  <c r="AL127" i="5"/>
  <c r="AO127" i="5" s="1"/>
  <c r="C127" i="5"/>
  <c r="AL125" i="5"/>
  <c r="AO125" i="5" s="1"/>
  <c r="C125" i="5"/>
  <c r="AL124" i="5"/>
  <c r="AO124" i="5" s="1"/>
  <c r="C124" i="5"/>
  <c r="AL122" i="5"/>
  <c r="AO122" i="5" s="1"/>
  <c r="C122" i="5"/>
  <c r="AL121" i="5"/>
  <c r="AO121" i="5" s="1"/>
  <c r="C121" i="5"/>
  <c r="AL119" i="5"/>
  <c r="AO119" i="5" s="1"/>
  <c r="C119" i="5"/>
  <c r="AL118" i="5"/>
  <c r="AO118" i="5" s="1"/>
  <c r="C118" i="5"/>
  <c r="AL116" i="5"/>
  <c r="AO116" i="5" s="1"/>
  <c r="C116" i="5"/>
  <c r="AL115" i="5"/>
  <c r="AO115" i="5" s="1"/>
  <c r="C115" i="5"/>
  <c r="AL113" i="5"/>
  <c r="AO113" i="5" s="1"/>
  <c r="C113" i="5"/>
  <c r="AL112" i="5"/>
  <c r="AO112" i="5" s="1"/>
  <c r="C112" i="5"/>
  <c r="AL110" i="5"/>
  <c r="AO110" i="5" s="1"/>
  <c r="C110" i="5"/>
  <c r="AL109" i="5"/>
  <c r="AO109" i="5" s="1"/>
  <c r="C109" i="5"/>
  <c r="AL107" i="5"/>
  <c r="AO107" i="5" s="1"/>
  <c r="C107" i="5"/>
  <c r="AL106" i="5"/>
  <c r="AO106" i="5" s="1"/>
  <c r="C106" i="5"/>
  <c r="AL104" i="5"/>
  <c r="AO104" i="5" s="1"/>
  <c r="C104" i="5"/>
  <c r="AL103" i="5"/>
  <c r="AO103" i="5" s="1"/>
  <c r="C103" i="5"/>
  <c r="AL101" i="5"/>
  <c r="AO101" i="5" s="1"/>
  <c r="C101" i="5"/>
  <c r="AL100" i="5"/>
  <c r="AO100" i="5" s="1"/>
  <c r="C100" i="5"/>
  <c r="AL98" i="5"/>
  <c r="AO98" i="5" s="1"/>
  <c r="C98" i="5"/>
  <c r="AL97" i="5"/>
  <c r="AO97" i="5" s="1"/>
  <c r="C97" i="5"/>
  <c r="AL95" i="5"/>
  <c r="AO95" i="5" s="1"/>
  <c r="C95" i="5"/>
  <c r="AL94" i="5"/>
  <c r="AO94" i="5" s="1"/>
  <c r="C94" i="5"/>
  <c r="AL92" i="5"/>
  <c r="AO92" i="5" s="1"/>
  <c r="C92" i="5"/>
  <c r="AL91" i="5"/>
  <c r="AO91" i="5" s="1"/>
  <c r="C91" i="5"/>
  <c r="AL89" i="5"/>
  <c r="AO89" i="5" s="1"/>
  <c r="C89" i="5"/>
  <c r="AL88" i="5"/>
  <c r="AO88" i="5" s="1"/>
  <c r="C88" i="5"/>
  <c r="AL86" i="5"/>
  <c r="AO86" i="5" s="1"/>
  <c r="C86" i="5"/>
  <c r="AL85" i="5"/>
  <c r="AO85" i="5" s="1"/>
  <c r="C85" i="5"/>
  <c r="AL83" i="5"/>
  <c r="AO83" i="5" s="1"/>
  <c r="C83" i="5"/>
  <c r="AL82" i="5"/>
  <c r="AO82" i="5" s="1"/>
  <c r="C82" i="5"/>
  <c r="AL80" i="5"/>
  <c r="AO80" i="5" s="1"/>
  <c r="C80" i="5"/>
  <c r="AL79" i="5"/>
  <c r="AO79" i="5" s="1"/>
  <c r="C79" i="5"/>
  <c r="AL77" i="5"/>
  <c r="AO77" i="5" s="1"/>
  <c r="C77" i="5"/>
  <c r="AL76" i="5"/>
  <c r="AO76" i="5" s="1"/>
  <c r="C76" i="5"/>
  <c r="AL74" i="5"/>
  <c r="AO74" i="5" s="1"/>
  <c r="C74" i="5"/>
  <c r="AL73" i="5"/>
  <c r="AO73" i="5" s="1"/>
  <c r="C73" i="5"/>
  <c r="AL71" i="5"/>
  <c r="AO71" i="5" s="1"/>
  <c r="C71" i="5"/>
  <c r="AL70" i="5"/>
  <c r="AO70" i="5" s="1"/>
  <c r="C70" i="5"/>
  <c r="AL68" i="5"/>
  <c r="AO68" i="5" s="1"/>
  <c r="AH68" i="5"/>
  <c r="AH86" i="5" s="1"/>
  <c r="AH104" i="5" s="1"/>
  <c r="AH122" i="5" s="1"/>
  <c r="AH140" i="5" s="1"/>
  <c r="AH158" i="5" s="1"/>
  <c r="AH176" i="5" s="1"/>
  <c r="AE68" i="5"/>
  <c r="AE86" i="5" s="1"/>
  <c r="AE104" i="5" s="1"/>
  <c r="AE122" i="5" s="1"/>
  <c r="AE140" i="5" s="1"/>
  <c r="AE158" i="5" s="1"/>
  <c r="AE176" i="5" s="1"/>
  <c r="AE194" i="5" s="1"/>
  <c r="AE212" i="5" s="1"/>
  <c r="AE230" i="5" s="1"/>
  <c r="AE248" i="5" s="1"/>
  <c r="AE266" i="5" s="1"/>
  <c r="AE284" i="5" s="1"/>
  <c r="AE302" i="5" s="1"/>
  <c r="AE320" i="5" s="1"/>
  <c r="AE338" i="5" s="1"/>
  <c r="AE356" i="5" s="1"/>
  <c r="AE374" i="5" s="1"/>
  <c r="AE392" i="5" s="1"/>
  <c r="AE410" i="5" s="1"/>
  <c r="AE428" i="5" s="1"/>
  <c r="AE446" i="5" s="1"/>
  <c r="AE464" i="5" s="1"/>
  <c r="AE482" i="5" s="1"/>
  <c r="AE500" i="5" s="1"/>
  <c r="AE518" i="5" s="1"/>
  <c r="AE536" i="5" s="1"/>
  <c r="AE554" i="5" s="1"/>
  <c r="AE572" i="5" s="1"/>
  <c r="AE590" i="5" s="1"/>
  <c r="AE608" i="5" s="1"/>
  <c r="L68" i="5"/>
  <c r="AG68" i="5" s="1" a="1"/>
  <c r="AG68" i="5" s="1"/>
  <c r="C68" i="5"/>
  <c r="AL67" i="5"/>
  <c r="AO67" i="5" s="1"/>
  <c r="AH67" i="5"/>
  <c r="AH85" i="5" s="1"/>
  <c r="AH103" i="5" s="1"/>
  <c r="AH121" i="5" s="1"/>
  <c r="AH139" i="5" s="1"/>
  <c r="AH157" i="5" s="1"/>
  <c r="AH175" i="5" s="1"/>
  <c r="AE67" i="5"/>
  <c r="AE85" i="5" s="1"/>
  <c r="AE103" i="5" s="1"/>
  <c r="AE121" i="5" s="1"/>
  <c r="AE139" i="5" s="1"/>
  <c r="AE157" i="5" s="1"/>
  <c r="AE175" i="5" s="1"/>
  <c r="AE193" i="5" s="1"/>
  <c r="AE211" i="5" s="1"/>
  <c r="AE229" i="5" s="1"/>
  <c r="AE247" i="5" s="1"/>
  <c r="AE265" i="5" s="1"/>
  <c r="AE283" i="5" s="1"/>
  <c r="AE301" i="5" s="1"/>
  <c r="AE319" i="5" s="1"/>
  <c r="AE337" i="5" s="1"/>
  <c r="AE355" i="5" s="1"/>
  <c r="AE373" i="5" s="1"/>
  <c r="AE391" i="5" s="1"/>
  <c r="AE409" i="5" s="1"/>
  <c r="AE427" i="5" s="1"/>
  <c r="AE445" i="5" s="1"/>
  <c r="AE463" i="5" s="1"/>
  <c r="AE481" i="5" s="1"/>
  <c r="AE499" i="5" s="1"/>
  <c r="AE517" i="5" s="1"/>
  <c r="AE535" i="5" s="1"/>
  <c r="AE553" i="5" s="1"/>
  <c r="AE571" i="5" s="1"/>
  <c r="AE589" i="5" s="1"/>
  <c r="AE607" i="5" s="1"/>
  <c r="L67" i="5"/>
  <c r="AG67" i="5" s="1" a="1"/>
  <c r="AG67" i="5" s="1"/>
  <c r="C67" i="5"/>
  <c r="AL65" i="5"/>
  <c r="AO65" i="5" s="1"/>
  <c r="AH65" i="5"/>
  <c r="AH83" i="5" s="1"/>
  <c r="AH101" i="5" s="1"/>
  <c r="AH119" i="5" s="1"/>
  <c r="AH137" i="5" s="1"/>
  <c r="AH155" i="5" s="1"/>
  <c r="AH173" i="5" s="1"/>
  <c r="AE65" i="5"/>
  <c r="AE83" i="5" s="1"/>
  <c r="AE101" i="5" s="1"/>
  <c r="AE119" i="5" s="1"/>
  <c r="AE137" i="5" s="1"/>
  <c r="AE155" i="5" s="1"/>
  <c r="AE173" i="5" s="1"/>
  <c r="AE191" i="5" s="1"/>
  <c r="AE209" i="5" s="1"/>
  <c r="AE227" i="5" s="1"/>
  <c r="AE245" i="5" s="1"/>
  <c r="AE263" i="5" s="1"/>
  <c r="AE281" i="5" s="1"/>
  <c r="AE299" i="5" s="1"/>
  <c r="AE317" i="5" s="1"/>
  <c r="AE335" i="5" s="1"/>
  <c r="AE353" i="5" s="1"/>
  <c r="AE371" i="5" s="1"/>
  <c r="AE389" i="5" s="1"/>
  <c r="AE407" i="5" s="1"/>
  <c r="AE425" i="5" s="1"/>
  <c r="AE443" i="5" s="1"/>
  <c r="AE461" i="5" s="1"/>
  <c r="AE479" i="5" s="1"/>
  <c r="AE497" i="5" s="1"/>
  <c r="AE515" i="5" s="1"/>
  <c r="AE533" i="5" s="1"/>
  <c r="AE551" i="5" s="1"/>
  <c r="AE569" i="5" s="1"/>
  <c r="AE587" i="5" s="1"/>
  <c r="AE605" i="5" s="1"/>
  <c r="L65" i="5"/>
  <c r="AG65" i="5" s="1" a="1"/>
  <c r="AG65" i="5" s="1"/>
  <c r="C65" i="5"/>
  <c r="AL64" i="5"/>
  <c r="AO64" i="5" s="1"/>
  <c r="AH64" i="5"/>
  <c r="AH82" i="5" s="1"/>
  <c r="AH100" i="5" s="1"/>
  <c r="AH118" i="5" s="1"/>
  <c r="AH136" i="5" s="1"/>
  <c r="AH154" i="5" s="1"/>
  <c r="AH172" i="5" s="1"/>
  <c r="AE64" i="5"/>
  <c r="AE82" i="5" s="1"/>
  <c r="AE100" i="5" s="1"/>
  <c r="AE118" i="5" s="1"/>
  <c r="AE136" i="5" s="1"/>
  <c r="AE154" i="5" s="1"/>
  <c r="AE172" i="5" s="1"/>
  <c r="AE190" i="5" s="1"/>
  <c r="AE208" i="5" s="1"/>
  <c r="AE226" i="5" s="1"/>
  <c r="AE244" i="5" s="1"/>
  <c r="AE262" i="5" s="1"/>
  <c r="AE280" i="5" s="1"/>
  <c r="AE298" i="5" s="1"/>
  <c r="AE316" i="5" s="1"/>
  <c r="AE334" i="5" s="1"/>
  <c r="AE352" i="5" s="1"/>
  <c r="AE370" i="5" s="1"/>
  <c r="AE388" i="5" s="1"/>
  <c r="AE406" i="5" s="1"/>
  <c r="AE424" i="5" s="1"/>
  <c r="AE442" i="5" s="1"/>
  <c r="AE460" i="5" s="1"/>
  <c r="AE478" i="5" s="1"/>
  <c r="AE496" i="5" s="1"/>
  <c r="AE514" i="5" s="1"/>
  <c r="AE532" i="5" s="1"/>
  <c r="AE550" i="5" s="1"/>
  <c r="AE568" i="5" s="1"/>
  <c r="AE586" i="5" s="1"/>
  <c r="AE604" i="5" s="1"/>
  <c r="L64" i="5"/>
  <c r="AG64" i="5" s="1" a="1"/>
  <c r="AG64" i="5" s="1"/>
  <c r="C64" i="5"/>
  <c r="AL62" i="5"/>
  <c r="AO62" i="5" s="1"/>
  <c r="AH62" i="5"/>
  <c r="AH80" i="5" s="1"/>
  <c r="AH98" i="5" s="1"/>
  <c r="AH116" i="5" s="1"/>
  <c r="AH134" i="5" s="1"/>
  <c r="AH152" i="5" s="1"/>
  <c r="AH170" i="5" s="1"/>
  <c r="AE62" i="5"/>
  <c r="AE80" i="5" s="1"/>
  <c r="AE98" i="5" s="1"/>
  <c r="AE116" i="5" s="1"/>
  <c r="AE134" i="5" s="1"/>
  <c r="AE152" i="5" s="1"/>
  <c r="AE170" i="5" s="1"/>
  <c r="AE188" i="5" s="1"/>
  <c r="AE206" i="5" s="1"/>
  <c r="AE224" i="5" s="1"/>
  <c r="AE242" i="5" s="1"/>
  <c r="AE260" i="5" s="1"/>
  <c r="AE278" i="5" s="1"/>
  <c r="AE296" i="5" s="1"/>
  <c r="AE314" i="5" s="1"/>
  <c r="AE332" i="5" s="1"/>
  <c r="AE350" i="5" s="1"/>
  <c r="AE368" i="5" s="1"/>
  <c r="AE386" i="5" s="1"/>
  <c r="AE404" i="5" s="1"/>
  <c r="AE422" i="5" s="1"/>
  <c r="AE440" i="5" s="1"/>
  <c r="AE458" i="5" s="1"/>
  <c r="AE476" i="5" s="1"/>
  <c r="AE494" i="5" s="1"/>
  <c r="AE512" i="5" s="1"/>
  <c r="AE530" i="5" s="1"/>
  <c r="AE548" i="5" s="1"/>
  <c r="AE566" i="5" s="1"/>
  <c r="AE584" i="5" s="1"/>
  <c r="AE602" i="5" s="1"/>
  <c r="L62" i="5"/>
  <c r="AG62" i="5" s="1" a="1"/>
  <c r="AG62" i="5" s="1"/>
  <c r="C62" i="5"/>
  <c r="AL61" i="5"/>
  <c r="AO61" i="5" s="1"/>
  <c r="AH61" i="5"/>
  <c r="AH79" i="5" s="1"/>
  <c r="AH97" i="5" s="1"/>
  <c r="AH115" i="5" s="1"/>
  <c r="AH133" i="5" s="1"/>
  <c r="AH151" i="5" s="1"/>
  <c r="AH169" i="5" s="1"/>
  <c r="AE61" i="5"/>
  <c r="AE79" i="5" s="1"/>
  <c r="AE97" i="5" s="1"/>
  <c r="AE115" i="5" s="1"/>
  <c r="AE133" i="5" s="1"/>
  <c r="AE151" i="5" s="1"/>
  <c r="AE169" i="5" s="1"/>
  <c r="AE187" i="5" s="1"/>
  <c r="AE205" i="5" s="1"/>
  <c r="AE223" i="5" s="1"/>
  <c r="AE241" i="5" s="1"/>
  <c r="AE259" i="5" s="1"/>
  <c r="AE277" i="5" s="1"/>
  <c r="AE295" i="5" s="1"/>
  <c r="AE313" i="5" s="1"/>
  <c r="AE331" i="5" s="1"/>
  <c r="AE349" i="5" s="1"/>
  <c r="AE367" i="5" s="1"/>
  <c r="AE385" i="5" s="1"/>
  <c r="AE403" i="5" s="1"/>
  <c r="AE421" i="5" s="1"/>
  <c r="AE439" i="5" s="1"/>
  <c r="AE457" i="5" s="1"/>
  <c r="AE475" i="5" s="1"/>
  <c r="AE493" i="5" s="1"/>
  <c r="AE511" i="5" s="1"/>
  <c r="AE529" i="5" s="1"/>
  <c r="AE547" i="5" s="1"/>
  <c r="AE565" i="5" s="1"/>
  <c r="AE583" i="5" s="1"/>
  <c r="AE601" i="5" s="1"/>
  <c r="L61" i="5"/>
  <c r="U61" i="5" s="1"/>
  <c r="C61" i="5"/>
  <c r="AL59" i="5"/>
  <c r="AO59" i="5" s="1"/>
  <c r="AH59" i="5"/>
  <c r="AH77" i="5" s="1"/>
  <c r="AH95" i="5" s="1"/>
  <c r="AH113" i="5" s="1"/>
  <c r="AH131" i="5" s="1"/>
  <c r="AH149" i="5" s="1"/>
  <c r="AH167" i="5" s="1"/>
  <c r="AE59" i="5"/>
  <c r="AE77" i="5" s="1"/>
  <c r="AE95" i="5" s="1"/>
  <c r="AE113" i="5" s="1"/>
  <c r="AE131" i="5" s="1"/>
  <c r="AE149" i="5" s="1"/>
  <c r="AE167" i="5" s="1"/>
  <c r="AE185" i="5" s="1"/>
  <c r="AE203" i="5" s="1"/>
  <c r="AE221" i="5" s="1"/>
  <c r="AE239" i="5" s="1"/>
  <c r="AE257" i="5" s="1"/>
  <c r="AE275" i="5" s="1"/>
  <c r="AE293" i="5" s="1"/>
  <c r="AE311" i="5" s="1"/>
  <c r="AE329" i="5" s="1"/>
  <c r="AE347" i="5" s="1"/>
  <c r="AE365" i="5" s="1"/>
  <c r="AE383" i="5" s="1"/>
  <c r="AE401" i="5" s="1"/>
  <c r="AE419" i="5" s="1"/>
  <c r="AE437" i="5" s="1"/>
  <c r="AE455" i="5" s="1"/>
  <c r="AE473" i="5" s="1"/>
  <c r="AE491" i="5" s="1"/>
  <c r="AE509" i="5" s="1"/>
  <c r="AE527" i="5" s="1"/>
  <c r="AE545" i="5" s="1"/>
  <c r="AE563" i="5" s="1"/>
  <c r="AE581" i="5" s="1"/>
  <c r="AE599" i="5" s="1"/>
  <c r="L59" i="5"/>
  <c r="AG59" i="5" s="1" a="1"/>
  <c r="AG59" i="5" s="1"/>
  <c r="C59" i="5"/>
  <c r="AL58" i="5"/>
  <c r="AO58" i="5" s="1"/>
  <c r="AH58" i="5"/>
  <c r="AH76" i="5" s="1"/>
  <c r="AH94" i="5" s="1"/>
  <c r="AH112" i="5" s="1"/>
  <c r="AH130" i="5" s="1"/>
  <c r="AH148" i="5" s="1"/>
  <c r="AH166" i="5" s="1"/>
  <c r="AE58" i="5"/>
  <c r="AE76" i="5" s="1"/>
  <c r="AE94" i="5" s="1"/>
  <c r="AE112" i="5" s="1"/>
  <c r="AE130" i="5" s="1"/>
  <c r="AE148" i="5" s="1"/>
  <c r="AE166" i="5" s="1"/>
  <c r="AE184" i="5" s="1"/>
  <c r="AE202" i="5" s="1"/>
  <c r="AE220" i="5" s="1"/>
  <c r="AE238" i="5" s="1"/>
  <c r="AE256" i="5" s="1"/>
  <c r="AE274" i="5" s="1"/>
  <c r="AE292" i="5" s="1"/>
  <c r="AE310" i="5" s="1"/>
  <c r="AE328" i="5" s="1"/>
  <c r="AE346" i="5" s="1"/>
  <c r="AE364" i="5" s="1"/>
  <c r="AE382" i="5" s="1"/>
  <c r="AE400" i="5" s="1"/>
  <c r="AE418" i="5" s="1"/>
  <c r="AE436" i="5" s="1"/>
  <c r="AE454" i="5" s="1"/>
  <c r="AE472" i="5" s="1"/>
  <c r="AE490" i="5" s="1"/>
  <c r="AE508" i="5" s="1"/>
  <c r="AE526" i="5" s="1"/>
  <c r="AE544" i="5" s="1"/>
  <c r="AE562" i="5" s="1"/>
  <c r="AE580" i="5" s="1"/>
  <c r="AE598" i="5" s="1"/>
  <c r="L58" i="5"/>
  <c r="AG58" i="5" s="1" a="1"/>
  <c r="AG58" i="5" s="1"/>
  <c r="C58" i="5"/>
  <c r="AL56" i="5"/>
  <c r="AO56" i="5" s="1"/>
  <c r="AH56" i="5"/>
  <c r="AH74" i="5" s="1"/>
  <c r="AH92" i="5" s="1"/>
  <c r="AH110" i="5" s="1"/>
  <c r="AH128" i="5" s="1"/>
  <c r="AH146" i="5" s="1"/>
  <c r="AH164" i="5" s="1"/>
  <c r="AE56" i="5"/>
  <c r="AE74" i="5" s="1"/>
  <c r="AE92" i="5" s="1"/>
  <c r="AE110" i="5" s="1"/>
  <c r="AE128" i="5" s="1"/>
  <c r="AE146" i="5" s="1"/>
  <c r="AE164" i="5" s="1"/>
  <c r="AE182" i="5" s="1"/>
  <c r="AE200" i="5" s="1"/>
  <c r="AE218" i="5" s="1"/>
  <c r="AE236" i="5" s="1"/>
  <c r="AE254" i="5" s="1"/>
  <c r="AE272" i="5" s="1"/>
  <c r="AE290" i="5" s="1"/>
  <c r="AE308" i="5" s="1"/>
  <c r="AE326" i="5" s="1"/>
  <c r="AE344" i="5" s="1"/>
  <c r="AE362" i="5" s="1"/>
  <c r="AE380" i="5" s="1"/>
  <c r="AE398" i="5" s="1"/>
  <c r="AE416" i="5" s="1"/>
  <c r="AE434" i="5" s="1"/>
  <c r="AE452" i="5" s="1"/>
  <c r="AE470" i="5" s="1"/>
  <c r="AE488" i="5" s="1"/>
  <c r="AE506" i="5" s="1"/>
  <c r="AE524" i="5" s="1"/>
  <c r="AE542" i="5" s="1"/>
  <c r="AE560" i="5" s="1"/>
  <c r="AE578" i="5" s="1"/>
  <c r="AE596" i="5" s="1"/>
  <c r="L56" i="5"/>
  <c r="AG56" i="5" s="1" a="1"/>
  <c r="AG56" i="5" s="1"/>
  <c r="C56" i="5"/>
  <c r="AL55" i="5"/>
  <c r="AO55" i="5" s="1"/>
  <c r="AH55" i="5"/>
  <c r="AH73" i="5" s="1"/>
  <c r="AH91" i="5" s="1"/>
  <c r="AH109" i="5" s="1"/>
  <c r="AH127" i="5" s="1"/>
  <c r="AH145" i="5" s="1"/>
  <c r="AH163" i="5" s="1"/>
  <c r="AE55" i="5"/>
  <c r="AE73" i="5" s="1"/>
  <c r="AE91" i="5" s="1"/>
  <c r="AE109" i="5" s="1"/>
  <c r="AE127" i="5" s="1"/>
  <c r="AE145" i="5" s="1"/>
  <c r="AE163" i="5" s="1"/>
  <c r="AE181" i="5" s="1"/>
  <c r="AE199" i="5" s="1"/>
  <c r="AE217" i="5" s="1"/>
  <c r="AE235" i="5" s="1"/>
  <c r="AE253" i="5" s="1"/>
  <c r="AE271" i="5" s="1"/>
  <c r="AE289" i="5" s="1"/>
  <c r="AE307" i="5" s="1"/>
  <c r="AE325" i="5" s="1"/>
  <c r="AE343" i="5" s="1"/>
  <c r="AE361" i="5" s="1"/>
  <c r="AE379" i="5" s="1"/>
  <c r="AE397" i="5" s="1"/>
  <c r="AE415" i="5" s="1"/>
  <c r="AE433" i="5" s="1"/>
  <c r="AE451" i="5" s="1"/>
  <c r="AE469" i="5" s="1"/>
  <c r="AE487" i="5" s="1"/>
  <c r="AE505" i="5" s="1"/>
  <c r="AE523" i="5" s="1"/>
  <c r="AE541" i="5" s="1"/>
  <c r="AE559" i="5" s="1"/>
  <c r="AE577" i="5" s="1"/>
  <c r="AE595" i="5" s="1"/>
  <c r="L55" i="5"/>
  <c r="AG55" i="5" s="1" a="1"/>
  <c r="AG55" i="5" s="1"/>
  <c r="C55" i="5"/>
  <c r="AL53" i="5"/>
  <c r="AO53" i="5" s="1"/>
  <c r="AH53" i="5"/>
  <c r="AH71" i="5" s="1"/>
  <c r="AH89" i="5" s="1"/>
  <c r="AH107" i="5" s="1"/>
  <c r="AH125" i="5" s="1"/>
  <c r="AH143" i="5" s="1"/>
  <c r="AH161" i="5" s="1"/>
  <c r="AE53" i="5"/>
  <c r="AE71" i="5" s="1"/>
  <c r="AE89" i="5" s="1"/>
  <c r="AE107" i="5" s="1"/>
  <c r="AE125" i="5" s="1"/>
  <c r="AE143" i="5" s="1"/>
  <c r="AE161" i="5" s="1"/>
  <c r="AE179" i="5" s="1"/>
  <c r="AE197" i="5" s="1"/>
  <c r="AE215" i="5" s="1"/>
  <c r="AE233" i="5" s="1"/>
  <c r="AE251" i="5" s="1"/>
  <c r="AE269" i="5" s="1"/>
  <c r="AE287" i="5" s="1"/>
  <c r="AE305" i="5" s="1"/>
  <c r="AE323" i="5" s="1"/>
  <c r="AE341" i="5" s="1"/>
  <c r="AE359" i="5" s="1"/>
  <c r="AE377" i="5" s="1"/>
  <c r="AE395" i="5" s="1"/>
  <c r="AE413" i="5" s="1"/>
  <c r="AE431" i="5" s="1"/>
  <c r="AE449" i="5" s="1"/>
  <c r="AE467" i="5" s="1"/>
  <c r="AE485" i="5" s="1"/>
  <c r="AE503" i="5" s="1"/>
  <c r="AE521" i="5" s="1"/>
  <c r="AE539" i="5" s="1"/>
  <c r="AE557" i="5" s="1"/>
  <c r="AE575" i="5" s="1"/>
  <c r="AE593" i="5" s="1"/>
  <c r="L53" i="5"/>
  <c r="AG53" i="5" s="1" a="1"/>
  <c r="AG53" i="5" s="1"/>
  <c r="C53" i="5"/>
  <c r="AL52" i="5"/>
  <c r="AO52" i="5" s="1"/>
  <c r="AH52" i="5"/>
  <c r="AH70" i="5" s="1"/>
  <c r="AH88" i="5" s="1"/>
  <c r="AH106" i="5" s="1"/>
  <c r="AH124" i="5" s="1"/>
  <c r="AH142" i="5" s="1"/>
  <c r="AH160" i="5" s="1"/>
  <c r="AE52" i="5"/>
  <c r="AE70" i="5" s="1"/>
  <c r="AE88" i="5" s="1"/>
  <c r="AE106" i="5" s="1"/>
  <c r="AE124" i="5" s="1"/>
  <c r="AE142" i="5" s="1"/>
  <c r="AE160" i="5" s="1"/>
  <c r="AE178" i="5" s="1"/>
  <c r="AE196" i="5" s="1"/>
  <c r="AE214" i="5" s="1"/>
  <c r="AE232" i="5" s="1"/>
  <c r="AE250" i="5" s="1"/>
  <c r="AE268" i="5" s="1"/>
  <c r="AE286" i="5" s="1"/>
  <c r="AE304" i="5" s="1"/>
  <c r="AE322" i="5" s="1"/>
  <c r="AE340" i="5" s="1"/>
  <c r="AE358" i="5" s="1"/>
  <c r="AE376" i="5" s="1"/>
  <c r="AE394" i="5" s="1"/>
  <c r="AE412" i="5" s="1"/>
  <c r="AE430" i="5" s="1"/>
  <c r="AE448" i="5" s="1"/>
  <c r="AE466" i="5" s="1"/>
  <c r="AE484" i="5" s="1"/>
  <c r="AE502" i="5" s="1"/>
  <c r="AE520" i="5" s="1"/>
  <c r="AE538" i="5" s="1"/>
  <c r="AE556" i="5" s="1"/>
  <c r="AE574" i="5" s="1"/>
  <c r="AE592" i="5" s="1"/>
  <c r="L52" i="5"/>
  <c r="AG52" i="5" s="1" a="1"/>
  <c r="AG52" i="5" s="1"/>
  <c r="C52" i="5"/>
  <c r="AL50" i="5"/>
  <c r="AO50" i="5" s="1"/>
  <c r="AG50" i="5" a="1"/>
  <c r="AG50" i="5" s="1"/>
  <c r="U50" i="5"/>
  <c r="C50" i="5"/>
  <c r="AL49" i="5"/>
  <c r="AO49" i="5" s="1"/>
  <c r="AG49" i="5" a="1"/>
  <c r="AG49" i="5" s="1"/>
  <c r="U49" i="5"/>
  <c r="C49" i="5"/>
  <c r="AL47" i="5"/>
  <c r="AO47" i="5" s="1"/>
  <c r="AG47" i="5" a="1"/>
  <c r="AG47" i="5" s="1"/>
  <c r="U47" i="5"/>
  <c r="C47" i="5"/>
  <c r="AL46" i="5"/>
  <c r="AO46" i="5" s="1"/>
  <c r="AG46" i="5" a="1"/>
  <c r="AG46" i="5" s="1"/>
  <c r="U46" i="5"/>
  <c r="C46" i="5"/>
  <c r="AL44" i="5"/>
  <c r="AO44" i="5" s="1"/>
  <c r="AG44" i="5" a="1"/>
  <c r="AG44" i="5" s="1"/>
  <c r="U44" i="5"/>
  <c r="C44" i="5"/>
  <c r="AL43" i="5"/>
  <c r="AO43" i="5" s="1"/>
  <c r="AG43" i="5" a="1"/>
  <c r="AG43" i="5" s="1"/>
  <c r="U43" i="5"/>
  <c r="C43" i="5"/>
  <c r="AL41" i="5"/>
  <c r="AO41" i="5" s="1"/>
  <c r="AG41" i="5" a="1"/>
  <c r="AG41" i="5" s="1"/>
  <c r="U41" i="5"/>
  <c r="C41" i="5"/>
  <c r="AL40" i="5"/>
  <c r="AO40" i="5" s="1"/>
  <c r="AG40" i="5" a="1"/>
  <c r="AG40" i="5" s="1"/>
  <c r="U40" i="5"/>
  <c r="C40" i="5"/>
  <c r="AL38" i="5"/>
  <c r="AO38" i="5" s="1"/>
  <c r="AG38" i="5" a="1"/>
  <c r="AG38" i="5" s="1"/>
  <c r="U38" i="5"/>
  <c r="C38" i="5"/>
  <c r="AL37" i="5"/>
  <c r="AO37" i="5" s="1"/>
  <c r="AG37" i="5" a="1"/>
  <c r="AG37" i="5" s="1"/>
  <c r="U37" i="5"/>
  <c r="C37" i="5"/>
  <c r="AL35" i="5"/>
  <c r="AO35" i="5" s="1"/>
  <c r="AG35" i="5" a="1"/>
  <c r="AG35" i="5" s="1"/>
  <c r="U35" i="5"/>
  <c r="C35" i="5"/>
  <c r="AL34" i="5"/>
  <c r="AO34" i="5" s="1"/>
  <c r="AG34" i="5" a="1"/>
  <c r="AG34" i="5" s="1"/>
  <c r="U34" i="5"/>
  <c r="C34" i="5"/>
  <c r="AL709" i="5"/>
  <c r="AO709" i="5" s="1"/>
  <c r="AH358" i="5" l="1"/>
  <c r="AH364" i="5"/>
  <c r="AH370" i="5"/>
  <c r="AH502" i="5"/>
  <c r="AH508" i="5"/>
  <c r="AH514" i="5"/>
  <c r="AH359" i="5"/>
  <c r="AH365" i="5"/>
  <c r="AH371" i="5"/>
  <c r="AH503" i="5"/>
  <c r="AH509" i="5"/>
  <c r="AH515" i="5"/>
  <c r="AH361" i="5"/>
  <c r="AH367" i="5"/>
  <c r="AH505" i="5"/>
  <c r="AH511" i="5"/>
  <c r="AH362" i="5"/>
  <c r="AH368" i="5"/>
  <c r="AH506" i="5"/>
  <c r="AH512" i="5"/>
  <c r="U52" i="5"/>
  <c r="L77" i="5"/>
  <c r="AG77" i="5" s="1" a="1"/>
  <c r="AG77" i="5" s="1"/>
  <c r="L80" i="5"/>
  <c r="AG80" i="5" s="1" a="1"/>
  <c r="AG80" i="5" s="1"/>
  <c r="L85" i="5"/>
  <c r="AG85" i="5" s="1" a="1"/>
  <c r="AG85" i="5" s="1"/>
  <c r="L74" i="5"/>
  <c r="AG74" i="5" s="1" a="1"/>
  <c r="AG74" i="5" s="1"/>
  <c r="L86" i="5"/>
  <c r="AG86" i="5" s="1" a="1"/>
  <c r="AG86" i="5" s="1"/>
  <c r="L71" i="5"/>
  <c r="U71" i="5" s="1"/>
  <c r="L82" i="5"/>
  <c r="U82" i="5" s="1"/>
  <c r="L70" i="5"/>
  <c r="L79" i="5"/>
  <c r="U79" i="5" s="1"/>
  <c r="L73" i="5"/>
  <c r="U73" i="5" s="1"/>
  <c r="L76" i="5"/>
  <c r="U76" i="5" s="1"/>
  <c r="L83" i="5"/>
  <c r="U83" i="5" s="1"/>
  <c r="AG61" i="5" a="1"/>
  <c r="AG61" i="5" s="1"/>
  <c r="U67" i="5"/>
  <c r="U68" i="5"/>
  <c r="U64" i="5"/>
  <c r="U65" i="5"/>
  <c r="U62" i="5"/>
  <c r="U58" i="5"/>
  <c r="U59" i="5"/>
  <c r="U55" i="5"/>
  <c r="U56" i="5"/>
  <c r="U53" i="5"/>
  <c r="J709" i="5"/>
  <c r="AL702" i="5"/>
  <c r="AL703" i="5"/>
  <c r="AL704" i="5"/>
  <c r="AL705" i="5"/>
  <c r="AL706" i="5"/>
  <c r="AL707" i="5"/>
  <c r="AL708" i="5"/>
  <c r="AL701" i="5"/>
  <c r="AH386" i="5" l="1"/>
  <c r="AH533" i="5"/>
  <c r="AH532" i="5"/>
  <c r="AH380" i="5"/>
  <c r="AH527" i="5"/>
  <c r="AH526" i="5"/>
  <c r="AH529" i="5"/>
  <c r="AH521" i="5"/>
  <c r="AH520" i="5"/>
  <c r="AH523" i="5"/>
  <c r="AH389" i="5"/>
  <c r="AH388" i="5"/>
  <c r="AH530" i="5"/>
  <c r="AH385" i="5"/>
  <c r="AH383" i="5"/>
  <c r="AH382" i="5"/>
  <c r="AH524" i="5"/>
  <c r="AH379" i="5"/>
  <c r="AH377" i="5"/>
  <c r="AH376" i="5"/>
  <c r="L95" i="5"/>
  <c r="U95" i="5" s="1"/>
  <c r="L98" i="5"/>
  <c r="AG98" i="5" s="1" a="1"/>
  <c r="AG98" i="5" s="1"/>
  <c r="L104" i="5"/>
  <c r="U104" i="5" s="1"/>
  <c r="U77" i="5"/>
  <c r="U80" i="5"/>
  <c r="U86" i="5"/>
  <c r="U85" i="5"/>
  <c r="L103" i="5"/>
  <c r="U103" i="5" s="1"/>
  <c r="L92" i="5"/>
  <c r="U92" i="5" s="1"/>
  <c r="U74" i="5"/>
  <c r="AG71" i="5" a="1"/>
  <c r="AG71" i="5" s="1"/>
  <c r="L89" i="5"/>
  <c r="U70" i="5"/>
  <c r="L88" i="5"/>
  <c r="AG70" i="5" a="1"/>
  <c r="AG70" i="5" s="1"/>
  <c r="AG79" i="5" a="1"/>
  <c r="AG79" i="5" s="1"/>
  <c r="L97" i="5"/>
  <c r="AG83" i="5" a="1"/>
  <c r="AG83" i="5" s="1"/>
  <c r="L101" i="5"/>
  <c r="AG82" i="5" a="1"/>
  <c r="AG82" i="5" s="1"/>
  <c r="L100" i="5"/>
  <c r="AG76" i="5" a="1"/>
  <c r="AG76" i="5" s="1"/>
  <c r="L94" i="5"/>
  <c r="AG73" i="5" a="1"/>
  <c r="AG73" i="5" s="1"/>
  <c r="L91" i="5"/>
  <c r="AO701" i="5"/>
  <c r="AO702" i="5"/>
  <c r="AO703" i="5"/>
  <c r="AO704" i="5"/>
  <c r="AO705" i="5"/>
  <c r="AO706" i="5"/>
  <c r="AO707" i="5"/>
  <c r="AO708" i="5"/>
  <c r="AH544" i="5" l="1"/>
  <c r="AH542" i="5"/>
  <c r="AH545" i="5"/>
  <c r="AH541" i="5"/>
  <c r="AH538" i="5"/>
  <c r="AH550" i="5"/>
  <c r="AH539" i="5"/>
  <c r="AH551" i="5"/>
  <c r="AH548" i="5"/>
  <c r="AH547" i="5"/>
  <c r="L113" i="5"/>
  <c r="AG113" i="5" s="1" a="1"/>
  <c r="AG113" i="5" s="1"/>
  <c r="AG95" i="5" a="1"/>
  <c r="AG95" i="5" s="1"/>
  <c r="AG104" i="5" a="1"/>
  <c r="AG104" i="5" s="1"/>
  <c r="L116" i="5"/>
  <c r="U116" i="5" s="1"/>
  <c r="U98" i="5"/>
  <c r="L122" i="5"/>
  <c r="AG122" i="5" s="1" a="1"/>
  <c r="AG122" i="5" s="1"/>
  <c r="AG103" i="5" a="1"/>
  <c r="AG103" i="5" s="1"/>
  <c r="L121" i="5"/>
  <c r="AG121" i="5" s="1" a="1"/>
  <c r="AG121" i="5" s="1"/>
  <c r="AG92" i="5" a="1"/>
  <c r="AG92" i="5" s="1"/>
  <c r="L110" i="5"/>
  <c r="AG110" i="5" s="1" a="1"/>
  <c r="AG110" i="5" s="1"/>
  <c r="AG89" i="5" a="1"/>
  <c r="AG89" i="5" s="1"/>
  <c r="U89" i="5"/>
  <c r="L107" i="5"/>
  <c r="L106" i="5"/>
  <c r="AG88" i="5" a="1"/>
  <c r="AG88" i="5" s="1"/>
  <c r="U88" i="5"/>
  <c r="U94" i="5"/>
  <c r="AG94" i="5" a="1"/>
  <c r="AG94" i="5" s="1"/>
  <c r="L112" i="5"/>
  <c r="AG91" i="5" a="1"/>
  <c r="AG91" i="5" s="1"/>
  <c r="L109" i="5"/>
  <c r="U91" i="5"/>
  <c r="AG100" i="5" a="1"/>
  <c r="AG100" i="5" s="1"/>
  <c r="L118" i="5"/>
  <c r="U100" i="5"/>
  <c r="AG101" i="5" a="1"/>
  <c r="AG101" i="5" s="1"/>
  <c r="L119" i="5"/>
  <c r="U101" i="5"/>
  <c r="L115" i="5"/>
  <c r="AG97" i="5" a="1"/>
  <c r="AG97" i="5" s="1"/>
  <c r="U97" i="5"/>
  <c r="J708" i="5"/>
  <c r="J707" i="5"/>
  <c r="J706" i="5"/>
  <c r="J705" i="5"/>
  <c r="J704" i="5"/>
  <c r="J703" i="5"/>
  <c r="J702" i="5"/>
  <c r="J701" i="5"/>
  <c r="U113" i="5" l="1"/>
  <c r="L131" i="5"/>
  <c r="AH568" i="5"/>
  <c r="AH556" i="5"/>
  <c r="AH565" i="5"/>
  <c r="AH559" i="5"/>
  <c r="AH566" i="5"/>
  <c r="AH563" i="5"/>
  <c r="AH569" i="5"/>
  <c r="AH560" i="5"/>
  <c r="AH557" i="5"/>
  <c r="AH562" i="5"/>
  <c r="L134" i="5"/>
  <c r="AG116" i="5" a="1"/>
  <c r="AG116" i="5" s="1"/>
  <c r="L140" i="5"/>
  <c r="U122" i="5"/>
  <c r="L139" i="5"/>
  <c r="U139" i="5" s="1"/>
  <c r="U121" i="5"/>
  <c r="U110" i="5"/>
  <c r="L128" i="5"/>
  <c r="L146" i="5" s="1"/>
  <c r="U107" i="5"/>
  <c r="L125" i="5"/>
  <c r="AG107" i="5" a="1"/>
  <c r="AG107" i="5" s="1"/>
  <c r="AG119" i="5" a="1"/>
  <c r="AG119" i="5" s="1"/>
  <c r="L137" i="5"/>
  <c r="U119" i="5"/>
  <c r="AG118" i="5" a="1"/>
  <c r="AG118" i="5" s="1"/>
  <c r="L136" i="5"/>
  <c r="U118" i="5"/>
  <c r="AG131" i="5" a="1"/>
  <c r="AG131" i="5" s="1"/>
  <c r="L149" i="5"/>
  <c r="U131" i="5"/>
  <c r="AG115" i="5" a="1"/>
  <c r="AG115" i="5" s="1"/>
  <c r="L133" i="5"/>
  <c r="U115" i="5"/>
  <c r="AG134" i="5" a="1"/>
  <c r="AG134" i="5" s="1"/>
  <c r="U134" i="5"/>
  <c r="L152" i="5"/>
  <c r="AG112" i="5" a="1"/>
  <c r="AG112" i="5" s="1"/>
  <c r="L130" i="5"/>
  <c r="U112" i="5"/>
  <c r="U140" i="5"/>
  <c r="AG140" i="5" a="1"/>
  <c r="AG140" i="5" s="1"/>
  <c r="L158" i="5"/>
  <c r="AG109" i="5" a="1"/>
  <c r="AG109" i="5" s="1"/>
  <c r="L127" i="5"/>
  <c r="U109" i="5"/>
  <c r="AG106" i="5" a="1"/>
  <c r="AG106" i="5" s="1"/>
  <c r="L124" i="5"/>
  <c r="U106" i="5"/>
  <c r="D708" i="5"/>
  <c r="M708" i="5" s="1"/>
  <c r="D707" i="5"/>
  <c r="M707" i="5" s="1"/>
  <c r="D706" i="5"/>
  <c r="M706" i="5" s="1"/>
  <c r="D705" i="5"/>
  <c r="M705" i="5" s="1"/>
  <c r="D704" i="5"/>
  <c r="M704" i="5" s="1"/>
  <c r="D703" i="5"/>
  <c r="M703" i="5" s="1"/>
  <c r="D702" i="5"/>
  <c r="M702" i="5" s="1"/>
  <c r="D701" i="5"/>
  <c r="M701" i="5" s="1"/>
  <c r="AH581" i="5" l="1"/>
  <c r="AH580" i="5"/>
  <c r="AH577" i="5"/>
  <c r="AH575" i="5"/>
  <c r="AH583" i="5"/>
  <c r="AH584" i="5"/>
  <c r="AH578" i="5"/>
  <c r="AH574" i="5"/>
  <c r="AH587" i="5"/>
  <c r="AH586" i="5"/>
  <c r="L157" i="5"/>
  <c r="AG157" i="5" s="1" a="1"/>
  <c r="AG157" i="5" s="1"/>
  <c r="AG139" i="5" a="1"/>
  <c r="AG139" i="5" s="1"/>
  <c r="AG128" i="5" a="1"/>
  <c r="AG128" i="5" s="1"/>
  <c r="U128" i="5"/>
  <c r="U125" i="5"/>
  <c r="AG125" i="5" a="1"/>
  <c r="AG125" i="5" s="1"/>
  <c r="L143" i="5"/>
  <c r="AG124" i="5" a="1"/>
  <c r="AG124" i="5" s="1"/>
  <c r="L142" i="5"/>
  <c r="U124" i="5"/>
  <c r="L151" i="5"/>
  <c r="U133" i="5"/>
  <c r="AG133" i="5" a="1"/>
  <c r="AG133" i="5" s="1"/>
  <c r="AG146" i="5" a="1"/>
  <c r="AG146" i="5" s="1"/>
  <c r="L164" i="5"/>
  <c r="U146" i="5"/>
  <c r="AG137" i="5" a="1"/>
  <c r="AG137" i="5" s="1"/>
  <c r="L155" i="5"/>
  <c r="U137" i="5"/>
  <c r="AG130" i="5" a="1"/>
  <c r="AG130" i="5" s="1"/>
  <c r="L148" i="5"/>
  <c r="U130" i="5"/>
  <c r="AG158" i="5" a="1"/>
  <c r="AG158" i="5" s="1"/>
  <c r="L176" i="5"/>
  <c r="U158" i="5"/>
  <c r="AG152" i="5" a="1"/>
  <c r="AG152" i="5" s="1"/>
  <c r="L170" i="5"/>
  <c r="U152" i="5"/>
  <c r="AG149" i="5" a="1"/>
  <c r="AG149" i="5" s="1"/>
  <c r="L167" i="5"/>
  <c r="U149" i="5"/>
  <c r="L145" i="5"/>
  <c r="U127" i="5"/>
  <c r="AG127" i="5" a="1"/>
  <c r="AG127" i="5" s="1"/>
  <c r="AG136" i="5" a="1"/>
  <c r="AG136" i="5" s="1"/>
  <c r="L154" i="5"/>
  <c r="U136" i="5"/>
  <c r="AG6" i="5" a="1"/>
  <c r="AG6" i="5" s="1"/>
  <c r="AG7" i="5" a="1"/>
  <c r="AG7" i="5" s="1"/>
  <c r="AG8" i="5" a="1"/>
  <c r="AG8" i="5" s="1"/>
  <c r="AG9" i="5" a="1"/>
  <c r="AG9" i="5" s="1"/>
  <c r="AG10" i="5" a="1"/>
  <c r="AG10" i="5" s="1"/>
  <c r="AG11" i="5" a="1"/>
  <c r="AG11" i="5" s="1"/>
  <c r="AG12" i="5" a="1"/>
  <c r="AG12" i="5" s="1"/>
  <c r="AG13" i="5" a="1"/>
  <c r="AG13" i="5" s="1"/>
  <c r="AG14" i="5" a="1"/>
  <c r="AG14" i="5" s="1"/>
  <c r="AG15" i="5" a="1"/>
  <c r="AG15" i="5" s="1"/>
  <c r="AG16" i="5" a="1"/>
  <c r="AG16" i="5" s="1"/>
  <c r="AG17" i="5" a="1"/>
  <c r="AG17" i="5" s="1"/>
  <c r="AG18" i="5" a="1"/>
  <c r="AG18" i="5" s="1"/>
  <c r="AG19" i="5" a="1"/>
  <c r="AG19" i="5" s="1"/>
  <c r="AG20" i="5" a="1"/>
  <c r="AG20" i="5" s="1"/>
  <c r="AG21" i="5" a="1"/>
  <c r="AG21" i="5" s="1"/>
  <c r="AG22" i="5" a="1"/>
  <c r="AG22" i="5" s="1"/>
  <c r="AG23" i="5" a="1"/>
  <c r="AG23" i="5" s="1"/>
  <c r="AG24" i="5" a="1"/>
  <c r="AG24" i="5" s="1"/>
  <c r="AG25" i="5" a="1"/>
  <c r="AG25" i="5" s="1"/>
  <c r="AG26" i="5" a="1"/>
  <c r="AG26" i="5" s="1"/>
  <c r="AG27" i="5" a="1"/>
  <c r="AG27" i="5" s="1"/>
  <c r="AG28" i="5" a="1"/>
  <c r="AG28" i="5" s="1"/>
  <c r="AG29" i="5" a="1"/>
  <c r="AG29" i="5" s="1"/>
  <c r="AG30" i="5" a="1"/>
  <c r="AG30" i="5" s="1"/>
  <c r="AG31" i="5" a="1"/>
  <c r="AG31" i="5" s="1"/>
  <c r="AG32" i="5" a="1"/>
  <c r="AG32" i="5" s="1"/>
  <c r="AG33" i="5" a="1"/>
  <c r="AG33" i="5" s="1"/>
  <c r="AG36" i="5" a="1"/>
  <c r="AG36" i="5" s="1"/>
  <c r="AG39" i="5" a="1"/>
  <c r="AG39" i="5" s="1"/>
  <c r="AG42" i="5" a="1"/>
  <c r="AG42" i="5" s="1"/>
  <c r="AG45" i="5" a="1"/>
  <c r="AG45" i="5" s="1"/>
  <c r="AG48" i="5" a="1"/>
  <c r="AG48" i="5" s="1"/>
  <c r="AG609" i="5" a="1"/>
  <c r="AG609" i="5" s="1"/>
  <c r="AG610" i="5" a="1"/>
  <c r="AG610" i="5" s="1"/>
  <c r="AG611" i="5" a="1"/>
  <c r="AG611" i="5" s="1"/>
  <c r="AG612" i="5" a="1"/>
  <c r="AG612" i="5" s="1"/>
  <c r="AG613" i="5" a="1"/>
  <c r="AG613" i="5" s="1"/>
  <c r="AG614" i="5" a="1"/>
  <c r="AG614" i="5" s="1"/>
  <c r="AG615" i="5" a="1"/>
  <c r="AG615" i="5" s="1"/>
  <c r="AG616" i="5" a="1"/>
  <c r="AG616" i="5" s="1"/>
  <c r="AG617" i="5" a="1"/>
  <c r="AG617" i="5" s="1"/>
  <c r="AG618" i="5" a="1"/>
  <c r="AG618" i="5" s="1"/>
  <c r="AG619" i="5" a="1"/>
  <c r="AG619" i="5" s="1"/>
  <c r="AG620" i="5" a="1"/>
  <c r="AG620" i="5" s="1"/>
  <c r="AG621" i="5" a="1"/>
  <c r="AG621" i="5" s="1"/>
  <c r="AG622" i="5" a="1"/>
  <c r="AG622" i="5" s="1"/>
  <c r="AG623" i="5" a="1"/>
  <c r="AG623" i="5" s="1"/>
  <c r="AG624" i="5" a="1"/>
  <c r="AG624" i="5" s="1"/>
  <c r="AG625" i="5" a="1"/>
  <c r="AG625" i="5" s="1"/>
  <c r="AG626" i="5" a="1"/>
  <c r="AG626" i="5" s="1"/>
  <c r="AG627" i="5" a="1"/>
  <c r="AG627" i="5" s="1"/>
  <c r="AG628" i="5" a="1"/>
  <c r="AG628" i="5" s="1"/>
  <c r="AG629" i="5" a="1"/>
  <c r="AG629" i="5" s="1"/>
  <c r="AG630" i="5" a="1"/>
  <c r="AG630" i="5" s="1"/>
  <c r="AG631" i="5" a="1"/>
  <c r="AG631" i="5" s="1"/>
  <c r="AG632" i="5" a="1"/>
  <c r="AG632" i="5" s="1"/>
  <c r="AG633" i="5" a="1"/>
  <c r="AG633" i="5" s="1"/>
  <c r="AG634" i="5" a="1"/>
  <c r="AG634" i="5" s="1"/>
  <c r="AG635" i="5" a="1"/>
  <c r="AG635" i="5" s="1"/>
  <c r="AG636" i="5" a="1"/>
  <c r="AG636" i="5" s="1"/>
  <c r="AG637" i="5" a="1"/>
  <c r="AG637" i="5" s="1"/>
  <c r="AG638" i="5" a="1"/>
  <c r="AG638" i="5" s="1"/>
  <c r="AG639" i="5" a="1"/>
  <c r="AG639" i="5" s="1"/>
  <c r="AG640" i="5" a="1"/>
  <c r="AG640" i="5" s="1"/>
  <c r="AG641" i="5" a="1"/>
  <c r="AG641" i="5" s="1"/>
  <c r="AG642" i="5" a="1"/>
  <c r="AG642" i="5" s="1"/>
  <c r="AG643" i="5" a="1"/>
  <c r="AG643" i="5" s="1"/>
  <c r="AG644" i="5" a="1"/>
  <c r="AG644" i="5" s="1"/>
  <c r="AG645" i="5" a="1"/>
  <c r="AG645" i="5" s="1"/>
  <c r="AG646" i="5" a="1"/>
  <c r="AG646" i="5" s="1"/>
  <c r="AG647" i="5" a="1"/>
  <c r="AG647" i="5" s="1"/>
  <c r="AG648" i="5" a="1"/>
  <c r="AG648" i="5" s="1"/>
  <c r="AG649" i="5" a="1"/>
  <c r="AG649" i="5" s="1"/>
  <c r="AG650" i="5" a="1"/>
  <c r="AG650" i="5" s="1"/>
  <c r="AG651" i="5" a="1"/>
  <c r="AG651" i="5" s="1"/>
  <c r="AG652" i="5" a="1"/>
  <c r="AG652" i="5" s="1"/>
  <c r="AG653" i="5" a="1"/>
  <c r="AG653" i="5" s="1"/>
  <c r="AG654" i="5" a="1"/>
  <c r="AG654" i="5" s="1"/>
  <c r="AG655" i="5" a="1"/>
  <c r="AG655" i="5" s="1"/>
  <c r="AG656" i="5" a="1"/>
  <c r="AG656" i="5" s="1"/>
  <c r="AG657" i="5" a="1"/>
  <c r="AG657" i="5" s="1"/>
  <c r="AG658" i="5" a="1"/>
  <c r="AG658" i="5" s="1"/>
  <c r="AG659" i="5" a="1"/>
  <c r="AG659" i="5" s="1"/>
  <c r="AG660" i="5" a="1"/>
  <c r="AG660" i="5" s="1"/>
  <c r="AG661" i="5" a="1"/>
  <c r="AG661" i="5" s="1"/>
  <c r="AG662" i="5" a="1"/>
  <c r="AG662" i="5" s="1"/>
  <c r="AG663" i="5" a="1"/>
  <c r="AG663" i="5" s="1"/>
  <c r="AG664" i="5" a="1"/>
  <c r="AG664" i="5" s="1"/>
  <c r="AG665" i="5" a="1"/>
  <c r="AG665" i="5" s="1"/>
  <c r="AG666" i="5" a="1"/>
  <c r="AG666" i="5" s="1"/>
  <c r="AG667" i="5" a="1"/>
  <c r="AG667" i="5" s="1"/>
  <c r="AG668" i="5" a="1"/>
  <c r="AG668" i="5" s="1"/>
  <c r="AG669" i="5" a="1"/>
  <c r="AG669" i="5" s="1"/>
  <c r="AG670" i="5" a="1"/>
  <c r="AG670" i="5" s="1"/>
  <c r="AG671" i="5" a="1"/>
  <c r="AG671" i="5" s="1"/>
  <c r="AG672" i="5" a="1"/>
  <c r="AG672" i="5" s="1"/>
  <c r="AG673" i="5" a="1"/>
  <c r="AG673" i="5" s="1"/>
  <c r="AG674" i="5" a="1"/>
  <c r="AG674" i="5" s="1"/>
  <c r="AG675" i="5" a="1"/>
  <c r="AG675" i="5" s="1"/>
  <c r="AG676" i="5" a="1"/>
  <c r="AG676" i="5" s="1"/>
  <c r="AG677" i="5" a="1"/>
  <c r="AG677" i="5" s="1"/>
  <c r="AG678" i="5" a="1"/>
  <c r="AG678" i="5" s="1"/>
  <c r="AG679" i="5" a="1"/>
  <c r="AG679" i="5" s="1"/>
  <c r="AG680" i="5" a="1"/>
  <c r="AG680" i="5" s="1"/>
  <c r="AG681" i="5" a="1"/>
  <c r="AG681" i="5" s="1"/>
  <c r="AG682" i="5" a="1"/>
  <c r="AG682" i="5" s="1"/>
  <c r="AG683" i="5" a="1"/>
  <c r="AG683" i="5" s="1"/>
  <c r="AG684" i="5" a="1"/>
  <c r="AG684" i="5" s="1"/>
  <c r="AG685" i="5" a="1"/>
  <c r="AG685" i="5" s="1"/>
  <c r="AG686" i="5" a="1"/>
  <c r="AG686" i="5" s="1"/>
  <c r="AG687" i="5" a="1"/>
  <c r="AG687" i="5" s="1"/>
  <c r="AG688" i="5" a="1"/>
  <c r="AG688" i="5" s="1"/>
  <c r="AG689" i="5" a="1"/>
  <c r="AG689" i="5" s="1"/>
  <c r="AG690" i="5" a="1"/>
  <c r="AG690" i="5" s="1"/>
  <c r="AG691" i="5" a="1"/>
  <c r="AG691" i="5" s="1"/>
  <c r="AG692" i="5" a="1"/>
  <c r="AG692" i="5" s="1"/>
  <c r="AG693" i="5" a="1"/>
  <c r="AG693" i="5" s="1"/>
  <c r="AG694" i="5" a="1"/>
  <c r="AG694" i="5" s="1"/>
  <c r="AG695" i="5" a="1"/>
  <c r="AG695" i="5" s="1"/>
  <c r="AG696" i="5" a="1"/>
  <c r="AG696" i="5" s="1"/>
  <c r="AG697" i="5" a="1"/>
  <c r="AG697" i="5" s="1"/>
  <c r="AG698" i="5" a="1"/>
  <c r="AG698" i="5" s="1"/>
  <c r="AG699" i="5" a="1"/>
  <c r="AG699" i="5" s="1"/>
  <c r="AG700" i="5" a="1"/>
  <c r="AG700" i="5" s="1"/>
  <c r="AG5" i="5" a="1"/>
  <c r="AG5" i="5" s="1"/>
  <c r="AL6" i="5"/>
  <c r="AO6" i="5" s="1"/>
  <c r="AL7" i="5"/>
  <c r="AO7" i="5" s="1"/>
  <c r="AL8" i="5"/>
  <c r="AO8" i="5" s="1"/>
  <c r="AL9" i="5"/>
  <c r="AO9" i="5" s="1"/>
  <c r="AL10" i="5"/>
  <c r="AO10" i="5" s="1"/>
  <c r="AL11" i="5"/>
  <c r="AO11" i="5" s="1"/>
  <c r="AL12" i="5"/>
  <c r="AO12" i="5" s="1"/>
  <c r="AL13" i="5"/>
  <c r="AO13" i="5" s="1"/>
  <c r="AL14" i="5"/>
  <c r="AO14" i="5" s="1"/>
  <c r="AL15" i="5"/>
  <c r="AO15" i="5" s="1"/>
  <c r="AL16" i="5"/>
  <c r="AO16" i="5" s="1"/>
  <c r="AL17" i="5"/>
  <c r="AO17" i="5" s="1"/>
  <c r="AL18" i="5"/>
  <c r="AO18" i="5" s="1"/>
  <c r="AL19" i="5"/>
  <c r="AO19" i="5" s="1"/>
  <c r="AL20" i="5"/>
  <c r="AO20" i="5" s="1"/>
  <c r="AL21" i="5"/>
  <c r="AO21" i="5" s="1"/>
  <c r="AL22" i="5"/>
  <c r="AO22" i="5" s="1"/>
  <c r="AL23" i="5"/>
  <c r="AO23" i="5" s="1"/>
  <c r="AL24" i="5"/>
  <c r="AO24" i="5" s="1"/>
  <c r="AL25" i="5"/>
  <c r="AO25" i="5" s="1"/>
  <c r="AL26" i="5"/>
  <c r="AO26" i="5" s="1"/>
  <c r="AL27" i="5"/>
  <c r="AO27" i="5" s="1"/>
  <c r="AL28" i="5"/>
  <c r="AO28" i="5" s="1"/>
  <c r="AL29" i="5"/>
  <c r="AO29" i="5" s="1"/>
  <c r="AL30" i="5"/>
  <c r="AO30" i="5" s="1"/>
  <c r="AL31" i="5"/>
  <c r="AO31" i="5" s="1"/>
  <c r="AL32" i="5"/>
  <c r="AO32" i="5" s="1"/>
  <c r="AL33" i="5"/>
  <c r="AO33" i="5" s="1"/>
  <c r="AL36" i="5"/>
  <c r="AO36" i="5" s="1"/>
  <c r="AL39" i="5"/>
  <c r="AO39" i="5" s="1"/>
  <c r="AL42" i="5"/>
  <c r="AO42" i="5" s="1"/>
  <c r="AL45" i="5"/>
  <c r="AO45" i="5" s="1"/>
  <c r="AL48" i="5"/>
  <c r="AO48" i="5" s="1"/>
  <c r="AL51" i="5"/>
  <c r="AO51" i="5" s="1"/>
  <c r="AL54" i="5"/>
  <c r="AO54" i="5" s="1"/>
  <c r="AL57" i="5"/>
  <c r="AO57" i="5" s="1"/>
  <c r="AL60" i="5"/>
  <c r="AO60" i="5" s="1"/>
  <c r="AL63" i="5"/>
  <c r="AO63" i="5" s="1"/>
  <c r="AL66" i="5"/>
  <c r="AO66" i="5" s="1"/>
  <c r="AL69" i="5"/>
  <c r="AO69" i="5" s="1"/>
  <c r="AL72" i="5"/>
  <c r="AO72" i="5" s="1"/>
  <c r="AL75" i="5"/>
  <c r="AO75" i="5" s="1"/>
  <c r="AL78" i="5"/>
  <c r="AO78" i="5" s="1"/>
  <c r="AL81" i="5"/>
  <c r="AO81" i="5" s="1"/>
  <c r="AL84" i="5"/>
  <c r="AO84" i="5" s="1"/>
  <c r="AL87" i="5"/>
  <c r="AO87" i="5" s="1"/>
  <c r="AL90" i="5"/>
  <c r="AO90" i="5" s="1"/>
  <c r="AL93" i="5"/>
  <c r="AO93" i="5" s="1"/>
  <c r="AL96" i="5"/>
  <c r="AO96" i="5" s="1"/>
  <c r="AL99" i="5"/>
  <c r="AO99" i="5" s="1"/>
  <c r="AL102" i="5"/>
  <c r="AO102" i="5" s="1"/>
  <c r="AL105" i="5"/>
  <c r="AO105" i="5" s="1"/>
  <c r="AL108" i="5"/>
  <c r="AO108" i="5" s="1"/>
  <c r="AL111" i="5"/>
  <c r="AO111" i="5" s="1"/>
  <c r="AL114" i="5"/>
  <c r="AO114" i="5" s="1"/>
  <c r="AL117" i="5"/>
  <c r="AO117" i="5" s="1"/>
  <c r="AL120" i="5"/>
  <c r="AO120" i="5" s="1"/>
  <c r="AL123" i="5"/>
  <c r="AO123" i="5" s="1"/>
  <c r="AL126" i="5"/>
  <c r="AO126" i="5" s="1"/>
  <c r="AL129" i="5"/>
  <c r="AO129" i="5" s="1"/>
  <c r="AL132" i="5"/>
  <c r="AO132" i="5" s="1"/>
  <c r="AL135" i="5"/>
  <c r="AO135" i="5" s="1"/>
  <c r="AL138" i="5"/>
  <c r="AO138" i="5" s="1"/>
  <c r="AL141" i="5"/>
  <c r="AO141" i="5" s="1"/>
  <c r="AL144" i="5"/>
  <c r="AO144" i="5" s="1"/>
  <c r="AL147" i="5"/>
  <c r="AO147" i="5" s="1"/>
  <c r="AL150" i="5"/>
  <c r="AO150" i="5" s="1"/>
  <c r="AL153" i="5"/>
  <c r="AO153" i="5" s="1"/>
  <c r="AL156" i="5"/>
  <c r="AO156" i="5" s="1"/>
  <c r="AL159" i="5"/>
  <c r="AO159" i="5" s="1"/>
  <c r="AL162" i="5"/>
  <c r="AO162" i="5" s="1"/>
  <c r="AL165" i="5"/>
  <c r="AO165" i="5" s="1"/>
  <c r="AL168" i="5"/>
  <c r="AO168" i="5" s="1"/>
  <c r="AL171" i="5"/>
  <c r="AO171" i="5" s="1"/>
  <c r="AL174" i="5"/>
  <c r="AO174" i="5" s="1"/>
  <c r="AL177" i="5"/>
  <c r="AO177" i="5" s="1"/>
  <c r="AL180" i="5"/>
  <c r="AO180" i="5" s="1"/>
  <c r="AL183" i="5"/>
  <c r="AO183" i="5" s="1"/>
  <c r="AL186" i="5"/>
  <c r="AO186" i="5" s="1"/>
  <c r="AL189" i="5"/>
  <c r="AO189" i="5" s="1"/>
  <c r="AL192" i="5"/>
  <c r="AO192" i="5" s="1"/>
  <c r="AL195" i="5"/>
  <c r="AO195" i="5" s="1"/>
  <c r="AL198" i="5"/>
  <c r="AO198" i="5" s="1"/>
  <c r="AL201" i="5"/>
  <c r="AO201" i="5" s="1"/>
  <c r="AL204" i="5"/>
  <c r="AO204" i="5" s="1"/>
  <c r="AL207" i="5"/>
  <c r="AO207" i="5" s="1"/>
  <c r="AL210" i="5"/>
  <c r="AO210" i="5" s="1"/>
  <c r="AL213" i="5"/>
  <c r="AO213" i="5" s="1"/>
  <c r="AL216" i="5"/>
  <c r="AO216" i="5" s="1"/>
  <c r="AL219" i="5"/>
  <c r="AO219" i="5" s="1"/>
  <c r="AL222" i="5"/>
  <c r="AO222" i="5" s="1"/>
  <c r="AL225" i="5"/>
  <c r="AO225" i="5" s="1"/>
  <c r="AL228" i="5"/>
  <c r="AO228" i="5" s="1"/>
  <c r="AL231" i="5"/>
  <c r="AO231" i="5" s="1"/>
  <c r="AL234" i="5"/>
  <c r="AO234" i="5" s="1"/>
  <c r="AL237" i="5"/>
  <c r="AO237" i="5" s="1"/>
  <c r="AL240" i="5"/>
  <c r="AO240" i="5" s="1"/>
  <c r="AL243" i="5"/>
  <c r="AO243" i="5" s="1"/>
  <c r="AL246" i="5"/>
  <c r="AO246" i="5" s="1"/>
  <c r="AL249" i="5"/>
  <c r="AO249" i="5" s="1"/>
  <c r="AL252" i="5"/>
  <c r="AO252" i="5" s="1"/>
  <c r="AL255" i="5"/>
  <c r="AO255" i="5" s="1"/>
  <c r="AL258" i="5"/>
  <c r="AO258" i="5" s="1"/>
  <c r="AL261" i="5"/>
  <c r="AO261" i="5" s="1"/>
  <c r="AL264" i="5"/>
  <c r="AO264" i="5" s="1"/>
  <c r="AL267" i="5"/>
  <c r="AO267" i="5" s="1"/>
  <c r="AL270" i="5"/>
  <c r="AO270" i="5" s="1"/>
  <c r="AL273" i="5"/>
  <c r="AO273" i="5" s="1"/>
  <c r="AL276" i="5"/>
  <c r="AO276" i="5" s="1"/>
  <c r="AL279" i="5"/>
  <c r="AO279" i="5" s="1"/>
  <c r="AL282" i="5"/>
  <c r="AO282" i="5" s="1"/>
  <c r="AL285" i="5"/>
  <c r="AO285" i="5" s="1"/>
  <c r="AL288" i="5"/>
  <c r="AO288" i="5" s="1"/>
  <c r="AL291" i="5"/>
  <c r="AO291" i="5" s="1"/>
  <c r="AL294" i="5"/>
  <c r="AO294" i="5" s="1"/>
  <c r="AL297" i="5"/>
  <c r="AO297" i="5" s="1"/>
  <c r="AL300" i="5"/>
  <c r="AO300" i="5" s="1"/>
  <c r="AL303" i="5"/>
  <c r="AO303" i="5" s="1"/>
  <c r="AL306" i="5"/>
  <c r="AO306" i="5" s="1"/>
  <c r="AL309" i="5"/>
  <c r="AO309" i="5" s="1"/>
  <c r="AL312" i="5"/>
  <c r="AO312" i="5" s="1"/>
  <c r="AL315" i="5"/>
  <c r="AO315" i="5" s="1"/>
  <c r="AL318" i="5"/>
  <c r="AO318" i="5" s="1"/>
  <c r="AL321" i="5"/>
  <c r="AO321" i="5" s="1"/>
  <c r="AL324" i="5"/>
  <c r="AO324" i="5" s="1"/>
  <c r="AL327" i="5"/>
  <c r="AO327" i="5" s="1"/>
  <c r="AL330" i="5"/>
  <c r="AO330" i="5" s="1"/>
  <c r="AL333" i="5"/>
  <c r="AO333" i="5" s="1"/>
  <c r="AL336" i="5"/>
  <c r="AO336" i="5" s="1"/>
  <c r="AL339" i="5"/>
  <c r="AO339" i="5" s="1"/>
  <c r="AL342" i="5"/>
  <c r="AO342" i="5" s="1"/>
  <c r="AL345" i="5"/>
  <c r="AO345" i="5" s="1"/>
  <c r="AL348" i="5"/>
  <c r="AO348" i="5" s="1"/>
  <c r="AL351" i="5"/>
  <c r="AO351" i="5" s="1"/>
  <c r="AL354" i="5"/>
  <c r="AO354" i="5" s="1"/>
  <c r="AL357" i="5"/>
  <c r="AO357" i="5" s="1"/>
  <c r="AL360" i="5"/>
  <c r="AO360" i="5" s="1"/>
  <c r="AL363" i="5"/>
  <c r="AO363" i="5" s="1"/>
  <c r="AL366" i="5"/>
  <c r="AO366" i="5" s="1"/>
  <c r="AL369" i="5"/>
  <c r="AO369" i="5" s="1"/>
  <c r="AL372" i="5"/>
  <c r="AO372" i="5" s="1"/>
  <c r="AL375" i="5"/>
  <c r="AO375" i="5" s="1"/>
  <c r="AL378" i="5"/>
  <c r="AO378" i="5" s="1"/>
  <c r="AL381" i="5"/>
  <c r="AO381" i="5" s="1"/>
  <c r="AL384" i="5"/>
  <c r="AO384" i="5" s="1"/>
  <c r="AL387" i="5"/>
  <c r="AO387" i="5" s="1"/>
  <c r="AL390" i="5"/>
  <c r="AO390" i="5" s="1"/>
  <c r="AL393" i="5"/>
  <c r="AO393" i="5" s="1"/>
  <c r="AL396" i="5"/>
  <c r="AO396" i="5" s="1"/>
  <c r="AL399" i="5"/>
  <c r="AO399" i="5" s="1"/>
  <c r="AL402" i="5"/>
  <c r="AO402" i="5" s="1"/>
  <c r="AL405" i="5"/>
  <c r="AO405" i="5" s="1"/>
  <c r="AL408" i="5"/>
  <c r="AO408" i="5" s="1"/>
  <c r="AL411" i="5"/>
  <c r="AO411" i="5" s="1"/>
  <c r="AL414" i="5"/>
  <c r="AO414" i="5" s="1"/>
  <c r="AL417" i="5"/>
  <c r="AO417" i="5" s="1"/>
  <c r="AL420" i="5"/>
  <c r="AO420" i="5" s="1"/>
  <c r="AL423" i="5"/>
  <c r="AO423" i="5" s="1"/>
  <c r="AL426" i="5"/>
  <c r="AO426" i="5" s="1"/>
  <c r="AL429" i="5"/>
  <c r="AO429" i="5" s="1"/>
  <c r="AL432" i="5"/>
  <c r="AO432" i="5" s="1"/>
  <c r="AL435" i="5"/>
  <c r="AO435" i="5" s="1"/>
  <c r="AL438" i="5"/>
  <c r="AO438" i="5" s="1"/>
  <c r="AL441" i="5"/>
  <c r="AO441" i="5" s="1"/>
  <c r="AL444" i="5"/>
  <c r="AO444" i="5" s="1"/>
  <c r="AL447" i="5"/>
  <c r="AO447" i="5" s="1"/>
  <c r="AL450" i="5"/>
  <c r="AO450" i="5" s="1"/>
  <c r="AL453" i="5"/>
  <c r="AO453" i="5" s="1"/>
  <c r="AL456" i="5"/>
  <c r="AO456" i="5" s="1"/>
  <c r="AL459" i="5"/>
  <c r="AO459" i="5" s="1"/>
  <c r="AL462" i="5"/>
  <c r="AO462" i="5" s="1"/>
  <c r="AL465" i="5"/>
  <c r="AO465" i="5" s="1"/>
  <c r="AL468" i="5"/>
  <c r="AO468" i="5" s="1"/>
  <c r="AL471" i="5"/>
  <c r="AO471" i="5" s="1"/>
  <c r="AL474" i="5"/>
  <c r="AO474" i="5" s="1"/>
  <c r="AL477" i="5"/>
  <c r="AO477" i="5" s="1"/>
  <c r="AL480" i="5"/>
  <c r="AO480" i="5" s="1"/>
  <c r="AL483" i="5"/>
  <c r="AO483" i="5" s="1"/>
  <c r="AL486" i="5"/>
  <c r="AO486" i="5" s="1"/>
  <c r="AL489" i="5"/>
  <c r="AO489" i="5" s="1"/>
  <c r="AL492" i="5"/>
  <c r="AO492" i="5" s="1"/>
  <c r="AL495" i="5"/>
  <c r="AO495" i="5" s="1"/>
  <c r="AL498" i="5"/>
  <c r="AO498" i="5" s="1"/>
  <c r="AL501" i="5"/>
  <c r="AO501" i="5" s="1"/>
  <c r="AL504" i="5"/>
  <c r="AO504" i="5" s="1"/>
  <c r="AL507" i="5"/>
  <c r="AO507" i="5" s="1"/>
  <c r="AL510" i="5"/>
  <c r="AO510" i="5" s="1"/>
  <c r="AL513" i="5"/>
  <c r="AO513" i="5" s="1"/>
  <c r="AL516" i="5"/>
  <c r="AO516" i="5" s="1"/>
  <c r="AL519" i="5"/>
  <c r="AO519" i="5" s="1"/>
  <c r="AL522" i="5"/>
  <c r="AO522" i="5" s="1"/>
  <c r="AL525" i="5"/>
  <c r="AO525" i="5" s="1"/>
  <c r="AL528" i="5"/>
  <c r="AO528" i="5" s="1"/>
  <c r="AL531" i="5"/>
  <c r="AO531" i="5" s="1"/>
  <c r="AL534" i="5"/>
  <c r="AO534" i="5" s="1"/>
  <c r="AL537" i="5"/>
  <c r="AO537" i="5" s="1"/>
  <c r="AL540" i="5"/>
  <c r="AO540" i="5" s="1"/>
  <c r="AL543" i="5"/>
  <c r="AO543" i="5" s="1"/>
  <c r="AL546" i="5"/>
  <c r="AO546" i="5" s="1"/>
  <c r="AL549" i="5"/>
  <c r="AO549" i="5" s="1"/>
  <c r="AL552" i="5"/>
  <c r="AO552" i="5" s="1"/>
  <c r="AL555" i="5"/>
  <c r="AO555" i="5" s="1"/>
  <c r="AL558" i="5"/>
  <c r="AO558" i="5" s="1"/>
  <c r="AL561" i="5"/>
  <c r="AO561" i="5" s="1"/>
  <c r="AL564" i="5"/>
  <c r="AO564" i="5" s="1"/>
  <c r="AL567" i="5"/>
  <c r="AO567" i="5" s="1"/>
  <c r="AL570" i="5"/>
  <c r="AO570" i="5" s="1"/>
  <c r="AL573" i="5"/>
  <c r="AO573" i="5" s="1"/>
  <c r="AL576" i="5"/>
  <c r="AO576" i="5" s="1"/>
  <c r="AL579" i="5"/>
  <c r="AO579" i="5" s="1"/>
  <c r="AL582" i="5"/>
  <c r="AO582" i="5" s="1"/>
  <c r="AL585" i="5"/>
  <c r="AO585" i="5" s="1"/>
  <c r="AL588" i="5"/>
  <c r="AO588" i="5" s="1"/>
  <c r="AL591" i="5"/>
  <c r="AO591" i="5" s="1"/>
  <c r="AL594" i="5"/>
  <c r="AO594" i="5" s="1"/>
  <c r="AL597" i="5"/>
  <c r="AO597" i="5" s="1"/>
  <c r="AL600" i="5"/>
  <c r="AO600" i="5" s="1"/>
  <c r="AL603" i="5"/>
  <c r="AO603" i="5" s="1"/>
  <c r="AL606" i="5"/>
  <c r="AO606" i="5" s="1"/>
  <c r="AL609" i="5"/>
  <c r="AO609" i="5" s="1"/>
  <c r="AL610" i="5"/>
  <c r="AO610" i="5" s="1"/>
  <c r="AL611" i="5"/>
  <c r="AO611" i="5" s="1"/>
  <c r="AL612" i="5"/>
  <c r="AO612" i="5" s="1"/>
  <c r="AL613" i="5"/>
  <c r="AO613" i="5" s="1"/>
  <c r="AL614" i="5"/>
  <c r="AO614" i="5" s="1"/>
  <c r="AL615" i="5"/>
  <c r="AO615" i="5" s="1"/>
  <c r="AL616" i="5"/>
  <c r="AO616" i="5" s="1"/>
  <c r="AL617" i="5"/>
  <c r="AO617" i="5" s="1"/>
  <c r="AL618" i="5"/>
  <c r="AO618" i="5" s="1"/>
  <c r="AL619" i="5"/>
  <c r="AO619" i="5" s="1"/>
  <c r="AL620" i="5"/>
  <c r="AO620" i="5" s="1"/>
  <c r="AL621" i="5"/>
  <c r="AO621" i="5" s="1"/>
  <c r="AL622" i="5"/>
  <c r="AO622" i="5" s="1"/>
  <c r="AL623" i="5"/>
  <c r="AO623" i="5" s="1"/>
  <c r="AL624" i="5"/>
  <c r="AO624" i="5" s="1"/>
  <c r="AL625" i="5"/>
  <c r="AO625" i="5" s="1"/>
  <c r="AL626" i="5"/>
  <c r="AO626" i="5" s="1"/>
  <c r="AL627" i="5"/>
  <c r="AO627" i="5" s="1"/>
  <c r="AL628" i="5"/>
  <c r="AO628" i="5" s="1"/>
  <c r="AL629" i="5"/>
  <c r="AO629" i="5" s="1"/>
  <c r="AL630" i="5"/>
  <c r="AO630" i="5" s="1"/>
  <c r="AL631" i="5"/>
  <c r="AO631" i="5" s="1"/>
  <c r="AL632" i="5"/>
  <c r="AO632" i="5" s="1"/>
  <c r="AL633" i="5"/>
  <c r="AO633" i="5" s="1"/>
  <c r="AL634" i="5"/>
  <c r="AO634" i="5" s="1"/>
  <c r="AL635" i="5"/>
  <c r="AO635" i="5" s="1"/>
  <c r="AL636" i="5"/>
  <c r="AO636" i="5" s="1"/>
  <c r="AL637" i="5"/>
  <c r="AO637" i="5" s="1"/>
  <c r="AL638" i="5"/>
  <c r="AO638" i="5" s="1"/>
  <c r="AL639" i="5"/>
  <c r="AO639" i="5" s="1"/>
  <c r="AL640" i="5"/>
  <c r="AO640" i="5" s="1"/>
  <c r="AL641" i="5"/>
  <c r="AO641" i="5" s="1"/>
  <c r="AL642" i="5"/>
  <c r="AO642" i="5" s="1"/>
  <c r="AL643" i="5"/>
  <c r="AO643" i="5" s="1"/>
  <c r="AL644" i="5"/>
  <c r="AO644" i="5" s="1"/>
  <c r="AL645" i="5"/>
  <c r="AO645" i="5" s="1"/>
  <c r="AL646" i="5"/>
  <c r="AO646" i="5" s="1"/>
  <c r="AL647" i="5"/>
  <c r="AO647" i="5" s="1"/>
  <c r="AL648" i="5"/>
  <c r="AO648" i="5" s="1"/>
  <c r="AL649" i="5"/>
  <c r="AO649" i="5" s="1"/>
  <c r="AL650" i="5"/>
  <c r="AO650" i="5" s="1"/>
  <c r="AL651" i="5"/>
  <c r="AO651" i="5" s="1"/>
  <c r="AL652" i="5"/>
  <c r="AO652" i="5" s="1"/>
  <c r="AL653" i="5"/>
  <c r="AO653" i="5" s="1"/>
  <c r="AL654" i="5"/>
  <c r="AO654" i="5" s="1"/>
  <c r="AL655" i="5"/>
  <c r="AO655" i="5" s="1"/>
  <c r="AL656" i="5"/>
  <c r="AO656" i="5" s="1"/>
  <c r="AL657" i="5"/>
  <c r="AO657" i="5" s="1"/>
  <c r="AL658" i="5"/>
  <c r="AO658" i="5" s="1"/>
  <c r="AL659" i="5"/>
  <c r="AO659" i="5" s="1"/>
  <c r="AL660" i="5"/>
  <c r="AO660" i="5" s="1"/>
  <c r="AL661" i="5"/>
  <c r="AO661" i="5" s="1"/>
  <c r="AL662" i="5"/>
  <c r="AO662" i="5" s="1"/>
  <c r="AL663" i="5"/>
  <c r="AO663" i="5" s="1"/>
  <c r="AL664" i="5"/>
  <c r="AO664" i="5" s="1"/>
  <c r="AL665" i="5"/>
  <c r="AO665" i="5" s="1"/>
  <c r="AL666" i="5"/>
  <c r="AO666" i="5" s="1"/>
  <c r="AL667" i="5"/>
  <c r="AO667" i="5" s="1"/>
  <c r="AL668" i="5"/>
  <c r="AO668" i="5" s="1"/>
  <c r="AL669" i="5"/>
  <c r="AO669" i="5" s="1"/>
  <c r="AL670" i="5"/>
  <c r="AO670" i="5" s="1"/>
  <c r="AL671" i="5"/>
  <c r="AO671" i="5" s="1"/>
  <c r="AL672" i="5"/>
  <c r="AO672" i="5" s="1"/>
  <c r="AL673" i="5"/>
  <c r="AO673" i="5" s="1"/>
  <c r="AL674" i="5"/>
  <c r="AO674" i="5" s="1"/>
  <c r="AL675" i="5"/>
  <c r="AO675" i="5" s="1"/>
  <c r="AL676" i="5"/>
  <c r="AO676" i="5" s="1"/>
  <c r="AL677" i="5"/>
  <c r="AO677" i="5" s="1"/>
  <c r="AL678" i="5"/>
  <c r="AO678" i="5" s="1"/>
  <c r="AL679" i="5"/>
  <c r="AO679" i="5" s="1"/>
  <c r="AL680" i="5"/>
  <c r="AO680" i="5" s="1"/>
  <c r="AL681" i="5"/>
  <c r="AO681" i="5" s="1"/>
  <c r="AL682" i="5"/>
  <c r="AO682" i="5" s="1"/>
  <c r="AL683" i="5"/>
  <c r="AO683" i="5" s="1"/>
  <c r="AL684" i="5"/>
  <c r="AO684" i="5" s="1"/>
  <c r="AL685" i="5"/>
  <c r="AO685" i="5" s="1"/>
  <c r="AL686" i="5"/>
  <c r="AO686" i="5" s="1"/>
  <c r="AL687" i="5"/>
  <c r="AO687" i="5" s="1"/>
  <c r="AL688" i="5"/>
  <c r="AO688" i="5" s="1"/>
  <c r="AL689" i="5"/>
  <c r="AO689" i="5" s="1"/>
  <c r="AL690" i="5"/>
  <c r="AO690" i="5" s="1"/>
  <c r="AL691" i="5"/>
  <c r="AO691" i="5" s="1"/>
  <c r="AL692" i="5"/>
  <c r="AO692" i="5" s="1"/>
  <c r="AL693" i="5"/>
  <c r="AO693" i="5" s="1"/>
  <c r="AL694" i="5"/>
  <c r="AO694" i="5" s="1"/>
  <c r="AL695" i="5"/>
  <c r="AO695" i="5" s="1"/>
  <c r="AL696" i="5"/>
  <c r="AO696" i="5" s="1"/>
  <c r="AL697" i="5"/>
  <c r="AO697" i="5" s="1"/>
  <c r="AL698" i="5"/>
  <c r="AO698" i="5" s="1"/>
  <c r="AL699" i="5"/>
  <c r="AO699" i="5" s="1"/>
  <c r="AL700" i="5"/>
  <c r="AO700" i="5" s="1"/>
  <c r="AL5" i="5"/>
  <c r="AO5" i="5" s="1"/>
  <c r="AH602" i="5" l="1"/>
  <c r="AH601" i="5"/>
  <c r="AH604" i="5"/>
  <c r="AH593" i="5"/>
  <c r="AH605" i="5"/>
  <c r="AH595" i="5"/>
  <c r="AH592" i="5"/>
  <c r="AH598" i="5"/>
  <c r="AH596" i="5"/>
  <c r="AH599" i="5"/>
  <c r="U157" i="5"/>
  <c r="L175" i="5"/>
  <c r="AG175" i="5" s="1" a="1"/>
  <c r="AG175" i="5" s="1"/>
  <c r="AG143" i="5" a="1"/>
  <c r="AG143" i="5" s="1"/>
  <c r="L161" i="5"/>
  <c r="U143" i="5"/>
  <c r="AG167" i="5" a="1"/>
  <c r="AG167" i="5" s="1"/>
  <c r="L185" i="5"/>
  <c r="U167" i="5"/>
  <c r="AG164" i="5" a="1"/>
  <c r="AG164" i="5" s="1"/>
  <c r="L182" i="5"/>
  <c r="U164" i="5"/>
  <c r="AG154" i="5" a="1"/>
  <c r="AG154" i="5" s="1"/>
  <c r="U154" i="5"/>
  <c r="L172" i="5"/>
  <c r="AG170" i="5" a="1"/>
  <c r="AG170" i="5" s="1"/>
  <c r="L188" i="5"/>
  <c r="U170" i="5"/>
  <c r="AG142" i="5" a="1"/>
  <c r="AG142" i="5" s="1"/>
  <c r="L160" i="5"/>
  <c r="U142" i="5"/>
  <c r="AG151" i="5" a="1"/>
  <c r="AG151" i="5" s="1"/>
  <c r="L169" i="5"/>
  <c r="U151" i="5"/>
  <c r="AG155" i="5" a="1"/>
  <c r="AG155" i="5" s="1"/>
  <c r="L173" i="5"/>
  <c r="U155" i="5"/>
  <c r="AG176" i="5" a="1"/>
  <c r="AG176" i="5" s="1"/>
  <c r="L194" i="5"/>
  <c r="U176" i="5"/>
  <c r="AG148" i="5" a="1"/>
  <c r="AG148" i="5" s="1"/>
  <c r="L166" i="5"/>
  <c r="U148" i="5"/>
  <c r="AG145" i="5" a="1"/>
  <c r="AG145" i="5" s="1"/>
  <c r="L163" i="5"/>
  <c r="U145" i="5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3" i="8"/>
  <c r="L193" i="5" l="1"/>
  <c r="U175" i="5"/>
  <c r="AG161" i="5" a="1"/>
  <c r="AG161" i="5" s="1"/>
  <c r="L179" i="5"/>
  <c r="U161" i="5"/>
  <c r="AG166" i="5" a="1"/>
  <c r="AG166" i="5" s="1"/>
  <c r="L184" i="5"/>
  <c r="U166" i="5"/>
  <c r="AG193" i="5" a="1"/>
  <c r="AG193" i="5" s="1"/>
  <c r="L211" i="5"/>
  <c r="U193" i="5"/>
  <c r="AG194" i="5" a="1"/>
  <c r="AG194" i="5" s="1"/>
  <c r="L212" i="5"/>
  <c r="U194" i="5"/>
  <c r="U185" i="5"/>
  <c r="L203" i="5"/>
  <c r="AG185" i="5" a="1"/>
  <c r="AG185" i="5" s="1"/>
  <c r="AG172" i="5" a="1"/>
  <c r="AG172" i="5" s="1"/>
  <c r="L190" i="5"/>
  <c r="U172" i="5"/>
  <c r="AG163" i="5" a="1"/>
  <c r="AG163" i="5" s="1"/>
  <c r="L181" i="5"/>
  <c r="U163" i="5"/>
  <c r="AG169" i="5" a="1"/>
  <c r="AG169" i="5" s="1"/>
  <c r="L187" i="5"/>
  <c r="U169" i="5"/>
  <c r="AG173" i="5" a="1"/>
  <c r="AG173" i="5" s="1"/>
  <c r="L191" i="5"/>
  <c r="U173" i="5"/>
  <c r="AG160" i="5" a="1"/>
  <c r="AG160" i="5" s="1"/>
  <c r="L178" i="5"/>
  <c r="U160" i="5"/>
  <c r="AG188" i="5" a="1"/>
  <c r="AG188" i="5" s="1"/>
  <c r="L206" i="5"/>
  <c r="U188" i="5"/>
  <c r="AG182" i="5" a="1"/>
  <c r="AG182" i="5" s="1"/>
  <c r="L200" i="5"/>
  <c r="U182" i="5"/>
  <c r="C606" i="5"/>
  <c r="C603" i="5"/>
  <c r="C588" i="5"/>
  <c r="C585" i="5"/>
  <c r="C570" i="5"/>
  <c r="C567" i="5"/>
  <c r="C552" i="5"/>
  <c r="C549" i="5"/>
  <c r="C534" i="5"/>
  <c r="C531" i="5"/>
  <c r="C516" i="5"/>
  <c r="C513" i="5"/>
  <c r="AH498" i="5"/>
  <c r="AH516" i="5" s="1"/>
  <c r="AH534" i="5" s="1"/>
  <c r="AH552" i="5" s="1"/>
  <c r="AH570" i="5" s="1"/>
  <c r="AH588" i="5" s="1"/>
  <c r="AH606" i="5" s="1"/>
  <c r="AH495" i="5"/>
  <c r="AH492" i="5"/>
  <c r="AH489" i="5"/>
  <c r="AH486" i="5"/>
  <c r="AH483" i="5"/>
  <c r="C498" i="5"/>
  <c r="C495" i="5"/>
  <c r="C480" i="5"/>
  <c r="C477" i="5"/>
  <c r="C462" i="5"/>
  <c r="C459" i="5"/>
  <c r="C444" i="5"/>
  <c r="C441" i="5"/>
  <c r="AH426" i="5"/>
  <c r="AH444" i="5" s="1"/>
  <c r="AH462" i="5" s="1"/>
  <c r="AH423" i="5"/>
  <c r="AH441" i="5" s="1"/>
  <c r="AH459" i="5" s="1"/>
  <c r="AH420" i="5"/>
  <c r="AH438" i="5" s="1"/>
  <c r="AH456" i="5" s="1"/>
  <c r="AH417" i="5"/>
  <c r="AH435" i="5" s="1"/>
  <c r="AH453" i="5" s="1"/>
  <c r="AH414" i="5"/>
  <c r="AH432" i="5" s="1"/>
  <c r="AH450" i="5" s="1"/>
  <c r="AH411" i="5"/>
  <c r="AH429" i="5" s="1"/>
  <c r="AH447" i="5" s="1"/>
  <c r="C426" i="5"/>
  <c r="C423" i="5"/>
  <c r="C408" i="5"/>
  <c r="C405" i="5"/>
  <c r="C390" i="5"/>
  <c r="C387" i="5"/>
  <c r="C372" i="5"/>
  <c r="C369" i="5"/>
  <c r="AH354" i="5"/>
  <c r="AH372" i="5" s="1"/>
  <c r="AH390" i="5" s="1"/>
  <c r="AH351" i="5"/>
  <c r="AH348" i="5"/>
  <c r="AH345" i="5"/>
  <c r="AH342" i="5"/>
  <c r="AH339" i="5"/>
  <c r="C354" i="5"/>
  <c r="C351" i="5"/>
  <c r="AH363" i="5" l="1"/>
  <c r="AH504" i="5"/>
  <c r="AH360" i="5"/>
  <c r="AH369" i="5"/>
  <c r="AH357" i="5"/>
  <c r="AH366" i="5"/>
  <c r="AH507" i="5"/>
  <c r="AH513" i="5"/>
  <c r="AH501" i="5"/>
  <c r="AH510" i="5"/>
  <c r="U179" i="5"/>
  <c r="AG179" i="5" a="1"/>
  <c r="AG179" i="5" s="1"/>
  <c r="L197" i="5"/>
  <c r="AG178" i="5" a="1"/>
  <c r="AG178" i="5" s="1"/>
  <c r="L196" i="5"/>
  <c r="U178" i="5"/>
  <c r="AG181" i="5" a="1"/>
  <c r="AG181" i="5" s="1"/>
  <c r="L199" i="5"/>
  <c r="U181" i="5"/>
  <c r="AG203" i="5" a="1"/>
  <c r="AG203" i="5" s="1"/>
  <c r="L221" i="5"/>
  <c r="U203" i="5"/>
  <c r="AG212" i="5" a="1"/>
  <c r="AG212" i="5" s="1"/>
  <c r="L230" i="5"/>
  <c r="U212" i="5"/>
  <c r="AG200" i="5" a="1"/>
  <c r="AG200" i="5" s="1"/>
  <c r="L218" i="5"/>
  <c r="U200" i="5"/>
  <c r="AG191" i="5" a="1"/>
  <c r="AG191" i="5" s="1"/>
  <c r="L209" i="5"/>
  <c r="U191" i="5"/>
  <c r="AG187" i="5" a="1"/>
  <c r="AG187" i="5" s="1"/>
  <c r="L205" i="5"/>
  <c r="U187" i="5"/>
  <c r="AG190" i="5" a="1"/>
  <c r="AG190" i="5" s="1"/>
  <c r="L208" i="5"/>
  <c r="U190" i="5"/>
  <c r="AG211" i="5" a="1"/>
  <c r="AG211" i="5" s="1"/>
  <c r="L229" i="5"/>
  <c r="U211" i="5"/>
  <c r="AG206" i="5" a="1"/>
  <c r="AG206" i="5" s="1"/>
  <c r="L224" i="5"/>
  <c r="U206" i="5"/>
  <c r="AG184" i="5" a="1"/>
  <c r="AG184" i="5" s="1"/>
  <c r="L202" i="5"/>
  <c r="U184" i="5"/>
  <c r="U48" i="5"/>
  <c r="U45" i="5"/>
  <c r="U42" i="5"/>
  <c r="U39" i="5"/>
  <c r="U36" i="5"/>
  <c r="U33" i="5"/>
  <c r="C336" i="5"/>
  <c r="C333" i="5"/>
  <c r="C318" i="5"/>
  <c r="C315" i="5"/>
  <c r="C300" i="5"/>
  <c r="C297" i="5"/>
  <c r="C282" i="5"/>
  <c r="C279" i="5"/>
  <c r="C264" i="5"/>
  <c r="C261" i="5"/>
  <c r="C246" i="5"/>
  <c r="C243" i="5"/>
  <c r="C228" i="5"/>
  <c r="C225" i="5"/>
  <c r="AH210" i="5"/>
  <c r="AH228" i="5" s="1"/>
  <c r="AH246" i="5" s="1"/>
  <c r="AH264" i="5" s="1"/>
  <c r="AH282" i="5" s="1"/>
  <c r="AH300" i="5" s="1"/>
  <c r="AH318" i="5" s="1"/>
  <c r="AH207" i="5"/>
  <c r="AH225" i="5" s="1"/>
  <c r="AH243" i="5" s="1"/>
  <c r="AH261" i="5" s="1"/>
  <c r="AH279" i="5" s="1"/>
  <c r="AH297" i="5" s="1"/>
  <c r="AH315" i="5" s="1"/>
  <c r="AH204" i="5"/>
  <c r="AH222" i="5" s="1"/>
  <c r="AH240" i="5" s="1"/>
  <c r="AH258" i="5" s="1"/>
  <c r="AH276" i="5" s="1"/>
  <c r="AH294" i="5" s="1"/>
  <c r="AH312" i="5" s="1"/>
  <c r="AH201" i="5"/>
  <c r="AH219" i="5" s="1"/>
  <c r="AH237" i="5" s="1"/>
  <c r="AH255" i="5" s="1"/>
  <c r="AH273" i="5" s="1"/>
  <c r="AH291" i="5" s="1"/>
  <c r="AH309" i="5" s="1"/>
  <c r="AH198" i="5"/>
  <c r="AH216" i="5" s="1"/>
  <c r="AH234" i="5" s="1"/>
  <c r="AH252" i="5" s="1"/>
  <c r="AH270" i="5" s="1"/>
  <c r="AH288" i="5" s="1"/>
  <c r="AH306" i="5" s="1"/>
  <c r="AH195" i="5"/>
  <c r="AH213" i="5" s="1"/>
  <c r="AH231" i="5" s="1"/>
  <c r="AH249" i="5" s="1"/>
  <c r="AH267" i="5" s="1"/>
  <c r="AH285" i="5" s="1"/>
  <c r="AH303" i="5" s="1"/>
  <c r="C210" i="5"/>
  <c r="C207" i="5"/>
  <c r="C192" i="5"/>
  <c r="C189" i="5"/>
  <c r="C174" i="5"/>
  <c r="C171" i="5"/>
  <c r="C156" i="5"/>
  <c r="C153" i="5"/>
  <c r="C138" i="5"/>
  <c r="C135" i="5"/>
  <c r="C120" i="5"/>
  <c r="C117" i="5"/>
  <c r="AH57" i="5"/>
  <c r="AH75" i="5" s="1"/>
  <c r="AH93" i="5" s="1"/>
  <c r="AH111" i="5" s="1"/>
  <c r="AH129" i="5" s="1"/>
  <c r="AH147" i="5" s="1"/>
  <c r="AH165" i="5" s="1"/>
  <c r="AH60" i="5"/>
  <c r="AH78" i="5" s="1"/>
  <c r="AH96" i="5" s="1"/>
  <c r="AH114" i="5" s="1"/>
  <c r="AH132" i="5" s="1"/>
  <c r="AH150" i="5" s="1"/>
  <c r="AH168" i="5" s="1"/>
  <c r="AH63" i="5"/>
  <c r="AH81" i="5" s="1"/>
  <c r="AH99" i="5" s="1"/>
  <c r="AH117" i="5" s="1"/>
  <c r="AH135" i="5" s="1"/>
  <c r="AH153" i="5" s="1"/>
  <c r="AH171" i="5" s="1"/>
  <c r="AH66" i="5"/>
  <c r="AH84" i="5" s="1"/>
  <c r="AH102" i="5" s="1"/>
  <c r="AH120" i="5" s="1"/>
  <c r="AH138" i="5" s="1"/>
  <c r="AH156" i="5" s="1"/>
  <c r="AH174" i="5" s="1"/>
  <c r="AH54" i="5"/>
  <c r="AH72" i="5" s="1"/>
  <c r="AH90" i="5" s="1"/>
  <c r="AH108" i="5" s="1"/>
  <c r="AH126" i="5" s="1"/>
  <c r="AH144" i="5" s="1"/>
  <c r="AH162" i="5" s="1"/>
  <c r="AH51" i="5"/>
  <c r="AH69" i="5" s="1"/>
  <c r="AH87" i="5" s="1"/>
  <c r="AH105" i="5" s="1"/>
  <c r="AH123" i="5" s="1"/>
  <c r="AH141" i="5" s="1"/>
  <c r="AH159" i="5" s="1"/>
  <c r="L66" i="5"/>
  <c r="AG66" i="5" s="1" a="1"/>
  <c r="AG66" i="5" s="1"/>
  <c r="L63" i="5"/>
  <c r="AG63" i="5" s="1" a="1"/>
  <c r="AG63" i="5" s="1"/>
  <c r="L60" i="5"/>
  <c r="AG60" i="5" s="1" a="1"/>
  <c r="AG60" i="5" s="1"/>
  <c r="L57" i="5"/>
  <c r="AG57" i="5" s="1" a="1"/>
  <c r="AG57" i="5" s="1"/>
  <c r="L54" i="5"/>
  <c r="AG54" i="5" s="1" a="1"/>
  <c r="AG54" i="5" s="1"/>
  <c r="L51" i="5"/>
  <c r="AG51" i="5" s="1" a="1"/>
  <c r="AG51" i="5" s="1"/>
  <c r="AE57" i="5"/>
  <c r="AE75" i="5" s="1"/>
  <c r="AE93" i="5" s="1"/>
  <c r="AE111" i="5" s="1"/>
  <c r="AE129" i="5" s="1"/>
  <c r="AE147" i="5" s="1"/>
  <c r="AE165" i="5" s="1"/>
  <c r="AE183" i="5" s="1"/>
  <c r="AE201" i="5" s="1"/>
  <c r="AE219" i="5" s="1"/>
  <c r="AE237" i="5" s="1"/>
  <c r="AE255" i="5" s="1"/>
  <c r="AE273" i="5" s="1"/>
  <c r="AE291" i="5" s="1"/>
  <c r="AE309" i="5" s="1"/>
  <c r="AE327" i="5" s="1"/>
  <c r="AE345" i="5" s="1"/>
  <c r="AE363" i="5" s="1"/>
  <c r="AE381" i="5" s="1"/>
  <c r="AE399" i="5" s="1"/>
  <c r="AE417" i="5" s="1"/>
  <c r="AE435" i="5" s="1"/>
  <c r="AE453" i="5" s="1"/>
  <c r="AE471" i="5" s="1"/>
  <c r="AE489" i="5" s="1"/>
  <c r="AE507" i="5" s="1"/>
  <c r="AE525" i="5" s="1"/>
  <c r="AE543" i="5" s="1"/>
  <c r="AE561" i="5" s="1"/>
  <c r="AE579" i="5" s="1"/>
  <c r="AE597" i="5" s="1"/>
  <c r="AE60" i="5"/>
  <c r="AE78" i="5" s="1"/>
  <c r="AE96" i="5" s="1"/>
  <c r="AE114" i="5" s="1"/>
  <c r="AE132" i="5" s="1"/>
  <c r="AE150" i="5" s="1"/>
  <c r="AE168" i="5" s="1"/>
  <c r="AE186" i="5" s="1"/>
  <c r="AE204" i="5" s="1"/>
  <c r="AE222" i="5" s="1"/>
  <c r="AE240" i="5" s="1"/>
  <c r="AE258" i="5" s="1"/>
  <c r="AE276" i="5" s="1"/>
  <c r="AE294" i="5" s="1"/>
  <c r="AE312" i="5" s="1"/>
  <c r="AE330" i="5" s="1"/>
  <c r="AE348" i="5" s="1"/>
  <c r="AE366" i="5" s="1"/>
  <c r="AE384" i="5" s="1"/>
  <c r="AE402" i="5" s="1"/>
  <c r="AE420" i="5" s="1"/>
  <c r="AE438" i="5" s="1"/>
  <c r="AE456" i="5" s="1"/>
  <c r="AE474" i="5" s="1"/>
  <c r="AE492" i="5" s="1"/>
  <c r="AE510" i="5" s="1"/>
  <c r="AE528" i="5" s="1"/>
  <c r="AE546" i="5" s="1"/>
  <c r="AE564" i="5" s="1"/>
  <c r="AE582" i="5" s="1"/>
  <c r="AE600" i="5" s="1"/>
  <c r="AE63" i="5"/>
  <c r="AE81" i="5" s="1"/>
  <c r="AE99" i="5" s="1"/>
  <c r="AE117" i="5" s="1"/>
  <c r="AE135" i="5" s="1"/>
  <c r="AE153" i="5" s="1"/>
  <c r="AE171" i="5" s="1"/>
  <c r="AE189" i="5" s="1"/>
  <c r="AE207" i="5" s="1"/>
  <c r="AE225" i="5" s="1"/>
  <c r="AE243" i="5" s="1"/>
  <c r="AE261" i="5" s="1"/>
  <c r="AE279" i="5" s="1"/>
  <c r="AE297" i="5" s="1"/>
  <c r="AE315" i="5" s="1"/>
  <c r="AE333" i="5" s="1"/>
  <c r="AE351" i="5" s="1"/>
  <c r="AE369" i="5" s="1"/>
  <c r="AE387" i="5" s="1"/>
  <c r="AE405" i="5" s="1"/>
  <c r="AE423" i="5" s="1"/>
  <c r="AE441" i="5" s="1"/>
  <c r="AE459" i="5" s="1"/>
  <c r="AE477" i="5" s="1"/>
  <c r="AE495" i="5" s="1"/>
  <c r="AE513" i="5" s="1"/>
  <c r="AE531" i="5" s="1"/>
  <c r="AE549" i="5" s="1"/>
  <c r="AE567" i="5" s="1"/>
  <c r="AE585" i="5" s="1"/>
  <c r="AE603" i="5" s="1"/>
  <c r="AE66" i="5"/>
  <c r="AE84" i="5" s="1"/>
  <c r="AE102" i="5" s="1"/>
  <c r="AE120" i="5" s="1"/>
  <c r="AE138" i="5" s="1"/>
  <c r="AE156" i="5" s="1"/>
  <c r="AE174" i="5" s="1"/>
  <c r="AE192" i="5" s="1"/>
  <c r="AE210" i="5" s="1"/>
  <c r="AE228" i="5" s="1"/>
  <c r="AE246" i="5" s="1"/>
  <c r="AE264" i="5" s="1"/>
  <c r="AE282" i="5" s="1"/>
  <c r="AE300" i="5" s="1"/>
  <c r="AE318" i="5" s="1"/>
  <c r="AE336" i="5" s="1"/>
  <c r="AE354" i="5" s="1"/>
  <c r="AE372" i="5" s="1"/>
  <c r="AE390" i="5" s="1"/>
  <c r="AE408" i="5" s="1"/>
  <c r="AE426" i="5" s="1"/>
  <c r="AE444" i="5" s="1"/>
  <c r="AE462" i="5" s="1"/>
  <c r="AE480" i="5" s="1"/>
  <c r="AE498" i="5" s="1"/>
  <c r="AE516" i="5" s="1"/>
  <c r="AE534" i="5" s="1"/>
  <c r="AE552" i="5" s="1"/>
  <c r="AE570" i="5" s="1"/>
  <c r="AE588" i="5" s="1"/>
  <c r="AE606" i="5" s="1"/>
  <c r="AE54" i="5"/>
  <c r="AE72" i="5" s="1"/>
  <c r="AE90" i="5" s="1"/>
  <c r="AE108" i="5" s="1"/>
  <c r="AE126" i="5" s="1"/>
  <c r="AE144" i="5" s="1"/>
  <c r="AE162" i="5" s="1"/>
  <c r="AE180" i="5" s="1"/>
  <c r="AE198" i="5" s="1"/>
  <c r="AE216" i="5" s="1"/>
  <c r="AE234" i="5" s="1"/>
  <c r="AE252" i="5" s="1"/>
  <c r="AE270" i="5" s="1"/>
  <c r="AE288" i="5" s="1"/>
  <c r="AE306" i="5" s="1"/>
  <c r="AE324" i="5" s="1"/>
  <c r="AE342" i="5" s="1"/>
  <c r="AE360" i="5" s="1"/>
  <c r="AE378" i="5" s="1"/>
  <c r="AE396" i="5" s="1"/>
  <c r="AE414" i="5" s="1"/>
  <c r="AE432" i="5" s="1"/>
  <c r="AE450" i="5" s="1"/>
  <c r="AE468" i="5" s="1"/>
  <c r="AE486" i="5" s="1"/>
  <c r="AE504" i="5" s="1"/>
  <c r="AE522" i="5" s="1"/>
  <c r="AE540" i="5" s="1"/>
  <c r="AE558" i="5" s="1"/>
  <c r="AE576" i="5" s="1"/>
  <c r="AE594" i="5" s="1"/>
  <c r="AE51" i="5"/>
  <c r="AE69" i="5" s="1"/>
  <c r="AE87" i="5" s="1"/>
  <c r="AE105" i="5" s="1"/>
  <c r="AE123" i="5" s="1"/>
  <c r="AE141" i="5" s="1"/>
  <c r="AE159" i="5" s="1"/>
  <c r="AE177" i="5" s="1"/>
  <c r="AE195" i="5" s="1"/>
  <c r="AE213" i="5" s="1"/>
  <c r="AE231" i="5" s="1"/>
  <c r="AE249" i="5" s="1"/>
  <c r="AE267" i="5" s="1"/>
  <c r="AE285" i="5" s="1"/>
  <c r="AE303" i="5" s="1"/>
  <c r="AE321" i="5" s="1"/>
  <c r="AE339" i="5" s="1"/>
  <c r="AE357" i="5" s="1"/>
  <c r="AE375" i="5" s="1"/>
  <c r="AE393" i="5" s="1"/>
  <c r="AE411" i="5" s="1"/>
  <c r="AE429" i="5" s="1"/>
  <c r="AE447" i="5" s="1"/>
  <c r="AE465" i="5" s="1"/>
  <c r="AE483" i="5" s="1"/>
  <c r="AE501" i="5" s="1"/>
  <c r="AE519" i="5" s="1"/>
  <c r="AE537" i="5" s="1"/>
  <c r="AE555" i="5" s="1"/>
  <c r="AE573" i="5" s="1"/>
  <c r="AE591" i="5" s="1"/>
  <c r="C84" i="5"/>
  <c r="C81" i="5"/>
  <c r="C102" i="5"/>
  <c r="C99" i="5"/>
  <c r="C66" i="5"/>
  <c r="C63" i="5"/>
  <c r="AH384" i="5" l="1"/>
  <c r="AH375" i="5"/>
  <c r="AH528" i="5"/>
  <c r="AH387" i="5"/>
  <c r="AH519" i="5"/>
  <c r="AH378" i="5"/>
  <c r="AH531" i="5"/>
  <c r="AH522" i="5"/>
  <c r="AH525" i="5"/>
  <c r="AH381" i="5"/>
  <c r="AG197" i="5" a="1"/>
  <c r="AG197" i="5" s="1"/>
  <c r="L215" i="5"/>
  <c r="U197" i="5"/>
  <c r="U229" i="5"/>
  <c r="AG229" i="5" a="1"/>
  <c r="AG229" i="5" s="1"/>
  <c r="L247" i="5"/>
  <c r="AG202" i="5" a="1"/>
  <c r="AG202" i="5" s="1"/>
  <c r="L220" i="5"/>
  <c r="U202" i="5"/>
  <c r="U205" i="5"/>
  <c r="L223" i="5"/>
  <c r="AG205" i="5" a="1"/>
  <c r="AG205" i="5" s="1"/>
  <c r="AG230" i="5" a="1"/>
  <c r="AG230" i="5" s="1"/>
  <c r="L248" i="5"/>
  <c r="U230" i="5"/>
  <c r="AG224" i="5" a="1"/>
  <c r="AG224" i="5" s="1"/>
  <c r="L242" i="5"/>
  <c r="U224" i="5"/>
  <c r="AG209" i="5" a="1"/>
  <c r="AG209" i="5" s="1"/>
  <c r="L227" i="5"/>
  <c r="U209" i="5"/>
  <c r="AG221" i="5" a="1"/>
  <c r="AG221" i="5" s="1"/>
  <c r="L239" i="5"/>
  <c r="U221" i="5"/>
  <c r="AG196" i="5" a="1"/>
  <c r="AG196" i="5" s="1"/>
  <c r="U196" i="5"/>
  <c r="L214" i="5"/>
  <c r="AG208" i="5" a="1"/>
  <c r="AG208" i="5" s="1"/>
  <c r="L226" i="5"/>
  <c r="U208" i="5"/>
  <c r="AG218" i="5" a="1"/>
  <c r="AG218" i="5" s="1"/>
  <c r="L236" i="5"/>
  <c r="U218" i="5"/>
  <c r="AG199" i="5" a="1"/>
  <c r="AG199" i="5" s="1"/>
  <c r="L217" i="5"/>
  <c r="U199" i="5"/>
  <c r="L81" i="5"/>
  <c r="AG81" i="5" s="1" a="1"/>
  <c r="AG81" i="5" s="1"/>
  <c r="L84" i="5"/>
  <c r="L78" i="5"/>
  <c r="AG78" i="5" s="1" a="1"/>
  <c r="AG78" i="5" s="1"/>
  <c r="L69" i="5"/>
  <c r="AG69" i="5" s="1" a="1"/>
  <c r="AG69" i="5" s="1"/>
  <c r="L72" i="5"/>
  <c r="L75" i="5"/>
  <c r="U57" i="5"/>
  <c r="U60" i="5"/>
  <c r="U63" i="5"/>
  <c r="U66" i="5"/>
  <c r="U51" i="5"/>
  <c r="U54" i="5"/>
  <c r="AH537" i="5" l="1"/>
  <c r="AH543" i="5"/>
  <c r="AH546" i="5"/>
  <c r="AH540" i="5"/>
  <c r="AH549" i="5"/>
  <c r="AG215" i="5" a="1"/>
  <c r="AG215" i="5" s="1"/>
  <c r="L233" i="5"/>
  <c r="U215" i="5"/>
  <c r="U81" i="5"/>
  <c r="AG214" i="5" a="1"/>
  <c r="AG214" i="5" s="1"/>
  <c r="L232" i="5"/>
  <c r="U214" i="5"/>
  <c r="AG226" i="5" a="1"/>
  <c r="AG226" i="5" s="1"/>
  <c r="L244" i="5"/>
  <c r="U226" i="5"/>
  <c r="AG217" i="5" a="1"/>
  <c r="AG217" i="5" s="1"/>
  <c r="L235" i="5"/>
  <c r="U217" i="5"/>
  <c r="AG239" i="5" a="1"/>
  <c r="AG239" i="5" s="1"/>
  <c r="L257" i="5"/>
  <c r="U239" i="5"/>
  <c r="AG242" i="5" a="1"/>
  <c r="AG242" i="5" s="1"/>
  <c r="L260" i="5"/>
  <c r="U242" i="5"/>
  <c r="AG248" i="5" a="1"/>
  <c r="AG248" i="5" s="1"/>
  <c r="L266" i="5"/>
  <c r="U248" i="5"/>
  <c r="AG220" i="5" a="1"/>
  <c r="AG220" i="5" s="1"/>
  <c r="L238" i="5"/>
  <c r="U220" i="5"/>
  <c r="AG247" i="5" a="1"/>
  <c r="AG247" i="5" s="1"/>
  <c r="L265" i="5"/>
  <c r="U247" i="5"/>
  <c r="AG236" i="5" a="1"/>
  <c r="AG236" i="5" s="1"/>
  <c r="L254" i="5"/>
  <c r="U236" i="5"/>
  <c r="AG227" i="5" a="1"/>
  <c r="AG227" i="5" s="1"/>
  <c r="L245" i="5"/>
  <c r="U227" i="5"/>
  <c r="AG223" i="5" a="1"/>
  <c r="AG223" i="5" s="1"/>
  <c r="L241" i="5"/>
  <c r="U223" i="5"/>
  <c r="U69" i="5"/>
  <c r="U72" i="5"/>
  <c r="AG72" i="5" a="1"/>
  <c r="AG72" i="5" s="1"/>
  <c r="U84" i="5"/>
  <c r="AG84" i="5" a="1"/>
  <c r="AG84" i="5" s="1"/>
  <c r="U75" i="5"/>
  <c r="AG75" i="5" a="1"/>
  <c r="AG75" i="5" s="1"/>
  <c r="L93" i="5"/>
  <c r="AG93" i="5" s="1" a="1"/>
  <c r="AG93" i="5" s="1"/>
  <c r="L102" i="5"/>
  <c r="AG102" i="5" s="1" a="1"/>
  <c r="AG102" i="5" s="1"/>
  <c r="L90" i="5"/>
  <c r="AG90" i="5" s="1" a="1"/>
  <c r="AG90" i="5" s="1"/>
  <c r="L96" i="5"/>
  <c r="AG96" i="5" s="1" a="1"/>
  <c r="AG96" i="5" s="1"/>
  <c r="L87" i="5"/>
  <c r="AG87" i="5" s="1" a="1"/>
  <c r="AG87" i="5" s="1"/>
  <c r="U78" i="5"/>
  <c r="L99" i="5"/>
  <c r="AG99" i="5" s="1" a="1"/>
  <c r="AG99" i="5" s="1"/>
  <c r="C48" i="5"/>
  <c r="C51" i="5"/>
  <c r="C45" i="5"/>
  <c r="AH564" i="5" l="1"/>
  <c r="AH561" i="5"/>
  <c r="AH567" i="5"/>
  <c r="AH558" i="5"/>
  <c r="AH555" i="5"/>
  <c r="AG233" i="5" a="1"/>
  <c r="AG233" i="5" s="1"/>
  <c r="L251" i="5"/>
  <c r="U233" i="5"/>
  <c r="AG241" i="5" a="1"/>
  <c r="AG241" i="5" s="1"/>
  <c r="U241" i="5"/>
  <c r="L259" i="5"/>
  <c r="AG254" i="5" a="1"/>
  <c r="AG254" i="5" s="1"/>
  <c r="L272" i="5"/>
  <c r="U254" i="5"/>
  <c r="AG260" i="5" a="1"/>
  <c r="AG260" i="5" s="1"/>
  <c r="L278" i="5"/>
  <c r="U260" i="5"/>
  <c r="AG235" i="5" a="1"/>
  <c r="AG235" i="5" s="1"/>
  <c r="U235" i="5"/>
  <c r="L253" i="5"/>
  <c r="AG238" i="5" a="1"/>
  <c r="AG238" i="5" s="1"/>
  <c r="L256" i="5"/>
  <c r="U238" i="5"/>
  <c r="AG257" i="5" a="1"/>
  <c r="AG257" i="5" s="1"/>
  <c r="L275" i="5"/>
  <c r="U257" i="5"/>
  <c r="AG245" i="5" a="1"/>
  <c r="AG245" i="5" s="1"/>
  <c r="L263" i="5"/>
  <c r="U245" i="5"/>
  <c r="U244" i="5"/>
  <c r="L262" i="5"/>
  <c r="AG244" i="5" a="1"/>
  <c r="AG244" i="5" s="1"/>
  <c r="AG265" i="5" a="1"/>
  <c r="AG265" i="5" s="1"/>
  <c r="L283" i="5"/>
  <c r="U265" i="5"/>
  <c r="AG266" i="5" a="1"/>
  <c r="AG266" i="5" s="1"/>
  <c r="L284" i="5"/>
  <c r="U266" i="5"/>
  <c r="U232" i="5"/>
  <c r="L250" i="5"/>
  <c r="AG232" i="5" a="1"/>
  <c r="AG232" i="5" s="1"/>
  <c r="L117" i="5"/>
  <c r="AG117" i="5" s="1" a="1"/>
  <c r="AG117" i="5" s="1"/>
  <c r="U99" i="5"/>
  <c r="L114" i="5"/>
  <c r="AG114" i="5" s="1" a="1"/>
  <c r="AG114" i="5" s="1"/>
  <c r="U96" i="5"/>
  <c r="L108" i="5"/>
  <c r="AG108" i="5" s="1" a="1"/>
  <c r="AG108" i="5" s="1"/>
  <c r="U90" i="5"/>
  <c r="L105" i="5"/>
  <c r="AG105" i="5" s="1" a="1"/>
  <c r="AG105" i="5" s="1"/>
  <c r="U87" i="5"/>
  <c r="U102" i="5"/>
  <c r="L120" i="5"/>
  <c r="AG120" i="5" s="1" a="1"/>
  <c r="AG120" i="5" s="1"/>
  <c r="L111" i="5"/>
  <c r="AG111" i="5" s="1" a="1"/>
  <c r="AG111" i="5" s="1"/>
  <c r="U93" i="5"/>
  <c r="C668" i="5"/>
  <c r="C667" i="5"/>
  <c r="C666" i="5"/>
  <c r="C665" i="5"/>
  <c r="C664" i="5"/>
  <c r="C663" i="5"/>
  <c r="C662" i="5"/>
  <c r="C661" i="5"/>
  <c r="C660" i="5"/>
  <c r="C659" i="5"/>
  <c r="C658" i="5"/>
  <c r="C657" i="5"/>
  <c r="C656" i="5"/>
  <c r="C655" i="5"/>
  <c r="C654" i="5"/>
  <c r="C653" i="5"/>
  <c r="C652" i="5"/>
  <c r="C651" i="5"/>
  <c r="C650" i="5"/>
  <c r="C649" i="5"/>
  <c r="C648" i="5"/>
  <c r="C647" i="5"/>
  <c r="C646" i="5"/>
  <c r="C645" i="5"/>
  <c r="C644" i="5"/>
  <c r="C643" i="5"/>
  <c r="C642" i="5"/>
  <c r="C638" i="5"/>
  <c r="C637" i="5"/>
  <c r="C636" i="5"/>
  <c r="C635" i="5"/>
  <c r="C634" i="5"/>
  <c r="C633" i="5"/>
  <c r="C632" i="5"/>
  <c r="C631" i="5"/>
  <c r="C630" i="5"/>
  <c r="C629" i="5"/>
  <c r="C628" i="5"/>
  <c r="C627" i="5"/>
  <c r="C626" i="5"/>
  <c r="C625" i="5"/>
  <c r="C624" i="5"/>
  <c r="C623" i="5"/>
  <c r="C622" i="5"/>
  <c r="C621" i="5"/>
  <c r="C620" i="5"/>
  <c r="C619" i="5"/>
  <c r="C618" i="5"/>
  <c r="C617" i="5"/>
  <c r="C616" i="5"/>
  <c r="C615" i="5"/>
  <c r="C614" i="5"/>
  <c r="C613" i="5"/>
  <c r="C612" i="5"/>
  <c r="C610" i="5"/>
  <c r="C611" i="5"/>
  <c r="C641" i="5"/>
  <c r="C640" i="5"/>
  <c r="C639" i="5"/>
  <c r="C609" i="5"/>
  <c r="AH585" i="5" l="1"/>
  <c r="AH573" i="5"/>
  <c r="AH576" i="5"/>
  <c r="AH579" i="5"/>
  <c r="AH582" i="5"/>
  <c r="L269" i="5"/>
  <c r="U251" i="5"/>
  <c r="AG251" i="5" a="1"/>
  <c r="AG251" i="5" s="1"/>
  <c r="AG284" i="5" a="1"/>
  <c r="AG284" i="5" s="1"/>
  <c r="L302" i="5"/>
  <c r="U284" i="5"/>
  <c r="AG256" i="5" a="1"/>
  <c r="AG256" i="5" s="1"/>
  <c r="L274" i="5"/>
  <c r="U256" i="5"/>
  <c r="AG253" i="5" a="1"/>
  <c r="AG253" i="5" s="1"/>
  <c r="L271" i="5"/>
  <c r="U253" i="5"/>
  <c r="U250" i="5"/>
  <c r="L268" i="5"/>
  <c r="AG250" i="5" a="1"/>
  <c r="AG250" i="5" s="1"/>
  <c r="L280" i="5"/>
  <c r="AG262" i="5" a="1"/>
  <c r="AG262" i="5" s="1"/>
  <c r="U262" i="5"/>
  <c r="AG263" i="5" a="1"/>
  <c r="AG263" i="5" s="1"/>
  <c r="L281" i="5"/>
  <c r="U263" i="5"/>
  <c r="AG272" i="5" a="1"/>
  <c r="AG272" i="5" s="1"/>
  <c r="L290" i="5"/>
  <c r="U272" i="5"/>
  <c r="AG259" i="5" a="1"/>
  <c r="AG259" i="5" s="1"/>
  <c r="L277" i="5"/>
  <c r="U259" i="5"/>
  <c r="AG283" i="5" a="1"/>
  <c r="AG283" i="5" s="1"/>
  <c r="L301" i="5"/>
  <c r="U283" i="5"/>
  <c r="AG275" i="5" a="1"/>
  <c r="AG275" i="5" s="1"/>
  <c r="L293" i="5"/>
  <c r="U275" i="5"/>
  <c r="AG278" i="5" a="1"/>
  <c r="AG278" i="5" s="1"/>
  <c r="L296" i="5"/>
  <c r="U278" i="5"/>
  <c r="U108" i="5"/>
  <c r="L126" i="5"/>
  <c r="AG126" i="5" s="1" a="1"/>
  <c r="AG126" i="5" s="1"/>
  <c r="U120" i="5"/>
  <c r="L138" i="5"/>
  <c r="AG138" i="5" s="1" a="1"/>
  <c r="AG138" i="5" s="1"/>
  <c r="L129" i="5"/>
  <c r="AG129" i="5" s="1" a="1"/>
  <c r="AG129" i="5" s="1"/>
  <c r="U111" i="5"/>
  <c r="L132" i="5"/>
  <c r="AG132" i="5" s="1" a="1"/>
  <c r="AG132" i="5" s="1"/>
  <c r="U114" i="5"/>
  <c r="U105" i="5"/>
  <c r="L123" i="5"/>
  <c r="AG123" i="5" s="1" a="1"/>
  <c r="AG123" i="5" s="1"/>
  <c r="L135" i="5"/>
  <c r="AG135" i="5" s="1" a="1"/>
  <c r="AG135" i="5" s="1"/>
  <c r="U117" i="5"/>
  <c r="L97" i="7"/>
  <c r="L96" i="7"/>
  <c r="L95" i="7"/>
  <c r="L94" i="7"/>
  <c r="L93" i="7"/>
  <c r="L92" i="7"/>
  <c r="L91" i="7"/>
  <c r="L90" i="7"/>
  <c r="L89" i="7"/>
  <c r="L88" i="7"/>
  <c r="L87" i="7"/>
  <c r="L86" i="7"/>
  <c r="L82" i="7"/>
  <c r="L81" i="7"/>
  <c r="L80" i="7"/>
  <c r="L79" i="7"/>
  <c r="L78" i="7"/>
  <c r="L77" i="7"/>
  <c r="L76" i="7"/>
  <c r="L75" i="7"/>
  <c r="L74" i="7"/>
  <c r="L73" i="7"/>
  <c r="L72" i="7"/>
  <c r="L71" i="7"/>
  <c r="L70" i="7"/>
  <c r="L69" i="7"/>
  <c r="L68" i="7"/>
  <c r="L67" i="7"/>
  <c r="L66" i="7"/>
  <c r="L65" i="7"/>
  <c r="L64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L35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B5" i="7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L4" i="7"/>
  <c r="AH600" i="5" l="1"/>
  <c r="AH597" i="5"/>
  <c r="AH594" i="5"/>
  <c r="AH591" i="5"/>
  <c r="AH603" i="5"/>
  <c r="AG269" i="5" a="1"/>
  <c r="AG269" i="5" s="1"/>
  <c r="L287" i="5"/>
  <c r="U269" i="5"/>
  <c r="AG296" i="5" a="1"/>
  <c r="AG296" i="5" s="1"/>
  <c r="L314" i="5"/>
  <c r="U296" i="5"/>
  <c r="AG290" i="5" a="1"/>
  <c r="AG290" i="5" s="1"/>
  <c r="L308" i="5"/>
  <c r="U290" i="5"/>
  <c r="L286" i="5"/>
  <c r="U268" i="5"/>
  <c r="AG268" i="5" a="1"/>
  <c r="AG268" i="5" s="1"/>
  <c r="AG293" i="5" a="1"/>
  <c r="AG293" i="5" s="1"/>
  <c r="L311" i="5"/>
  <c r="U293" i="5"/>
  <c r="AG277" i="5" a="1"/>
  <c r="AG277" i="5" s="1"/>
  <c r="L295" i="5"/>
  <c r="U277" i="5"/>
  <c r="U281" i="5"/>
  <c r="L299" i="5"/>
  <c r="AG281" i="5" a="1"/>
  <c r="AG281" i="5" s="1"/>
  <c r="U271" i="5"/>
  <c r="AG271" i="5" a="1"/>
  <c r="AG271" i="5" s="1"/>
  <c r="L289" i="5"/>
  <c r="L319" i="5"/>
  <c r="U301" i="5"/>
  <c r="AG301" i="5" a="1"/>
  <c r="AG301" i="5" s="1"/>
  <c r="AG274" i="5" a="1"/>
  <c r="AG274" i="5" s="1"/>
  <c r="L292" i="5"/>
  <c r="U274" i="5"/>
  <c r="AG302" i="5" a="1"/>
  <c r="AG302" i="5" s="1"/>
  <c r="L320" i="5"/>
  <c r="U302" i="5"/>
  <c r="U280" i="5"/>
  <c r="L298" i="5"/>
  <c r="AG280" i="5" a="1"/>
  <c r="AG280" i="5" s="1"/>
  <c r="U135" i="5"/>
  <c r="L153" i="5"/>
  <c r="AG153" i="5" s="1" a="1"/>
  <c r="AG153" i="5" s="1"/>
  <c r="L156" i="5"/>
  <c r="AG156" i="5" s="1" a="1"/>
  <c r="AG156" i="5" s="1"/>
  <c r="U138" i="5"/>
  <c r="L150" i="5"/>
  <c r="AG150" i="5" s="1" a="1"/>
  <c r="AG150" i="5" s="1"/>
  <c r="U132" i="5"/>
  <c r="L141" i="5"/>
  <c r="AG141" i="5" s="1" a="1"/>
  <c r="AG141" i="5" s="1"/>
  <c r="U123" i="5"/>
  <c r="U126" i="5"/>
  <c r="L144" i="5"/>
  <c r="AG144" i="5" s="1" a="1"/>
  <c r="AG144" i="5" s="1"/>
  <c r="L147" i="5"/>
  <c r="AG147" i="5" s="1" a="1"/>
  <c r="AG147" i="5" s="1"/>
  <c r="U129" i="5"/>
  <c r="AA5" i="6"/>
  <c r="AG287" i="5" l="1" a="1"/>
  <c r="AG287" i="5" s="1"/>
  <c r="U287" i="5"/>
  <c r="L305" i="5"/>
  <c r="AG298" i="5" a="1"/>
  <c r="AG298" i="5" s="1"/>
  <c r="L316" i="5"/>
  <c r="U298" i="5"/>
  <c r="AG311" i="5" a="1"/>
  <c r="AG311" i="5" s="1"/>
  <c r="L329" i="5"/>
  <c r="U311" i="5"/>
  <c r="AG308" i="5" a="1"/>
  <c r="AG308" i="5" s="1"/>
  <c r="L326" i="5"/>
  <c r="U308" i="5"/>
  <c r="AG289" i="5" a="1"/>
  <c r="AG289" i="5" s="1"/>
  <c r="L307" i="5"/>
  <c r="U289" i="5"/>
  <c r="AG320" i="5" a="1"/>
  <c r="AG320" i="5" s="1"/>
  <c r="L338" i="5"/>
  <c r="U320" i="5"/>
  <c r="AG299" i="5" a="1"/>
  <c r="AG299" i="5" s="1"/>
  <c r="L317" i="5"/>
  <c r="U299" i="5"/>
  <c r="U295" i="5"/>
  <c r="AG295" i="5" a="1"/>
  <c r="AG295" i="5" s="1"/>
  <c r="L313" i="5"/>
  <c r="AG314" i="5" a="1"/>
  <c r="AG314" i="5" s="1"/>
  <c r="L332" i="5"/>
  <c r="U314" i="5"/>
  <c r="AG292" i="5" a="1"/>
  <c r="AG292" i="5" s="1"/>
  <c r="L310" i="5"/>
  <c r="U292" i="5"/>
  <c r="AG319" i="5" a="1"/>
  <c r="AG319" i="5" s="1"/>
  <c r="L337" i="5"/>
  <c r="U319" i="5"/>
  <c r="AG286" i="5" a="1"/>
  <c r="AG286" i="5" s="1"/>
  <c r="L304" i="5"/>
  <c r="U286" i="5"/>
  <c r="L162" i="5"/>
  <c r="AG162" i="5" s="1" a="1"/>
  <c r="AG162" i="5" s="1"/>
  <c r="U144" i="5"/>
  <c r="U147" i="5"/>
  <c r="L165" i="5"/>
  <c r="AG165" i="5" s="1" a="1"/>
  <c r="AG165" i="5" s="1"/>
  <c r="L174" i="5"/>
  <c r="AG174" i="5" s="1" a="1"/>
  <c r="AG174" i="5" s="1"/>
  <c r="U156" i="5"/>
  <c r="U141" i="5"/>
  <c r="L159" i="5"/>
  <c r="AG159" i="5" s="1" a="1"/>
  <c r="AG159" i="5" s="1"/>
  <c r="L171" i="5"/>
  <c r="AG171" i="5" s="1" a="1"/>
  <c r="AG171" i="5" s="1"/>
  <c r="U153" i="5"/>
  <c r="U150" i="5"/>
  <c r="L168" i="5"/>
  <c r="AG168" i="5" s="1" a="1"/>
  <c r="AG168" i="5" s="1"/>
  <c r="U35" i="6"/>
  <c r="T35" i="6"/>
  <c r="S35" i="6"/>
  <c r="S18" i="6"/>
  <c r="R17" i="6"/>
  <c r="V20" i="6" s="1"/>
  <c r="R16" i="6"/>
  <c r="U19" i="6" s="1"/>
  <c r="AB12" i="6"/>
  <c r="AA12" i="6"/>
  <c r="V11" i="6"/>
  <c r="S10" i="6"/>
  <c r="V9" i="6"/>
  <c r="T9" i="6"/>
  <c r="S8" i="6"/>
  <c r="W7" i="6"/>
  <c r="U7" i="6"/>
  <c r="X10" i="6"/>
  <c r="X6" i="6"/>
  <c r="V6" i="6"/>
  <c r="S6" i="6"/>
  <c r="W5" i="6"/>
  <c r="X5" i="6"/>
  <c r="S5" i="6"/>
  <c r="V18" i="6"/>
  <c r="V5" i="6"/>
  <c r="X4" i="6"/>
  <c r="W4" i="6"/>
  <c r="V4" i="6"/>
  <c r="U4" i="6"/>
  <c r="S4" i="6"/>
  <c r="U18" i="6"/>
  <c r="U5" i="6"/>
  <c r="X3" i="6"/>
  <c r="V3" i="6"/>
  <c r="S3" i="6"/>
  <c r="T18" i="6"/>
  <c r="T7" i="6"/>
  <c r="X2" i="6"/>
  <c r="V2" i="6"/>
  <c r="U2" i="6"/>
  <c r="S2" i="6"/>
  <c r="S11" i="6"/>
  <c r="L323" i="5" l="1"/>
  <c r="AG305" i="5" a="1"/>
  <c r="AG305" i="5" s="1"/>
  <c r="U305" i="5"/>
  <c r="AG307" i="5" a="1"/>
  <c r="AG307" i="5" s="1"/>
  <c r="L325" i="5"/>
  <c r="U307" i="5"/>
  <c r="AG329" i="5" a="1"/>
  <c r="AG329" i="5" s="1"/>
  <c r="L347" i="5"/>
  <c r="U329" i="5"/>
  <c r="AG304" i="5" a="1"/>
  <c r="AG304" i="5" s="1"/>
  <c r="L322" i="5"/>
  <c r="U304" i="5"/>
  <c r="AG317" i="5" a="1"/>
  <c r="AG317" i="5" s="1"/>
  <c r="L335" i="5"/>
  <c r="U317" i="5"/>
  <c r="AG337" i="5" a="1"/>
  <c r="AG337" i="5" s="1"/>
  <c r="L355" i="5"/>
  <c r="U337" i="5"/>
  <c r="AG326" i="5" a="1"/>
  <c r="AG326" i="5" s="1"/>
  <c r="L344" i="5"/>
  <c r="U326" i="5"/>
  <c r="AG313" i="5" a="1"/>
  <c r="AG313" i="5" s="1"/>
  <c r="U313" i="5"/>
  <c r="L331" i="5"/>
  <c r="AG332" i="5" a="1"/>
  <c r="AG332" i="5" s="1"/>
  <c r="L350" i="5"/>
  <c r="U332" i="5"/>
  <c r="AG310" i="5" a="1"/>
  <c r="AG310" i="5" s="1"/>
  <c r="L328" i="5"/>
  <c r="U310" i="5"/>
  <c r="AG338" i="5" a="1"/>
  <c r="AG338" i="5" s="1"/>
  <c r="U338" i="5"/>
  <c r="L356" i="5"/>
  <c r="AG316" i="5" a="1"/>
  <c r="AG316" i="5" s="1"/>
  <c r="L334" i="5"/>
  <c r="U316" i="5"/>
  <c r="L186" i="5"/>
  <c r="AG186" i="5" s="1" a="1"/>
  <c r="AG186" i="5" s="1"/>
  <c r="U168" i="5"/>
  <c r="U165" i="5"/>
  <c r="L183" i="5"/>
  <c r="AG183" i="5" s="1" a="1"/>
  <c r="AG183" i="5" s="1"/>
  <c r="U159" i="5"/>
  <c r="L177" i="5"/>
  <c r="AG177" i="5" s="1" a="1"/>
  <c r="AG177" i="5" s="1"/>
  <c r="L180" i="5"/>
  <c r="AG180" i="5" s="1" a="1"/>
  <c r="AG180" i="5" s="1"/>
  <c r="U162" i="5"/>
  <c r="U171" i="5"/>
  <c r="L189" i="5"/>
  <c r="AG189" i="5" s="1" a="1"/>
  <c r="AG189" i="5" s="1"/>
  <c r="U174" i="5"/>
  <c r="L192" i="5"/>
  <c r="AG192" i="5" s="1" a="1"/>
  <c r="AG192" i="5" s="1"/>
  <c r="T20" i="6"/>
  <c r="T11" i="6"/>
  <c r="V19" i="6"/>
  <c r="V21" i="6" s="1"/>
  <c r="V7" i="6"/>
  <c r="U9" i="6"/>
  <c r="U11" i="6"/>
  <c r="S20" i="6"/>
  <c r="T6" i="6"/>
  <c r="X7" i="6"/>
  <c r="W9" i="6"/>
  <c r="W11" i="6"/>
  <c r="U20" i="6"/>
  <c r="U21" i="6" s="1"/>
  <c r="T3" i="6"/>
  <c r="U3" i="6"/>
  <c r="U6" i="6"/>
  <c r="X9" i="6"/>
  <c r="X11" i="6"/>
  <c r="W6" i="6"/>
  <c r="T8" i="6"/>
  <c r="T10" i="6"/>
  <c r="T2" i="6"/>
  <c r="T5" i="6"/>
  <c r="U8" i="6"/>
  <c r="U10" i="6"/>
  <c r="W3" i="6"/>
  <c r="V8" i="6"/>
  <c r="V10" i="6"/>
  <c r="W8" i="6"/>
  <c r="W10" i="6"/>
  <c r="S19" i="6"/>
  <c r="W2" i="6"/>
  <c r="S7" i="6"/>
  <c r="X8" i="6"/>
  <c r="T19" i="6"/>
  <c r="T4" i="6"/>
  <c r="S9" i="6"/>
  <c r="L341" i="5" l="1"/>
  <c r="AG323" i="5" a="1"/>
  <c r="AG323" i="5" s="1"/>
  <c r="U323" i="5"/>
  <c r="AG322" i="5" a="1"/>
  <c r="AG322" i="5" s="1"/>
  <c r="L340" i="5"/>
  <c r="U322" i="5"/>
  <c r="AG328" i="5" a="1"/>
  <c r="AG328" i="5" s="1"/>
  <c r="U328" i="5"/>
  <c r="L346" i="5"/>
  <c r="AG334" i="5" a="1"/>
  <c r="AG334" i="5" s="1"/>
  <c r="L352" i="5"/>
  <c r="U334" i="5"/>
  <c r="AG350" i="5" a="1"/>
  <c r="AG350" i="5" s="1"/>
  <c r="U350" i="5"/>
  <c r="L368" i="5"/>
  <c r="AG344" i="5" a="1"/>
  <c r="AG344" i="5" s="1"/>
  <c r="L362" i="5"/>
  <c r="U344" i="5"/>
  <c r="AG335" i="5" a="1"/>
  <c r="AG335" i="5" s="1"/>
  <c r="L353" i="5"/>
  <c r="U335" i="5"/>
  <c r="AG347" i="5" a="1"/>
  <c r="AG347" i="5" s="1"/>
  <c r="L365" i="5"/>
  <c r="U347" i="5"/>
  <c r="U356" i="5"/>
  <c r="L374" i="5"/>
  <c r="AG356" i="5" a="1"/>
  <c r="AG356" i="5" s="1"/>
  <c r="L373" i="5"/>
  <c r="AG355" i="5" a="1"/>
  <c r="AG355" i="5" s="1"/>
  <c r="U355" i="5"/>
  <c r="AG325" i="5" a="1"/>
  <c r="AG325" i="5" s="1"/>
  <c r="L343" i="5"/>
  <c r="U325" i="5"/>
  <c r="AG331" i="5" a="1"/>
  <c r="AG331" i="5" s="1"/>
  <c r="U331" i="5"/>
  <c r="L349" i="5"/>
  <c r="S21" i="6"/>
  <c r="T21" i="6"/>
  <c r="U192" i="5"/>
  <c r="L210" i="5"/>
  <c r="AG210" i="5" s="1" a="1"/>
  <c r="AG210" i="5" s="1"/>
  <c r="L207" i="5"/>
  <c r="AG207" i="5" s="1" a="1"/>
  <c r="AG207" i="5" s="1"/>
  <c r="U189" i="5"/>
  <c r="L201" i="5"/>
  <c r="AG201" i="5" s="1" a="1"/>
  <c r="AG201" i="5" s="1"/>
  <c r="U183" i="5"/>
  <c r="U180" i="5"/>
  <c r="L198" i="5"/>
  <c r="AG198" i="5" s="1" a="1"/>
  <c r="AG198" i="5" s="1"/>
  <c r="L195" i="5"/>
  <c r="AG195" i="5" s="1" a="1"/>
  <c r="AG195" i="5" s="1"/>
  <c r="U177" i="5"/>
  <c r="L204" i="5"/>
  <c r="AG204" i="5" s="1" a="1"/>
  <c r="AG204" i="5" s="1"/>
  <c r="U186" i="5"/>
  <c r="X12" i="6"/>
  <c r="S12" i="6"/>
  <c r="Z12" i="6" s="1"/>
  <c r="Z13" i="6" s="1"/>
  <c r="V12" i="6"/>
  <c r="U12" i="6"/>
  <c r="T12" i="6"/>
  <c r="W12" i="6"/>
  <c r="AG341" i="5" l="1" a="1"/>
  <c r="AG341" i="5" s="1"/>
  <c r="L359" i="5"/>
  <c r="U341" i="5"/>
  <c r="AG349" i="5" a="1"/>
  <c r="AG349" i="5" s="1"/>
  <c r="L367" i="5"/>
  <c r="U349" i="5"/>
  <c r="AG368" i="5" a="1"/>
  <c r="AG368" i="5" s="1"/>
  <c r="L386" i="5"/>
  <c r="U368" i="5"/>
  <c r="AG374" i="5" a="1"/>
  <c r="AG374" i="5" s="1"/>
  <c r="L392" i="5"/>
  <c r="U374" i="5"/>
  <c r="AG353" i="5" a="1"/>
  <c r="AG353" i="5" s="1"/>
  <c r="L371" i="5"/>
  <c r="U353" i="5"/>
  <c r="U373" i="5"/>
  <c r="L391" i="5"/>
  <c r="AG373" i="5" a="1"/>
  <c r="AG373" i="5" s="1"/>
  <c r="AG346" i="5" a="1"/>
  <c r="AG346" i="5" s="1"/>
  <c r="L364" i="5"/>
  <c r="U346" i="5"/>
  <c r="U343" i="5"/>
  <c r="L361" i="5"/>
  <c r="AG343" i="5" a="1"/>
  <c r="AG343" i="5" s="1"/>
  <c r="AG340" i="5" a="1"/>
  <c r="AG340" i="5" s="1"/>
  <c r="L358" i="5"/>
  <c r="U340" i="5"/>
  <c r="AG365" i="5" a="1"/>
  <c r="AG365" i="5" s="1"/>
  <c r="L383" i="5"/>
  <c r="U365" i="5"/>
  <c r="AG362" i="5" a="1"/>
  <c r="AG362" i="5" s="1"/>
  <c r="L380" i="5"/>
  <c r="U362" i="5"/>
  <c r="AG352" i="5" a="1"/>
  <c r="AG352" i="5" s="1"/>
  <c r="L370" i="5"/>
  <c r="U352" i="5"/>
  <c r="U198" i="5"/>
  <c r="L216" i="5"/>
  <c r="AG216" i="5" s="1" a="1"/>
  <c r="AG216" i="5" s="1"/>
  <c r="L222" i="5"/>
  <c r="AG222" i="5" s="1" a="1"/>
  <c r="AG222" i="5" s="1"/>
  <c r="U204" i="5"/>
  <c r="L225" i="5"/>
  <c r="AG225" i="5" s="1" a="1"/>
  <c r="AG225" i="5" s="1"/>
  <c r="U207" i="5"/>
  <c r="U195" i="5"/>
  <c r="L213" i="5"/>
  <c r="AG213" i="5" s="1" a="1"/>
  <c r="AG213" i="5" s="1"/>
  <c r="L228" i="5"/>
  <c r="AG228" i="5" s="1" a="1"/>
  <c r="AG228" i="5" s="1"/>
  <c r="U210" i="5"/>
  <c r="U201" i="5"/>
  <c r="L219" i="5"/>
  <c r="AG219" i="5" s="1" a="1"/>
  <c r="AG219" i="5" s="1"/>
  <c r="L377" i="5" l="1"/>
  <c r="U359" i="5"/>
  <c r="AG359" i="5" a="1"/>
  <c r="AG359" i="5" s="1"/>
  <c r="AG370" i="5" a="1"/>
  <c r="AG370" i="5" s="1"/>
  <c r="L388" i="5"/>
  <c r="U370" i="5"/>
  <c r="AG391" i="5" a="1"/>
  <c r="AG391" i="5" s="1"/>
  <c r="U391" i="5"/>
  <c r="L409" i="5"/>
  <c r="AG392" i="5" a="1"/>
  <c r="AG392" i="5" s="1"/>
  <c r="L410" i="5"/>
  <c r="U392" i="5"/>
  <c r="AG380" i="5" a="1"/>
  <c r="AG380" i="5" s="1"/>
  <c r="L398" i="5"/>
  <c r="U380" i="5"/>
  <c r="AG361" i="5" a="1"/>
  <c r="AG361" i="5" s="1"/>
  <c r="U361" i="5"/>
  <c r="L379" i="5"/>
  <c r="AG386" i="5" a="1"/>
  <c r="AG386" i="5" s="1"/>
  <c r="L404" i="5"/>
  <c r="U386" i="5"/>
  <c r="AG383" i="5" a="1"/>
  <c r="AG383" i="5" s="1"/>
  <c r="L401" i="5"/>
  <c r="U383" i="5"/>
  <c r="AG358" i="5" a="1"/>
  <c r="AG358" i="5" s="1"/>
  <c r="L376" i="5"/>
  <c r="U358" i="5"/>
  <c r="AG364" i="5" a="1"/>
  <c r="AG364" i="5" s="1"/>
  <c r="L382" i="5"/>
  <c r="U364" i="5"/>
  <c r="AG371" i="5" a="1"/>
  <c r="AG371" i="5" s="1"/>
  <c r="L389" i="5"/>
  <c r="U371" i="5"/>
  <c r="AG367" i="5" a="1"/>
  <c r="AG367" i="5" s="1"/>
  <c r="L385" i="5"/>
  <c r="U367" i="5"/>
  <c r="L237" i="5"/>
  <c r="AG237" i="5" s="1" a="1"/>
  <c r="AG237" i="5" s="1"/>
  <c r="U219" i="5"/>
  <c r="L231" i="5"/>
  <c r="AG231" i="5" s="1" a="1"/>
  <c r="AG231" i="5" s="1"/>
  <c r="U213" i="5"/>
  <c r="L234" i="5"/>
  <c r="AG234" i="5" s="1" a="1"/>
  <c r="AG234" i="5" s="1"/>
  <c r="U216" i="5"/>
  <c r="U222" i="5"/>
  <c r="L240" i="5"/>
  <c r="AG240" i="5" s="1" a="1"/>
  <c r="AG240" i="5" s="1"/>
  <c r="U228" i="5"/>
  <c r="L246" i="5"/>
  <c r="AG246" i="5" s="1" a="1"/>
  <c r="AG246" i="5" s="1"/>
  <c r="L243" i="5"/>
  <c r="AG243" i="5" s="1" a="1"/>
  <c r="AG243" i="5" s="1"/>
  <c r="U225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AG377" i="5" l="1" a="1"/>
  <c r="AG377" i="5" s="1"/>
  <c r="L395" i="5"/>
  <c r="U377" i="5"/>
  <c r="AG398" i="5" a="1"/>
  <c r="AG398" i="5" s="1"/>
  <c r="L416" i="5"/>
  <c r="U398" i="5"/>
  <c r="AG410" i="5" a="1"/>
  <c r="AG410" i="5" s="1"/>
  <c r="L428" i="5"/>
  <c r="U410" i="5"/>
  <c r="L403" i="5"/>
  <c r="AG385" i="5" a="1"/>
  <c r="AG385" i="5" s="1"/>
  <c r="U385" i="5"/>
  <c r="AG409" i="5" a="1"/>
  <c r="AG409" i="5" s="1"/>
  <c r="U409" i="5"/>
  <c r="L427" i="5"/>
  <c r="AG376" i="5" a="1"/>
  <c r="AG376" i="5" s="1"/>
  <c r="L394" i="5"/>
  <c r="U376" i="5"/>
  <c r="AG404" i="5" a="1"/>
  <c r="AG404" i="5" s="1"/>
  <c r="L422" i="5"/>
  <c r="U404" i="5"/>
  <c r="AG389" i="5" a="1"/>
  <c r="AG389" i="5" s="1"/>
  <c r="U389" i="5"/>
  <c r="L407" i="5"/>
  <c r="AG379" i="5" a="1"/>
  <c r="AG379" i="5" s="1"/>
  <c r="L397" i="5"/>
  <c r="U379" i="5"/>
  <c r="AG382" i="5" a="1"/>
  <c r="AG382" i="5" s="1"/>
  <c r="L400" i="5"/>
  <c r="U382" i="5"/>
  <c r="AG401" i="5" a="1"/>
  <c r="AG401" i="5" s="1"/>
  <c r="L419" i="5"/>
  <c r="U401" i="5"/>
  <c r="L406" i="5"/>
  <c r="AG388" i="5" a="1"/>
  <c r="AG388" i="5" s="1"/>
  <c r="U388" i="5"/>
  <c r="U246" i="5"/>
  <c r="L264" i="5"/>
  <c r="AG264" i="5" s="1" a="1"/>
  <c r="AG264" i="5" s="1"/>
  <c r="U243" i="5"/>
  <c r="L261" i="5"/>
  <c r="AG261" i="5" s="1" a="1"/>
  <c r="AG261" i="5" s="1"/>
  <c r="L249" i="5"/>
  <c r="AG249" i="5" s="1" a="1"/>
  <c r="AG249" i="5" s="1"/>
  <c r="U231" i="5"/>
  <c r="U240" i="5"/>
  <c r="L258" i="5"/>
  <c r="AG258" i="5" s="1" a="1"/>
  <c r="AG258" i="5" s="1"/>
  <c r="L255" i="5"/>
  <c r="AG255" i="5" s="1" a="1"/>
  <c r="AG255" i="5" s="1"/>
  <c r="U237" i="5"/>
  <c r="L252" i="5"/>
  <c r="AG252" i="5" s="1" a="1"/>
  <c r="AG252" i="5" s="1"/>
  <c r="U234" i="5"/>
  <c r="AG395" i="5" l="1" a="1"/>
  <c r="AG395" i="5" s="1"/>
  <c r="L413" i="5"/>
  <c r="U395" i="5"/>
  <c r="AG419" i="5" a="1"/>
  <c r="AG419" i="5" s="1"/>
  <c r="L437" i="5"/>
  <c r="U419" i="5"/>
  <c r="AG422" i="5" a="1"/>
  <c r="AG422" i="5" s="1"/>
  <c r="L440" i="5"/>
  <c r="U422" i="5"/>
  <c r="AG428" i="5" a="1"/>
  <c r="AG428" i="5" s="1"/>
  <c r="L446" i="5"/>
  <c r="U428" i="5"/>
  <c r="AG406" i="5" a="1"/>
  <c r="AG406" i="5" s="1"/>
  <c r="L424" i="5"/>
  <c r="U406" i="5"/>
  <c r="AG407" i="5" a="1"/>
  <c r="AG407" i="5" s="1"/>
  <c r="L425" i="5"/>
  <c r="U407" i="5"/>
  <c r="AG400" i="5" a="1"/>
  <c r="AG400" i="5" s="1"/>
  <c r="L418" i="5"/>
  <c r="U400" i="5"/>
  <c r="AG394" i="5" a="1"/>
  <c r="AG394" i="5" s="1"/>
  <c r="L412" i="5"/>
  <c r="U394" i="5"/>
  <c r="AG416" i="5" a="1"/>
  <c r="AG416" i="5" s="1"/>
  <c r="L434" i="5"/>
  <c r="U416" i="5"/>
  <c r="AG403" i="5" a="1"/>
  <c r="AG403" i="5" s="1"/>
  <c r="L421" i="5"/>
  <c r="U403" i="5"/>
  <c r="AG397" i="5" a="1"/>
  <c r="AG397" i="5" s="1"/>
  <c r="L415" i="5"/>
  <c r="U397" i="5"/>
  <c r="AG427" i="5" a="1"/>
  <c r="AG427" i="5" s="1"/>
  <c r="L445" i="5"/>
  <c r="U427" i="5"/>
  <c r="L276" i="5"/>
  <c r="AG276" i="5" s="1" a="1"/>
  <c r="AG276" i="5" s="1"/>
  <c r="U258" i="5"/>
  <c r="U261" i="5"/>
  <c r="L279" i="5"/>
  <c r="AG279" i="5" s="1" a="1"/>
  <c r="AG279" i="5" s="1"/>
  <c r="L267" i="5"/>
  <c r="AG267" i="5" s="1" a="1"/>
  <c r="AG267" i="5" s="1"/>
  <c r="U249" i="5"/>
  <c r="L270" i="5"/>
  <c r="AG270" i="5" s="1" a="1"/>
  <c r="AG270" i="5" s="1"/>
  <c r="U252" i="5"/>
  <c r="U264" i="5"/>
  <c r="L282" i="5"/>
  <c r="AG282" i="5" s="1" a="1"/>
  <c r="AG282" i="5" s="1"/>
  <c r="L273" i="5"/>
  <c r="AG273" i="5" s="1" a="1"/>
  <c r="AG273" i="5" s="1"/>
  <c r="U255" i="5"/>
  <c r="AG413" i="5" l="1" a="1"/>
  <c r="AG413" i="5" s="1"/>
  <c r="L431" i="5"/>
  <c r="U413" i="5"/>
  <c r="AG445" i="5" a="1"/>
  <c r="AG445" i="5" s="1"/>
  <c r="L463" i="5"/>
  <c r="U445" i="5"/>
  <c r="AG421" i="5" a="1"/>
  <c r="AG421" i="5" s="1"/>
  <c r="U421" i="5"/>
  <c r="L439" i="5"/>
  <c r="AG425" i="5" a="1"/>
  <c r="AG425" i="5" s="1"/>
  <c r="L443" i="5"/>
  <c r="U425" i="5"/>
  <c r="AG415" i="5" a="1"/>
  <c r="AG415" i="5" s="1"/>
  <c r="L433" i="5"/>
  <c r="U415" i="5"/>
  <c r="AG434" i="5" a="1"/>
  <c r="AG434" i="5" s="1"/>
  <c r="L452" i="5"/>
  <c r="U434" i="5"/>
  <c r="AG418" i="5" a="1"/>
  <c r="AG418" i="5" s="1"/>
  <c r="L436" i="5"/>
  <c r="U418" i="5"/>
  <c r="U424" i="5"/>
  <c r="AG424" i="5" a="1"/>
  <c r="AG424" i="5" s="1"/>
  <c r="L442" i="5"/>
  <c r="AG440" i="5" a="1"/>
  <c r="AG440" i="5" s="1"/>
  <c r="L458" i="5"/>
  <c r="U440" i="5"/>
  <c r="AG437" i="5" a="1"/>
  <c r="AG437" i="5" s="1"/>
  <c r="L455" i="5"/>
  <c r="U437" i="5"/>
  <c r="AG412" i="5" a="1"/>
  <c r="AG412" i="5" s="1"/>
  <c r="L430" i="5"/>
  <c r="U412" i="5"/>
  <c r="AG446" i="5" a="1"/>
  <c r="AG446" i="5" s="1"/>
  <c r="L464" i="5"/>
  <c r="U446" i="5"/>
  <c r="L297" i="5"/>
  <c r="AG297" i="5" s="1" a="1"/>
  <c r="AG297" i="5" s="1"/>
  <c r="U279" i="5"/>
  <c r="L291" i="5"/>
  <c r="AG291" i="5" s="1" a="1"/>
  <c r="AG291" i="5" s="1"/>
  <c r="U273" i="5"/>
  <c r="U270" i="5"/>
  <c r="L288" i="5"/>
  <c r="AG288" i="5" s="1" a="1"/>
  <c r="AG288" i="5" s="1"/>
  <c r="L294" i="5"/>
  <c r="AG294" i="5" s="1" a="1"/>
  <c r="AG294" i="5" s="1"/>
  <c r="U276" i="5"/>
  <c r="U282" i="5"/>
  <c r="L300" i="5"/>
  <c r="AG300" i="5" s="1" a="1"/>
  <c r="AG300" i="5" s="1"/>
  <c r="U267" i="5"/>
  <c r="L285" i="5"/>
  <c r="AG285" i="5" s="1" a="1"/>
  <c r="AG285" i="5" s="1"/>
  <c r="C600" i="5"/>
  <c r="C597" i="5"/>
  <c r="C594" i="5"/>
  <c r="C591" i="5"/>
  <c r="C582" i="5"/>
  <c r="C579" i="5"/>
  <c r="C576" i="5"/>
  <c r="C573" i="5"/>
  <c r="C564" i="5"/>
  <c r="C561" i="5"/>
  <c r="C558" i="5"/>
  <c r="C555" i="5"/>
  <c r="C546" i="5"/>
  <c r="C543" i="5"/>
  <c r="C540" i="5"/>
  <c r="C537" i="5"/>
  <c r="C528" i="5"/>
  <c r="C525" i="5"/>
  <c r="C522" i="5"/>
  <c r="C519" i="5"/>
  <c r="C510" i="5"/>
  <c r="C507" i="5"/>
  <c r="C504" i="5"/>
  <c r="C501" i="5"/>
  <c r="C492" i="5"/>
  <c r="C489" i="5"/>
  <c r="C486" i="5"/>
  <c r="C483" i="5"/>
  <c r="C474" i="5"/>
  <c r="C471" i="5"/>
  <c r="C468" i="5"/>
  <c r="C465" i="5"/>
  <c r="C456" i="5"/>
  <c r="C453" i="5"/>
  <c r="C450" i="5"/>
  <c r="C447" i="5"/>
  <c r="C438" i="5"/>
  <c r="C435" i="5"/>
  <c r="C432" i="5"/>
  <c r="C429" i="5"/>
  <c r="C420" i="5"/>
  <c r="C417" i="5"/>
  <c r="C414" i="5"/>
  <c r="C411" i="5"/>
  <c r="C402" i="5"/>
  <c r="C399" i="5"/>
  <c r="C396" i="5"/>
  <c r="C393" i="5"/>
  <c r="C384" i="5"/>
  <c r="C381" i="5"/>
  <c r="C378" i="5"/>
  <c r="C375" i="5"/>
  <c r="C366" i="5"/>
  <c r="C363" i="5"/>
  <c r="C360" i="5"/>
  <c r="C357" i="5"/>
  <c r="C348" i="5"/>
  <c r="C345" i="5"/>
  <c r="C342" i="5"/>
  <c r="C339" i="5"/>
  <c r="C330" i="5"/>
  <c r="C327" i="5"/>
  <c r="C324" i="5"/>
  <c r="C321" i="5"/>
  <c r="C312" i="5"/>
  <c r="C309" i="5"/>
  <c r="C306" i="5"/>
  <c r="C303" i="5"/>
  <c r="C294" i="5"/>
  <c r="C291" i="5"/>
  <c r="C288" i="5"/>
  <c r="C285" i="5"/>
  <c r="C276" i="5"/>
  <c r="C273" i="5"/>
  <c r="C270" i="5"/>
  <c r="C267" i="5"/>
  <c r="C258" i="5"/>
  <c r="C255" i="5"/>
  <c r="C252" i="5"/>
  <c r="C249" i="5"/>
  <c r="C240" i="5"/>
  <c r="C237" i="5"/>
  <c r="C234" i="5"/>
  <c r="C231" i="5"/>
  <c r="C222" i="5"/>
  <c r="C219" i="5"/>
  <c r="C216" i="5"/>
  <c r="C213" i="5"/>
  <c r="C204" i="5"/>
  <c r="C201" i="5"/>
  <c r="C198" i="5"/>
  <c r="C195" i="5"/>
  <c r="C186" i="5"/>
  <c r="C183" i="5"/>
  <c r="C180" i="5"/>
  <c r="C177" i="5"/>
  <c r="C168" i="5"/>
  <c r="C165" i="5"/>
  <c r="C162" i="5"/>
  <c r="C159" i="5"/>
  <c r="C150" i="5"/>
  <c r="C147" i="5"/>
  <c r="C144" i="5"/>
  <c r="C141" i="5"/>
  <c r="C132" i="5"/>
  <c r="C129" i="5"/>
  <c r="C126" i="5"/>
  <c r="C123" i="5"/>
  <c r="C114" i="5"/>
  <c r="C111" i="5"/>
  <c r="C108" i="5"/>
  <c r="C105" i="5"/>
  <c r="C96" i="5"/>
  <c r="C93" i="5"/>
  <c r="C90" i="5"/>
  <c r="C87" i="5"/>
  <c r="C78" i="5"/>
  <c r="C75" i="5"/>
  <c r="C72" i="5"/>
  <c r="C69" i="5"/>
  <c r="C60" i="5"/>
  <c r="C57" i="5"/>
  <c r="C54" i="5"/>
  <c r="C42" i="5"/>
  <c r="C39" i="5"/>
  <c r="C36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D232" i="3"/>
  <c r="C232" i="3"/>
  <c r="B232" i="3" s="1"/>
  <c r="H232" i="3" s="1"/>
  <c r="D231" i="3"/>
  <c r="C231" i="3"/>
  <c r="D230" i="3"/>
  <c r="C230" i="3"/>
  <c r="B230" i="3" s="1"/>
  <c r="H230" i="3" s="1"/>
  <c r="D229" i="3"/>
  <c r="C229" i="3"/>
  <c r="D228" i="3"/>
  <c r="C228" i="3"/>
  <c r="D227" i="3"/>
  <c r="C227" i="3"/>
  <c r="B227" i="3" s="1"/>
  <c r="H227" i="3" s="1"/>
  <c r="D226" i="3"/>
  <c r="C226" i="3"/>
  <c r="B226" i="3"/>
  <c r="H226" i="3" s="1"/>
  <c r="D225" i="3"/>
  <c r="C225" i="3"/>
  <c r="B225" i="3" s="1"/>
  <c r="H225" i="3" s="1"/>
  <c r="D224" i="3"/>
  <c r="C224" i="3"/>
  <c r="B224" i="3" s="1"/>
  <c r="H224" i="3" s="1"/>
  <c r="D223" i="3"/>
  <c r="C223" i="3"/>
  <c r="B223" i="3" s="1"/>
  <c r="H223" i="3" s="1"/>
  <c r="D222" i="3"/>
  <c r="C222" i="3"/>
  <c r="B222" i="3" s="1"/>
  <c r="H222" i="3" s="1"/>
  <c r="D221" i="3"/>
  <c r="C221" i="3"/>
  <c r="B221" i="3" s="1"/>
  <c r="H221" i="3" s="1"/>
  <c r="D220" i="3"/>
  <c r="C220" i="3"/>
  <c r="D219" i="3"/>
  <c r="C219" i="3"/>
  <c r="D218" i="3"/>
  <c r="C218" i="3"/>
  <c r="D217" i="3"/>
  <c r="C217" i="3"/>
  <c r="B217" i="3"/>
  <c r="H217" i="3" s="1"/>
  <c r="D216" i="3"/>
  <c r="C216" i="3"/>
  <c r="D215" i="3"/>
  <c r="C215" i="3"/>
  <c r="D214" i="3"/>
  <c r="C214" i="3"/>
  <c r="B214" i="3" s="1"/>
  <c r="H214" i="3" s="1"/>
  <c r="D213" i="3"/>
  <c r="C213" i="3"/>
  <c r="D212" i="3"/>
  <c r="C212" i="3"/>
  <c r="D211" i="3"/>
  <c r="C211" i="3"/>
  <c r="B211" i="3" s="1"/>
  <c r="H211" i="3" s="1"/>
  <c r="D210" i="3"/>
  <c r="C210" i="3"/>
  <c r="D209" i="3"/>
  <c r="C209" i="3"/>
  <c r="B209" i="3" s="1"/>
  <c r="H209" i="3" s="1"/>
  <c r="D208" i="3"/>
  <c r="C208" i="3"/>
  <c r="D207" i="3"/>
  <c r="C207" i="3"/>
  <c r="D206" i="3"/>
  <c r="C206" i="3"/>
  <c r="D205" i="3"/>
  <c r="C205" i="3"/>
  <c r="B205" i="3" s="1"/>
  <c r="H205" i="3" s="1"/>
  <c r="D204" i="3"/>
  <c r="C204" i="3"/>
  <c r="D203" i="3"/>
  <c r="C203" i="3"/>
  <c r="B203" i="3"/>
  <c r="H203" i="3" s="1"/>
  <c r="D202" i="3"/>
  <c r="C202" i="3"/>
  <c r="B202" i="3" s="1"/>
  <c r="H202" i="3" s="1"/>
  <c r="D201" i="3"/>
  <c r="C201" i="3"/>
  <c r="D200" i="3"/>
  <c r="C200" i="3"/>
  <c r="B200" i="3" s="1"/>
  <c r="H200" i="3" s="1"/>
  <c r="D199" i="3"/>
  <c r="C199" i="3"/>
  <c r="D198" i="3"/>
  <c r="C198" i="3"/>
  <c r="D197" i="3"/>
  <c r="C197" i="3"/>
  <c r="D196" i="3"/>
  <c r="C196" i="3"/>
  <c r="D195" i="3"/>
  <c r="C195" i="3"/>
  <c r="D194" i="3"/>
  <c r="C194" i="3"/>
  <c r="D193" i="3"/>
  <c r="C193" i="3"/>
  <c r="D192" i="3"/>
  <c r="C192" i="3"/>
  <c r="B192" i="3" s="1"/>
  <c r="H192" i="3" s="1"/>
  <c r="D191" i="3"/>
  <c r="C191" i="3"/>
  <c r="D190" i="3"/>
  <c r="C190" i="3"/>
  <c r="D189" i="3"/>
  <c r="C189" i="3"/>
  <c r="D188" i="3"/>
  <c r="C188" i="3"/>
  <c r="B188" i="3" s="1"/>
  <c r="H188" i="3" s="1"/>
  <c r="D187" i="3"/>
  <c r="C187" i="3"/>
  <c r="D186" i="3"/>
  <c r="C186" i="3"/>
  <c r="D185" i="3"/>
  <c r="C185" i="3"/>
  <c r="D184" i="3"/>
  <c r="C184" i="3"/>
  <c r="D183" i="3"/>
  <c r="C183" i="3"/>
  <c r="B183" i="3" s="1"/>
  <c r="H183" i="3" s="1"/>
  <c r="D182" i="3"/>
  <c r="C182" i="3"/>
  <c r="B182" i="3" s="1"/>
  <c r="H182" i="3" s="1"/>
  <c r="D181" i="3"/>
  <c r="C181" i="3"/>
  <c r="D180" i="3"/>
  <c r="C180" i="3"/>
  <c r="D179" i="3"/>
  <c r="C179" i="3"/>
  <c r="B352" i="3"/>
  <c r="H352" i="3" s="1"/>
  <c r="B351" i="3"/>
  <c r="H351" i="3" s="1"/>
  <c r="B350" i="3"/>
  <c r="H350" i="3" s="1"/>
  <c r="B349" i="3"/>
  <c r="H349" i="3" s="1"/>
  <c r="B348" i="3"/>
  <c r="H348" i="3" s="1"/>
  <c r="B347" i="3"/>
  <c r="H347" i="3" s="1"/>
  <c r="B346" i="3"/>
  <c r="H346" i="3" s="1"/>
  <c r="B345" i="3"/>
  <c r="H345" i="3" s="1"/>
  <c r="B344" i="3"/>
  <c r="H344" i="3" s="1"/>
  <c r="B343" i="3"/>
  <c r="H343" i="3" s="1"/>
  <c r="B342" i="3"/>
  <c r="H342" i="3" s="1"/>
  <c r="B341" i="3"/>
  <c r="H341" i="3" s="1"/>
  <c r="B340" i="3"/>
  <c r="H340" i="3" s="1"/>
  <c r="B339" i="3"/>
  <c r="H339" i="3" s="1"/>
  <c r="B338" i="3"/>
  <c r="H338" i="3" s="1"/>
  <c r="B337" i="3"/>
  <c r="H337" i="3" s="1"/>
  <c r="B336" i="3"/>
  <c r="H336" i="3" s="1"/>
  <c r="B335" i="3"/>
  <c r="H335" i="3" s="1"/>
  <c r="B334" i="3"/>
  <c r="H334" i="3" s="1"/>
  <c r="B333" i="3"/>
  <c r="H333" i="3" s="1"/>
  <c r="B332" i="3"/>
  <c r="H332" i="3" s="1"/>
  <c r="B331" i="3"/>
  <c r="H331" i="3" s="1"/>
  <c r="B330" i="3"/>
  <c r="H330" i="3" s="1"/>
  <c r="B329" i="3"/>
  <c r="H329" i="3" s="1"/>
  <c r="D325" i="3"/>
  <c r="B325" i="3" s="1"/>
  <c r="H325" i="3" s="1"/>
  <c r="D324" i="3"/>
  <c r="B324" i="3" s="1"/>
  <c r="H324" i="3" s="1"/>
  <c r="D323" i="3"/>
  <c r="B323" i="3" s="1"/>
  <c r="H323" i="3" s="1"/>
  <c r="D313" i="3"/>
  <c r="B313" i="3" s="1"/>
  <c r="H313" i="3" s="1"/>
  <c r="D312" i="3"/>
  <c r="B312" i="3" s="1"/>
  <c r="H312" i="3" s="1"/>
  <c r="D311" i="3"/>
  <c r="B311" i="3" s="1"/>
  <c r="H311" i="3" s="1"/>
  <c r="D301" i="3"/>
  <c r="B301" i="3" s="1"/>
  <c r="H301" i="3" s="1"/>
  <c r="D300" i="3"/>
  <c r="B300" i="3" s="1"/>
  <c r="H300" i="3" s="1"/>
  <c r="D299" i="3"/>
  <c r="B299" i="3" s="1"/>
  <c r="H299" i="3" s="1"/>
  <c r="D289" i="3"/>
  <c r="B289" i="3" s="1"/>
  <c r="H289" i="3" s="1"/>
  <c r="D288" i="3"/>
  <c r="B288" i="3" s="1"/>
  <c r="H288" i="3" s="1"/>
  <c r="D287" i="3"/>
  <c r="B287" i="3" s="1"/>
  <c r="H287" i="3" s="1"/>
  <c r="D277" i="3"/>
  <c r="B277" i="3" s="1"/>
  <c r="H277" i="3" s="1"/>
  <c r="D276" i="3"/>
  <c r="B276" i="3" s="1"/>
  <c r="H276" i="3" s="1"/>
  <c r="D275" i="3"/>
  <c r="B275" i="3" s="1"/>
  <c r="H275" i="3" s="1"/>
  <c r="D265" i="3"/>
  <c r="B265" i="3" s="1"/>
  <c r="H265" i="3" s="1"/>
  <c r="D264" i="3"/>
  <c r="B264" i="3" s="1"/>
  <c r="H264" i="3" s="1"/>
  <c r="D263" i="3"/>
  <c r="B263" i="3" s="1"/>
  <c r="H263" i="3" s="1"/>
  <c r="D253" i="3"/>
  <c r="B253" i="3" s="1"/>
  <c r="H253" i="3" s="1"/>
  <c r="D252" i="3"/>
  <c r="B252" i="3" s="1"/>
  <c r="H252" i="3" s="1"/>
  <c r="D251" i="3"/>
  <c r="B251" i="3" s="1"/>
  <c r="H251" i="3" s="1"/>
  <c r="D241" i="3"/>
  <c r="B241" i="3" s="1"/>
  <c r="H241" i="3" s="1"/>
  <c r="D240" i="3"/>
  <c r="B240" i="3" s="1"/>
  <c r="H240" i="3" s="1"/>
  <c r="D239" i="3"/>
  <c r="B239" i="3" s="1"/>
  <c r="H239" i="3" s="1"/>
  <c r="D156" i="3"/>
  <c r="C156" i="3"/>
  <c r="D155" i="3"/>
  <c r="C155" i="3"/>
  <c r="B155" i="3" s="1"/>
  <c r="H155" i="3" s="1"/>
  <c r="D154" i="3"/>
  <c r="C154" i="3"/>
  <c r="B154" i="3" s="1"/>
  <c r="H154" i="3" s="1"/>
  <c r="D140" i="3"/>
  <c r="C140" i="3"/>
  <c r="D139" i="3"/>
  <c r="C139" i="3"/>
  <c r="D138" i="3"/>
  <c r="C138" i="3"/>
  <c r="D124" i="3"/>
  <c r="C124" i="3"/>
  <c r="D123" i="3"/>
  <c r="C123" i="3"/>
  <c r="B123" i="3" s="1"/>
  <c r="H123" i="3" s="1"/>
  <c r="D122" i="3"/>
  <c r="C122" i="3"/>
  <c r="B122" i="3" s="1"/>
  <c r="H122" i="3" s="1"/>
  <c r="D108" i="3"/>
  <c r="C108" i="3"/>
  <c r="D107" i="3"/>
  <c r="C107" i="3"/>
  <c r="B107" i="3" s="1"/>
  <c r="H107" i="3" s="1"/>
  <c r="D106" i="3"/>
  <c r="C106" i="3"/>
  <c r="D92" i="3"/>
  <c r="C92" i="3"/>
  <c r="D91" i="3"/>
  <c r="C91" i="3"/>
  <c r="D90" i="3"/>
  <c r="C90" i="3"/>
  <c r="D76" i="3"/>
  <c r="C76" i="3"/>
  <c r="D75" i="3"/>
  <c r="C75" i="3"/>
  <c r="B75" i="3" s="1"/>
  <c r="H75" i="3" s="1"/>
  <c r="D74" i="3"/>
  <c r="C74" i="3"/>
  <c r="AG431" i="5" l="1" a="1"/>
  <c r="AG431" i="5" s="1"/>
  <c r="L449" i="5"/>
  <c r="U431" i="5"/>
  <c r="AG464" i="5" a="1"/>
  <c r="AG464" i="5" s="1"/>
  <c r="L482" i="5"/>
  <c r="U464" i="5"/>
  <c r="AG439" i="5" a="1"/>
  <c r="AG439" i="5" s="1"/>
  <c r="L457" i="5"/>
  <c r="U439" i="5"/>
  <c r="D251" i="5"/>
  <c r="M251" i="5" s="1"/>
  <c r="D257" i="5"/>
  <c r="M257" i="5" s="1"/>
  <c r="D266" i="5"/>
  <c r="M266" i="5" s="1"/>
  <c r="D265" i="5"/>
  <c r="M265" i="5" s="1"/>
  <c r="D260" i="5"/>
  <c r="M260" i="5" s="1"/>
  <c r="D254" i="5"/>
  <c r="M254" i="5" s="1"/>
  <c r="D269" i="5"/>
  <c r="M269" i="5" s="1"/>
  <c r="D278" i="5"/>
  <c r="M278" i="5" s="1"/>
  <c r="D250" i="5"/>
  <c r="M250" i="5" s="1"/>
  <c r="D284" i="5"/>
  <c r="M284" i="5" s="1"/>
  <c r="D262" i="5"/>
  <c r="M262" i="5" s="1"/>
  <c r="D256" i="5"/>
  <c r="M256" i="5" s="1"/>
  <c r="D283" i="5"/>
  <c r="M283" i="5" s="1"/>
  <c r="D275" i="5"/>
  <c r="M275" i="5" s="1"/>
  <c r="D259" i="5"/>
  <c r="M259" i="5" s="1"/>
  <c r="D263" i="5"/>
  <c r="M263" i="5" s="1"/>
  <c r="D253" i="5"/>
  <c r="M253" i="5" s="1"/>
  <c r="D272" i="5"/>
  <c r="M272" i="5" s="1"/>
  <c r="D287" i="5"/>
  <c r="M287" i="5" s="1"/>
  <c r="D293" i="5"/>
  <c r="M293" i="5" s="1"/>
  <c r="D277" i="5"/>
  <c r="M277" i="5" s="1"/>
  <c r="D301" i="5"/>
  <c r="M301" i="5" s="1"/>
  <c r="D296" i="5"/>
  <c r="M296" i="5" s="1"/>
  <c r="D268" i="5"/>
  <c r="M268" i="5" s="1"/>
  <c r="D274" i="5"/>
  <c r="M274" i="5" s="1"/>
  <c r="D280" i="5"/>
  <c r="M280" i="5" s="1"/>
  <c r="D281" i="5"/>
  <c r="M281" i="5" s="1"/>
  <c r="D302" i="5"/>
  <c r="M302" i="5" s="1"/>
  <c r="D290" i="5"/>
  <c r="M290" i="5" s="1"/>
  <c r="D271" i="5"/>
  <c r="M271" i="5" s="1"/>
  <c r="D286" i="5"/>
  <c r="M286" i="5" s="1"/>
  <c r="D289" i="5"/>
  <c r="M289" i="5" s="1"/>
  <c r="D292" i="5"/>
  <c r="M292" i="5" s="1"/>
  <c r="D298" i="5"/>
  <c r="M298" i="5" s="1"/>
  <c r="D295" i="5"/>
  <c r="M295" i="5" s="1"/>
  <c r="D299" i="5"/>
  <c r="M299" i="5" s="1"/>
  <c r="L476" i="5"/>
  <c r="AG458" i="5" a="1"/>
  <c r="AG458" i="5" s="1"/>
  <c r="U458" i="5"/>
  <c r="AG452" i="5" a="1"/>
  <c r="AG452" i="5" s="1"/>
  <c r="L470" i="5"/>
  <c r="U452" i="5"/>
  <c r="D77" i="5"/>
  <c r="M77" i="5" s="1"/>
  <c r="D49" i="5"/>
  <c r="M49" i="5" s="1"/>
  <c r="D61" i="5"/>
  <c r="M61" i="5" s="1"/>
  <c r="D53" i="5"/>
  <c r="M53" i="5" s="1"/>
  <c r="D52" i="5"/>
  <c r="M52" i="5" s="1"/>
  <c r="D83" i="5"/>
  <c r="M83" i="5" s="1"/>
  <c r="D43" i="5"/>
  <c r="M43" i="5" s="1"/>
  <c r="D85" i="5"/>
  <c r="M85" i="5" s="1"/>
  <c r="D56" i="5"/>
  <c r="M56" i="5" s="1"/>
  <c r="D55" i="5"/>
  <c r="M55" i="5" s="1"/>
  <c r="D34" i="5"/>
  <c r="M34" i="5" s="1"/>
  <c r="D38" i="5"/>
  <c r="M38" i="5" s="1"/>
  <c r="D65" i="5"/>
  <c r="M65" i="5" s="1"/>
  <c r="D58" i="5"/>
  <c r="M58" i="5" s="1"/>
  <c r="D46" i="5"/>
  <c r="M46" i="5" s="1"/>
  <c r="D62" i="5"/>
  <c r="M62" i="5" s="1"/>
  <c r="D89" i="5"/>
  <c r="M89" i="5" s="1"/>
  <c r="D35" i="5"/>
  <c r="M35" i="5" s="1"/>
  <c r="D73" i="5"/>
  <c r="M73" i="5" s="1"/>
  <c r="D44" i="5"/>
  <c r="M44" i="5" s="1"/>
  <c r="D47" i="5"/>
  <c r="M47" i="5" s="1"/>
  <c r="D59" i="5"/>
  <c r="M59" i="5" s="1"/>
  <c r="D37" i="5"/>
  <c r="M37" i="5" s="1"/>
  <c r="D64" i="5"/>
  <c r="M64" i="5" s="1"/>
  <c r="D40" i="5"/>
  <c r="M40" i="5" s="1"/>
  <c r="D104" i="5"/>
  <c r="M104" i="5" s="1"/>
  <c r="D67" i="5"/>
  <c r="M67" i="5" s="1"/>
  <c r="D74" i="5"/>
  <c r="M74" i="5" s="1"/>
  <c r="D86" i="5"/>
  <c r="M86" i="5" s="1"/>
  <c r="D80" i="5"/>
  <c r="M80" i="5" s="1"/>
  <c r="D50" i="5"/>
  <c r="M50" i="5" s="1"/>
  <c r="D68" i="5"/>
  <c r="M68" i="5" s="1"/>
  <c r="D41" i="5"/>
  <c r="M41" i="5" s="1"/>
  <c r="D71" i="5"/>
  <c r="M71" i="5" s="1"/>
  <c r="D82" i="5"/>
  <c r="M82" i="5" s="1"/>
  <c r="D76" i="5"/>
  <c r="M76" i="5" s="1"/>
  <c r="D95" i="5"/>
  <c r="M95" i="5" s="1"/>
  <c r="D70" i="5"/>
  <c r="M70" i="5" s="1"/>
  <c r="D98" i="5"/>
  <c r="M98" i="5" s="1"/>
  <c r="D92" i="5"/>
  <c r="M92" i="5" s="1"/>
  <c r="D103" i="5"/>
  <c r="M103" i="5" s="1"/>
  <c r="D79" i="5"/>
  <c r="M79" i="5" s="1"/>
  <c r="D91" i="5"/>
  <c r="M91" i="5" s="1"/>
  <c r="D88" i="5"/>
  <c r="M88" i="5" s="1"/>
  <c r="D94" i="5"/>
  <c r="M94" i="5" s="1"/>
  <c r="D97" i="5"/>
  <c r="M97" i="5" s="1"/>
  <c r="D100" i="5"/>
  <c r="M100" i="5" s="1"/>
  <c r="D101" i="5"/>
  <c r="M101" i="5" s="1"/>
  <c r="AG442" i="5" a="1"/>
  <c r="AG442" i="5" s="1"/>
  <c r="L460" i="5"/>
  <c r="U442" i="5"/>
  <c r="D107" i="5"/>
  <c r="M107" i="5" s="1"/>
  <c r="D116" i="5"/>
  <c r="M116" i="5" s="1"/>
  <c r="D125" i="5"/>
  <c r="M125" i="5" s="1"/>
  <c r="D122" i="5"/>
  <c r="M122" i="5" s="1"/>
  <c r="D113" i="5"/>
  <c r="M113" i="5" s="1"/>
  <c r="D110" i="5"/>
  <c r="M110" i="5" s="1"/>
  <c r="D121" i="5"/>
  <c r="M121" i="5" s="1"/>
  <c r="D131" i="5"/>
  <c r="M131" i="5" s="1"/>
  <c r="D118" i="5"/>
  <c r="M118" i="5" s="1"/>
  <c r="D140" i="5"/>
  <c r="M140" i="5" s="1"/>
  <c r="D109" i="5"/>
  <c r="M109" i="5" s="1"/>
  <c r="D134" i="5"/>
  <c r="M134" i="5" s="1"/>
  <c r="D139" i="5"/>
  <c r="M139" i="5" s="1"/>
  <c r="D115" i="5"/>
  <c r="M115" i="5" s="1"/>
  <c r="D143" i="5"/>
  <c r="M143" i="5" s="1"/>
  <c r="D119" i="5"/>
  <c r="M119" i="5" s="1"/>
  <c r="D128" i="5"/>
  <c r="M128" i="5" s="1"/>
  <c r="D106" i="5"/>
  <c r="M106" i="5" s="1"/>
  <c r="D112" i="5"/>
  <c r="M112" i="5" s="1"/>
  <c r="D146" i="5"/>
  <c r="M146" i="5" s="1"/>
  <c r="D137" i="5"/>
  <c r="M137" i="5" s="1"/>
  <c r="D149" i="5"/>
  <c r="M149" i="5" s="1"/>
  <c r="D157" i="5"/>
  <c r="M157" i="5" s="1"/>
  <c r="D161" i="5"/>
  <c r="M161" i="5" s="1"/>
  <c r="D130" i="5"/>
  <c r="M130" i="5" s="1"/>
  <c r="D158" i="5"/>
  <c r="M158" i="5" s="1"/>
  <c r="D127" i="5"/>
  <c r="M127" i="5" s="1"/>
  <c r="D124" i="5"/>
  <c r="M124" i="5" s="1"/>
  <c r="D152" i="5"/>
  <c r="M152" i="5" s="1"/>
  <c r="D133" i="5"/>
  <c r="M133" i="5" s="1"/>
  <c r="D136" i="5"/>
  <c r="M136" i="5" s="1"/>
  <c r="D155" i="5"/>
  <c r="M155" i="5" s="1"/>
  <c r="D148" i="5"/>
  <c r="M148" i="5" s="1"/>
  <c r="D170" i="5"/>
  <c r="M170" i="5" s="1"/>
  <c r="D176" i="5"/>
  <c r="M176" i="5" s="1"/>
  <c r="D154" i="5"/>
  <c r="M154" i="5" s="1"/>
  <c r="D164" i="5"/>
  <c r="M164" i="5" s="1"/>
  <c r="D142" i="5"/>
  <c r="M142" i="5" s="1"/>
  <c r="D151" i="5"/>
  <c r="M151" i="5" s="1"/>
  <c r="D145" i="5"/>
  <c r="M145" i="5" s="1"/>
  <c r="D175" i="5"/>
  <c r="M175" i="5" s="1"/>
  <c r="D167" i="5"/>
  <c r="M167" i="5" s="1"/>
  <c r="D163" i="5"/>
  <c r="M163" i="5" s="1"/>
  <c r="D166" i="5"/>
  <c r="M166" i="5" s="1"/>
  <c r="D160" i="5"/>
  <c r="M160" i="5" s="1"/>
  <c r="D173" i="5"/>
  <c r="M173" i="5" s="1"/>
  <c r="D172" i="5"/>
  <c r="M172" i="5" s="1"/>
  <c r="D169" i="5"/>
  <c r="M169" i="5" s="1"/>
  <c r="AG433" i="5" a="1"/>
  <c r="AG433" i="5" s="1"/>
  <c r="L451" i="5"/>
  <c r="U433" i="5"/>
  <c r="AG443" i="5" a="1"/>
  <c r="AG443" i="5" s="1"/>
  <c r="L461" i="5"/>
  <c r="U443" i="5"/>
  <c r="AG463" i="5" a="1"/>
  <c r="AG463" i="5" s="1"/>
  <c r="L481" i="5"/>
  <c r="U463" i="5"/>
  <c r="D179" i="5"/>
  <c r="M179" i="5" s="1"/>
  <c r="D188" i="5"/>
  <c r="M188" i="5" s="1"/>
  <c r="D193" i="5"/>
  <c r="M193" i="5" s="1"/>
  <c r="D182" i="5"/>
  <c r="M182" i="5" s="1"/>
  <c r="D185" i="5"/>
  <c r="M185" i="5" s="1"/>
  <c r="D197" i="5"/>
  <c r="M197" i="5" s="1"/>
  <c r="D194" i="5"/>
  <c r="M194" i="5" s="1"/>
  <c r="D190" i="5"/>
  <c r="M190" i="5" s="1"/>
  <c r="D200" i="5"/>
  <c r="M200" i="5" s="1"/>
  <c r="D181" i="5"/>
  <c r="M181" i="5" s="1"/>
  <c r="D212" i="5"/>
  <c r="M212" i="5" s="1"/>
  <c r="D206" i="5"/>
  <c r="M206" i="5" s="1"/>
  <c r="D178" i="5"/>
  <c r="M178" i="5" s="1"/>
  <c r="D203" i="5"/>
  <c r="M203" i="5" s="1"/>
  <c r="D184" i="5"/>
  <c r="M184" i="5" s="1"/>
  <c r="D191" i="5"/>
  <c r="M191" i="5" s="1"/>
  <c r="D215" i="5"/>
  <c r="M215" i="5" s="1"/>
  <c r="D211" i="5"/>
  <c r="M211" i="5" s="1"/>
  <c r="D187" i="5"/>
  <c r="M187" i="5" s="1"/>
  <c r="D233" i="5"/>
  <c r="M233" i="5" s="1"/>
  <c r="D218" i="5"/>
  <c r="M218" i="5" s="1"/>
  <c r="D208" i="5"/>
  <c r="M208" i="5" s="1"/>
  <c r="D209" i="5"/>
  <c r="M209" i="5" s="1"/>
  <c r="D229" i="5"/>
  <c r="M229" i="5" s="1"/>
  <c r="D205" i="5"/>
  <c r="M205" i="5" s="1"/>
  <c r="D199" i="5"/>
  <c r="M199" i="5" s="1"/>
  <c r="D221" i="5"/>
  <c r="M221" i="5" s="1"/>
  <c r="D230" i="5"/>
  <c r="M230" i="5" s="1"/>
  <c r="D224" i="5"/>
  <c r="M224" i="5" s="1"/>
  <c r="D202" i="5"/>
  <c r="M202" i="5" s="1"/>
  <c r="D196" i="5"/>
  <c r="M196" i="5" s="1"/>
  <c r="D248" i="5"/>
  <c r="M248" i="5" s="1"/>
  <c r="D223" i="5"/>
  <c r="M223" i="5" s="1"/>
  <c r="D214" i="5"/>
  <c r="M214" i="5" s="1"/>
  <c r="D247" i="5"/>
  <c r="M247" i="5" s="1"/>
  <c r="D220" i="5"/>
  <c r="M220" i="5" s="1"/>
  <c r="D239" i="5"/>
  <c r="M239" i="5" s="1"/>
  <c r="D227" i="5"/>
  <c r="M227" i="5" s="1"/>
  <c r="D236" i="5"/>
  <c r="M236" i="5" s="1"/>
  <c r="D226" i="5"/>
  <c r="M226" i="5" s="1"/>
  <c r="D217" i="5"/>
  <c r="M217" i="5" s="1"/>
  <c r="D242" i="5"/>
  <c r="M242" i="5" s="1"/>
  <c r="D241" i="5"/>
  <c r="M241" i="5" s="1"/>
  <c r="D245" i="5"/>
  <c r="M245" i="5" s="1"/>
  <c r="D232" i="5"/>
  <c r="M232" i="5" s="1"/>
  <c r="D244" i="5"/>
  <c r="M244" i="5" s="1"/>
  <c r="D235" i="5"/>
  <c r="M235" i="5" s="1"/>
  <c r="D238" i="5"/>
  <c r="M238" i="5" s="1"/>
  <c r="AG430" i="5" a="1"/>
  <c r="AG430" i="5" s="1"/>
  <c r="L448" i="5"/>
  <c r="U430" i="5"/>
  <c r="AG455" i="5" a="1"/>
  <c r="AG455" i="5" s="1"/>
  <c r="L473" i="5"/>
  <c r="U455" i="5"/>
  <c r="AG436" i="5" a="1"/>
  <c r="AG436" i="5" s="1"/>
  <c r="L454" i="5"/>
  <c r="U436" i="5"/>
  <c r="D709" i="5"/>
  <c r="M709" i="5" s="1"/>
  <c r="B220" i="3"/>
  <c r="H220" i="3" s="1"/>
  <c r="B212" i="3"/>
  <c r="H212" i="3" s="1"/>
  <c r="B197" i="3"/>
  <c r="H197" i="3" s="1"/>
  <c r="B216" i="3"/>
  <c r="H216" i="3" s="1"/>
  <c r="B189" i="3"/>
  <c r="H189" i="3" s="1"/>
  <c r="B90" i="3"/>
  <c r="H90" i="3" s="1"/>
  <c r="B139" i="3"/>
  <c r="H139" i="3" s="1"/>
  <c r="B180" i="3"/>
  <c r="H180" i="3" s="1"/>
  <c r="B218" i="3"/>
  <c r="H218" i="3" s="1"/>
  <c r="B91" i="3"/>
  <c r="H91" i="3" s="1"/>
  <c r="B219" i="3"/>
  <c r="H219" i="3" s="1"/>
  <c r="B210" i="3"/>
  <c r="H210" i="3" s="1"/>
  <c r="B229" i="3"/>
  <c r="H229" i="3" s="1"/>
  <c r="D672" i="5"/>
  <c r="M672" i="5" s="1"/>
  <c r="D669" i="5"/>
  <c r="M669" i="5" s="1"/>
  <c r="D670" i="5"/>
  <c r="M670" i="5" s="1"/>
  <c r="D671" i="5"/>
  <c r="M671" i="5" s="1"/>
  <c r="D659" i="5"/>
  <c r="M659" i="5" s="1"/>
  <c r="D655" i="5"/>
  <c r="M655" i="5" s="1"/>
  <c r="D660" i="5"/>
  <c r="M660" i="5" s="1"/>
  <c r="D667" i="5"/>
  <c r="M667" i="5" s="1"/>
  <c r="D662" i="5"/>
  <c r="M662" i="5" s="1"/>
  <c r="D649" i="5"/>
  <c r="M649" i="5" s="1"/>
  <c r="D661" i="5"/>
  <c r="M661" i="5" s="1"/>
  <c r="D656" i="5"/>
  <c r="M656" i="5" s="1"/>
  <c r="D665" i="5"/>
  <c r="M665" i="5" s="1"/>
  <c r="D652" i="5"/>
  <c r="M652" i="5" s="1"/>
  <c r="D657" i="5"/>
  <c r="M657" i="5" s="1"/>
  <c r="D664" i="5"/>
  <c r="M664" i="5" s="1"/>
  <c r="D650" i="5"/>
  <c r="M650" i="5" s="1"/>
  <c r="D658" i="5"/>
  <c r="M658" i="5" s="1"/>
  <c r="D651" i="5"/>
  <c r="M651" i="5" s="1"/>
  <c r="D668" i="5"/>
  <c r="M668" i="5" s="1"/>
  <c r="D653" i="5"/>
  <c r="M653" i="5" s="1"/>
  <c r="D654" i="5"/>
  <c r="M654" i="5" s="1"/>
  <c r="D666" i="5"/>
  <c r="M666" i="5" s="1"/>
  <c r="D663" i="5"/>
  <c r="M663" i="5" s="1"/>
  <c r="D673" i="5"/>
  <c r="M673" i="5" s="1"/>
  <c r="D674" i="5"/>
  <c r="M674" i="5" s="1"/>
  <c r="D675" i="5"/>
  <c r="M675" i="5" s="1"/>
  <c r="D676" i="5"/>
  <c r="M676" i="5" s="1"/>
  <c r="D677" i="5"/>
  <c r="M677" i="5" s="1"/>
  <c r="D678" i="5"/>
  <c r="M678" i="5" s="1"/>
  <c r="D679" i="5"/>
  <c r="M679" i="5" s="1"/>
  <c r="D680" i="5"/>
  <c r="M680" i="5" s="1"/>
  <c r="D681" i="5"/>
  <c r="M681" i="5" s="1"/>
  <c r="D683" i="5"/>
  <c r="M683" i="5" s="1"/>
  <c r="D682" i="5"/>
  <c r="M682" i="5" s="1"/>
  <c r="U288" i="5"/>
  <c r="L306" i="5"/>
  <c r="AG306" i="5" s="1" a="1"/>
  <c r="AG306" i="5" s="1"/>
  <c r="U294" i="5"/>
  <c r="L312" i="5"/>
  <c r="AG312" i="5" s="1" a="1"/>
  <c r="AG312" i="5" s="1"/>
  <c r="U285" i="5"/>
  <c r="L303" i="5"/>
  <c r="AG303" i="5" s="1" a="1"/>
  <c r="AG303" i="5" s="1"/>
  <c r="U291" i="5"/>
  <c r="L309" i="5"/>
  <c r="AG309" i="5" s="1" a="1"/>
  <c r="AG309" i="5" s="1"/>
  <c r="U300" i="5"/>
  <c r="L318" i="5"/>
  <c r="AG318" i="5" s="1" a="1"/>
  <c r="AG318" i="5" s="1"/>
  <c r="U297" i="5"/>
  <c r="L315" i="5"/>
  <c r="AG315" i="5" s="1" a="1"/>
  <c r="AG315" i="5" s="1"/>
  <c r="D189" i="5"/>
  <c r="M189" i="5" s="1"/>
  <c r="D192" i="5"/>
  <c r="M192" i="5" s="1"/>
  <c r="D207" i="5"/>
  <c r="M207" i="5" s="1"/>
  <c r="D210" i="5"/>
  <c r="M210" i="5" s="1"/>
  <c r="D225" i="5"/>
  <c r="M225" i="5" s="1"/>
  <c r="D228" i="5"/>
  <c r="M228" i="5" s="1"/>
  <c r="D246" i="5"/>
  <c r="M246" i="5" s="1"/>
  <c r="D243" i="5"/>
  <c r="M243" i="5" s="1"/>
  <c r="D264" i="5"/>
  <c r="M264" i="5" s="1"/>
  <c r="D261" i="5"/>
  <c r="M261" i="5" s="1"/>
  <c r="D282" i="5"/>
  <c r="M282" i="5" s="1"/>
  <c r="D279" i="5"/>
  <c r="M279" i="5" s="1"/>
  <c r="D297" i="5"/>
  <c r="M297" i="5" s="1"/>
  <c r="D300" i="5"/>
  <c r="M300" i="5" s="1"/>
  <c r="D117" i="5"/>
  <c r="M117" i="5" s="1"/>
  <c r="D120" i="5"/>
  <c r="M120" i="5" s="1"/>
  <c r="D138" i="5"/>
  <c r="M138" i="5" s="1"/>
  <c r="D135" i="5"/>
  <c r="M135" i="5" s="1"/>
  <c r="D174" i="5"/>
  <c r="M174" i="5" s="1"/>
  <c r="D153" i="5"/>
  <c r="M153" i="5" s="1"/>
  <c r="D156" i="5"/>
  <c r="M156" i="5" s="1"/>
  <c r="D171" i="5"/>
  <c r="M171" i="5" s="1"/>
  <c r="D84" i="5"/>
  <c r="M84" i="5" s="1"/>
  <c r="D81" i="5"/>
  <c r="M81" i="5" s="1"/>
  <c r="D99" i="5"/>
  <c r="M99" i="5" s="1"/>
  <c r="D102" i="5"/>
  <c r="M102" i="5" s="1"/>
  <c r="D66" i="5"/>
  <c r="M66" i="5" s="1"/>
  <c r="D63" i="5"/>
  <c r="M63" i="5" s="1"/>
  <c r="D45" i="5"/>
  <c r="M45" i="5" s="1"/>
  <c r="D48" i="5"/>
  <c r="M48" i="5" s="1"/>
  <c r="D51" i="5"/>
  <c r="M51" i="5" s="1"/>
  <c r="D647" i="5"/>
  <c r="M647" i="5" s="1"/>
  <c r="D645" i="5"/>
  <c r="M645" i="5" s="1"/>
  <c r="D646" i="5"/>
  <c r="M646" i="5" s="1"/>
  <c r="D648" i="5"/>
  <c r="M648" i="5" s="1"/>
  <c r="D644" i="5"/>
  <c r="M644" i="5" s="1"/>
  <c r="D643" i="5"/>
  <c r="M643" i="5" s="1"/>
  <c r="D642" i="5"/>
  <c r="M642" i="5" s="1"/>
  <c r="D636" i="5"/>
  <c r="M636" i="5" s="1"/>
  <c r="D624" i="5"/>
  <c r="M624" i="5" s="1"/>
  <c r="D632" i="5"/>
  <c r="M632" i="5" s="1"/>
  <c r="D628" i="5"/>
  <c r="M628" i="5" s="1"/>
  <c r="D633" i="5"/>
  <c r="M633" i="5" s="1"/>
  <c r="D627" i="5"/>
  <c r="M627" i="5" s="1"/>
  <c r="D625" i="5"/>
  <c r="M625" i="5" s="1"/>
  <c r="D630" i="5"/>
  <c r="M630" i="5" s="1"/>
  <c r="D629" i="5"/>
  <c r="M629" i="5" s="1"/>
  <c r="D635" i="5"/>
  <c r="M635" i="5" s="1"/>
  <c r="D637" i="5"/>
  <c r="M637" i="5" s="1"/>
  <c r="D638" i="5"/>
  <c r="M638" i="5" s="1"/>
  <c r="D634" i="5"/>
  <c r="M634" i="5" s="1"/>
  <c r="D631" i="5"/>
  <c r="M631" i="5" s="1"/>
  <c r="D626" i="5"/>
  <c r="M626" i="5" s="1"/>
  <c r="D621" i="5"/>
  <c r="M621" i="5" s="1"/>
  <c r="D622" i="5"/>
  <c r="M622" i="5" s="1"/>
  <c r="D623" i="5"/>
  <c r="M623" i="5" s="1"/>
  <c r="D617" i="5"/>
  <c r="M617" i="5" s="1"/>
  <c r="D616" i="5"/>
  <c r="M616" i="5" s="1"/>
  <c r="D619" i="5"/>
  <c r="M619" i="5" s="1"/>
  <c r="D620" i="5"/>
  <c r="M620" i="5" s="1"/>
  <c r="D618" i="5"/>
  <c r="M618" i="5" s="1"/>
  <c r="D615" i="5"/>
  <c r="M615" i="5" s="1"/>
  <c r="D612" i="5"/>
  <c r="M612" i="5" s="1"/>
  <c r="D613" i="5"/>
  <c r="M613" i="5" s="1"/>
  <c r="D614" i="5"/>
  <c r="M614" i="5" s="1"/>
  <c r="D610" i="5"/>
  <c r="M610" i="5" s="1"/>
  <c r="D611" i="5"/>
  <c r="M611" i="5" s="1"/>
  <c r="D641" i="5"/>
  <c r="M641" i="5" s="1"/>
  <c r="D640" i="5"/>
  <c r="M640" i="5" s="1"/>
  <c r="D639" i="5"/>
  <c r="M639" i="5" s="1"/>
  <c r="D609" i="5"/>
  <c r="M609" i="5" s="1"/>
  <c r="B206" i="3"/>
  <c r="H206" i="3" s="1"/>
  <c r="B92" i="3"/>
  <c r="H92" i="3" s="1"/>
  <c r="B124" i="3"/>
  <c r="H124" i="3" s="1"/>
  <c r="B156" i="3"/>
  <c r="H156" i="3" s="1"/>
  <c r="B184" i="3"/>
  <c r="H184" i="3" s="1"/>
  <c r="B190" i="3"/>
  <c r="H190" i="3" s="1"/>
  <c r="B207" i="3"/>
  <c r="H207" i="3" s="1"/>
  <c r="B228" i="3"/>
  <c r="H228" i="3" s="1"/>
  <c r="B74" i="3"/>
  <c r="H74" i="3" s="1"/>
  <c r="B106" i="3"/>
  <c r="H106" i="3" s="1"/>
  <c r="B138" i="3"/>
  <c r="H138" i="3" s="1"/>
  <c r="B185" i="3"/>
  <c r="H185" i="3" s="1"/>
  <c r="B208" i="3"/>
  <c r="H208" i="3" s="1"/>
  <c r="B213" i="3"/>
  <c r="H213" i="3" s="1"/>
  <c r="B186" i="3"/>
  <c r="H186" i="3" s="1"/>
  <c r="B181" i="3"/>
  <c r="H181" i="3" s="1"/>
  <c r="B193" i="3"/>
  <c r="H193" i="3" s="1"/>
  <c r="B199" i="3"/>
  <c r="H199" i="3" s="1"/>
  <c r="B204" i="3"/>
  <c r="H204" i="3" s="1"/>
  <c r="B215" i="3"/>
  <c r="H215" i="3" s="1"/>
  <c r="B231" i="3"/>
  <c r="H231" i="3" s="1"/>
  <c r="D168" i="5"/>
  <c r="M168" i="5" s="1"/>
  <c r="D180" i="5"/>
  <c r="M180" i="5" s="1"/>
  <c r="D108" i="5"/>
  <c r="M108" i="5" s="1"/>
  <c r="D216" i="5"/>
  <c r="M216" i="5" s="1"/>
  <c r="D270" i="5"/>
  <c r="M270" i="5" s="1"/>
  <c r="D72" i="5"/>
  <c r="M72" i="5" s="1"/>
  <c r="D126" i="5"/>
  <c r="M126" i="5" s="1"/>
  <c r="D234" i="5"/>
  <c r="M234" i="5" s="1"/>
  <c r="D57" i="5"/>
  <c r="M57" i="5" s="1"/>
  <c r="D273" i="5"/>
  <c r="M273" i="5" s="1"/>
  <c r="D186" i="5"/>
  <c r="M186" i="5" s="1"/>
  <c r="D90" i="5"/>
  <c r="M90" i="5" s="1"/>
  <c r="D33" i="5"/>
  <c r="M33" i="5" s="1"/>
  <c r="D60" i="5"/>
  <c r="M60" i="5" s="1"/>
  <c r="D96" i="5"/>
  <c r="M96" i="5" s="1"/>
  <c r="D87" i="5"/>
  <c r="M87" i="5" s="1"/>
  <c r="D141" i="5"/>
  <c r="M141" i="5" s="1"/>
  <c r="D195" i="5"/>
  <c r="M195" i="5" s="1"/>
  <c r="D249" i="5"/>
  <c r="M249" i="5" s="1"/>
  <c r="D258" i="5"/>
  <c r="M258" i="5" s="1"/>
  <c r="D294" i="5"/>
  <c r="M294" i="5" s="1"/>
  <c r="D165" i="5"/>
  <c r="M165" i="5" s="1"/>
  <c r="D75" i="5"/>
  <c r="M75" i="5" s="1"/>
  <c r="D183" i="5"/>
  <c r="M183" i="5" s="1"/>
  <c r="D237" i="5"/>
  <c r="M237" i="5" s="1"/>
  <c r="D291" i="5"/>
  <c r="M291" i="5" s="1"/>
  <c r="D78" i="5"/>
  <c r="M78" i="5" s="1"/>
  <c r="D240" i="5"/>
  <c r="M240" i="5" s="1"/>
  <c r="D129" i="5"/>
  <c r="M129" i="5" s="1"/>
  <c r="D132" i="5"/>
  <c r="M132" i="5" s="1"/>
  <c r="D93" i="5"/>
  <c r="M93" i="5" s="1"/>
  <c r="D201" i="5"/>
  <c r="M201" i="5" s="1"/>
  <c r="D204" i="5"/>
  <c r="M204" i="5" s="1"/>
  <c r="D255" i="5"/>
  <c r="M255" i="5" s="1"/>
  <c r="D105" i="5"/>
  <c r="M105" i="5" s="1"/>
  <c r="D159" i="5"/>
  <c r="M159" i="5" s="1"/>
  <c r="D213" i="5"/>
  <c r="M213" i="5" s="1"/>
  <c r="D267" i="5"/>
  <c r="M267" i="5" s="1"/>
  <c r="D114" i="5"/>
  <c r="M114" i="5" s="1"/>
  <c r="D150" i="5"/>
  <c r="M150" i="5" s="1"/>
  <c r="D219" i="5"/>
  <c r="M219" i="5" s="1"/>
  <c r="D39" i="5"/>
  <c r="M39" i="5" s="1"/>
  <c r="D276" i="5"/>
  <c r="M276" i="5" s="1"/>
  <c r="D147" i="5"/>
  <c r="M147" i="5" s="1"/>
  <c r="D69" i="5"/>
  <c r="M69" i="5" s="1"/>
  <c r="D123" i="5"/>
  <c r="M123" i="5" s="1"/>
  <c r="D177" i="5"/>
  <c r="M177" i="5" s="1"/>
  <c r="D198" i="5"/>
  <c r="M198" i="5" s="1"/>
  <c r="D231" i="5"/>
  <c r="M231" i="5" s="1"/>
  <c r="D285" i="5"/>
  <c r="M285" i="5" s="1"/>
  <c r="D252" i="5"/>
  <c r="M252" i="5" s="1"/>
  <c r="D162" i="5"/>
  <c r="M162" i="5" s="1"/>
  <c r="D111" i="5"/>
  <c r="M111" i="5" s="1"/>
  <c r="D288" i="5"/>
  <c r="M288" i="5" s="1"/>
  <c r="D36" i="5"/>
  <c r="M36" i="5" s="1"/>
  <c r="D144" i="5"/>
  <c r="M144" i="5" s="1"/>
  <c r="D42" i="5"/>
  <c r="M42" i="5" s="1"/>
  <c r="D54" i="5"/>
  <c r="M54" i="5" s="1"/>
  <c r="D222" i="5"/>
  <c r="M222" i="5" s="1"/>
  <c r="J7" i="5"/>
  <c r="J17" i="5"/>
  <c r="J29" i="5"/>
  <c r="J12" i="5"/>
  <c r="J24" i="5"/>
  <c r="J30" i="5"/>
  <c r="J14" i="5"/>
  <c r="J32" i="5"/>
  <c r="J10" i="5"/>
  <c r="J5" i="5"/>
  <c r="J19" i="5"/>
  <c r="J25" i="5"/>
  <c r="J15" i="5"/>
  <c r="J22" i="5"/>
  <c r="J28" i="5"/>
  <c r="J18" i="5"/>
  <c r="J20" i="5"/>
  <c r="J16" i="5"/>
  <c r="J27" i="5"/>
  <c r="J11" i="5"/>
  <c r="J8" i="5"/>
  <c r="J13" i="5"/>
  <c r="J9" i="5"/>
  <c r="J23" i="5"/>
  <c r="J21" i="5"/>
  <c r="J6" i="5"/>
  <c r="J26" i="5"/>
  <c r="J31" i="5"/>
  <c r="B194" i="3"/>
  <c r="H194" i="3" s="1"/>
  <c r="B195" i="3"/>
  <c r="H195" i="3" s="1"/>
  <c r="B179" i="3"/>
  <c r="H179" i="3" s="1"/>
  <c r="B196" i="3"/>
  <c r="H196" i="3" s="1"/>
  <c r="B201" i="3"/>
  <c r="H201" i="3" s="1"/>
  <c r="B191" i="3"/>
  <c r="H191" i="3" s="1"/>
  <c r="B187" i="3"/>
  <c r="H187" i="3" s="1"/>
  <c r="B198" i="3"/>
  <c r="H198" i="3" s="1"/>
  <c r="B76" i="3"/>
  <c r="H76" i="3" s="1"/>
  <c r="B108" i="3"/>
  <c r="H108" i="3" s="1"/>
  <c r="B140" i="3"/>
  <c r="H140" i="3" s="1"/>
  <c r="D60" i="3"/>
  <c r="C60" i="3"/>
  <c r="D59" i="3"/>
  <c r="C59" i="3"/>
  <c r="B59" i="3" s="1"/>
  <c r="H59" i="3" s="1"/>
  <c r="D58" i="3"/>
  <c r="C58" i="3"/>
  <c r="B58" i="3" s="1"/>
  <c r="H58" i="3" s="1"/>
  <c r="D44" i="3"/>
  <c r="C44" i="3"/>
  <c r="D43" i="3"/>
  <c r="C43" i="3"/>
  <c r="D42" i="3"/>
  <c r="C42" i="3"/>
  <c r="D328" i="3"/>
  <c r="B328" i="3" s="1"/>
  <c r="H328" i="3" s="1"/>
  <c r="D327" i="3"/>
  <c r="B327" i="3" s="1"/>
  <c r="H327" i="3" s="1"/>
  <c r="D326" i="3"/>
  <c r="B326" i="3" s="1"/>
  <c r="H326" i="3" s="1"/>
  <c r="D316" i="3"/>
  <c r="B316" i="3" s="1"/>
  <c r="H316" i="3" s="1"/>
  <c r="D315" i="3"/>
  <c r="B315" i="3" s="1"/>
  <c r="H315" i="3" s="1"/>
  <c r="D314" i="3"/>
  <c r="B314" i="3" s="1"/>
  <c r="H314" i="3" s="1"/>
  <c r="D304" i="3"/>
  <c r="B304" i="3" s="1"/>
  <c r="H304" i="3" s="1"/>
  <c r="D303" i="3"/>
  <c r="B303" i="3" s="1"/>
  <c r="H303" i="3" s="1"/>
  <c r="D302" i="3"/>
  <c r="B302" i="3" s="1"/>
  <c r="H302" i="3" s="1"/>
  <c r="D292" i="3"/>
  <c r="B292" i="3" s="1"/>
  <c r="H292" i="3" s="1"/>
  <c r="D291" i="3"/>
  <c r="B291" i="3" s="1"/>
  <c r="H291" i="3" s="1"/>
  <c r="D290" i="3"/>
  <c r="B290" i="3" s="1"/>
  <c r="H290" i="3" s="1"/>
  <c r="D280" i="3"/>
  <c r="B280" i="3" s="1"/>
  <c r="H280" i="3" s="1"/>
  <c r="D279" i="3"/>
  <c r="B279" i="3" s="1"/>
  <c r="H279" i="3" s="1"/>
  <c r="D278" i="3"/>
  <c r="B278" i="3" s="1"/>
  <c r="H278" i="3" s="1"/>
  <c r="D268" i="3"/>
  <c r="B268" i="3" s="1"/>
  <c r="H268" i="3" s="1"/>
  <c r="D267" i="3"/>
  <c r="B267" i="3" s="1"/>
  <c r="H267" i="3" s="1"/>
  <c r="D266" i="3"/>
  <c r="B266" i="3" s="1"/>
  <c r="H266" i="3" s="1"/>
  <c r="D256" i="3"/>
  <c r="B256" i="3" s="1"/>
  <c r="H256" i="3" s="1"/>
  <c r="D255" i="3"/>
  <c r="B255" i="3" s="1"/>
  <c r="H255" i="3" s="1"/>
  <c r="D254" i="3"/>
  <c r="B254" i="3" s="1"/>
  <c r="H254" i="3" s="1"/>
  <c r="D244" i="3"/>
  <c r="B244" i="3" s="1"/>
  <c r="H244" i="3" s="1"/>
  <c r="D243" i="3"/>
  <c r="B243" i="3" s="1"/>
  <c r="H243" i="3" s="1"/>
  <c r="D242" i="3"/>
  <c r="B242" i="3" s="1"/>
  <c r="H242" i="3" s="1"/>
  <c r="D319" i="3"/>
  <c r="C319" i="3"/>
  <c r="D318" i="3"/>
  <c r="C318" i="3"/>
  <c r="D307" i="3"/>
  <c r="C307" i="3"/>
  <c r="D306" i="3"/>
  <c r="C306" i="3"/>
  <c r="D295" i="3"/>
  <c r="C295" i="3"/>
  <c r="D294" i="3"/>
  <c r="C294" i="3"/>
  <c r="D283" i="3"/>
  <c r="C283" i="3"/>
  <c r="D282" i="3"/>
  <c r="C282" i="3"/>
  <c r="D271" i="3"/>
  <c r="C271" i="3"/>
  <c r="D270" i="3"/>
  <c r="C270" i="3"/>
  <c r="D259" i="3"/>
  <c r="C259" i="3"/>
  <c r="D258" i="3"/>
  <c r="C258" i="3"/>
  <c r="D247" i="3"/>
  <c r="C247" i="3"/>
  <c r="D246" i="3"/>
  <c r="C246" i="3"/>
  <c r="D235" i="3"/>
  <c r="C235" i="3"/>
  <c r="D234" i="3"/>
  <c r="C234" i="3"/>
  <c r="D160" i="3"/>
  <c r="C160" i="3"/>
  <c r="D159" i="3"/>
  <c r="C159" i="3"/>
  <c r="D158" i="3"/>
  <c r="C158" i="3"/>
  <c r="D152" i="3"/>
  <c r="C152" i="3"/>
  <c r="D148" i="3"/>
  <c r="C148" i="3"/>
  <c r="D144" i="3"/>
  <c r="C144" i="3"/>
  <c r="D143" i="3"/>
  <c r="C143" i="3"/>
  <c r="D142" i="3"/>
  <c r="C142" i="3"/>
  <c r="D136" i="3"/>
  <c r="C136" i="3"/>
  <c r="D132" i="3"/>
  <c r="C132" i="3"/>
  <c r="D128" i="3"/>
  <c r="C128" i="3"/>
  <c r="D127" i="3"/>
  <c r="C127" i="3"/>
  <c r="D126" i="3"/>
  <c r="C126" i="3"/>
  <c r="D120" i="3"/>
  <c r="C120" i="3"/>
  <c r="D116" i="3"/>
  <c r="C116" i="3"/>
  <c r="D112" i="3"/>
  <c r="C112" i="3"/>
  <c r="D111" i="3"/>
  <c r="C111" i="3"/>
  <c r="D110" i="3"/>
  <c r="C110" i="3"/>
  <c r="D104" i="3"/>
  <c r="C104" i="3"/>
  <c r="D100" i="3"/>
  <c r="C100" i="3"/>
  <c r="D96" i="3"/>
  <c r="C96" i="3"/>
  <c r="D95" i="3"/>
  <c r="C95" i="3"/>
  <c r="D94" i="3"/>
  <c r="C94" i="3"/>
  <c r="D88" i="3"/>
  <c r="C88" i="3"/>
  <c r="D84" i="3"/>
  <c r="C84" i="3"/>
  <c r="D80" i="3"/>
  <c r="C80" i="3"/>
  <c r="D79" i="3"/>
  <c r="C79" i="3"/>
  <c r="D78" i="3"/>
  <c r="C78" i="3"/>
  <c r="D72" i="3"/>
  <c r="C72" i="3"/>
  <c r="D68" i="3"/>
  <c r="C68" i="3"/>
  <c r="D64" i="3"/>
  <c r="C64" i="3"/>
  <c r="D63" i="3"/>
  <c r="C63" i="3"/>
  <c r="D62" i="3"/>
  <c r="C62" i="3"/>
  <c r="D56" i="3"/>
  <c r="C56" i="3"/>
  <c r="D52" i="3"/>
  <c r="C52" i="3"/>
  <c r="D48" i="3"/>
  <c r="C48" i="3"/>
  <c r="D47" i="3"/>
  <c r="C47" i="3"/>
  <c r="D46" i="3"/>
  <c r="C46" i="3"/>
  <c r="D40" i="3"/>
  <c r="C40" i="3"/>
  <c r="AG449" i="5" l="1" a="1"/>
  <c r="AG449" i="5" s="1"/>
  <c r="L467" i="5"/>
  <c r="U449" i="5"/>
  <c r="AG473" i="5" a="1"/>
  <c r="AG473" i="5" s="1"/>
  <c r="L491" i="5"/>
  <c r="U473" i="5"/>
  <c r="AG470" i="5" a="1"/>
  <c r="AG470" i="5" s="1"/>
  <c r="L488" i="5"/>
  <c r="U470" i="5"/>
  <c r="D304" i="5"/>
  <c r="M304" i="5" s="1"/>
  <c r="D320" i="5"/>
  <c r="M320" i="5" s="1"/>
  <c r="U457" i="5"/>
  <c r="AG457" i="5" a="1"/>
  <c r="AG457" i="5" s="1"/>
  <c r="L475" i="5"/>
  <c r="AG460" i="5" a="1"/>
  <c r="AG460" i="5" s="1"/>
  <c r="L478" i="5"/>
  <c r="U460" i="5"/>
  <c r="D305" i="5"/>
  <c r="M305" i="5" s="1"/>
  <c r="D317" i="5"/>
  <c r="M317" i="5" s="1"/>
  <c r="D308" i="5"/>
  <c r="M308" i="5" s="1"/>
  <c r="AG481" i="5" a="1"/>
  <c r="AG481" i="5" s="1"/>
  <c r="L499" i="5"/>
  <c r="U481" i="5"/>
  <c r="D316" i="5"/>
  <c r="M316" i="5" s="1"/>
  <c r="D311" i="5"/>
  <c r="M311" i="5" s="1"/>
  <c r="AG448" i="5" a="1"/>
  <c r="AG448" i="5" s="1"/>
  <c r="L466" i="5"/>
  <c r="U448" i="5"/>
  <c r="AG476" i="5" a="1"/>
  <c r="AG476" i="5" s="1"/>
  <c r="L494" i="5"/>
  <c r="U476" i="5"/>
  <c r="D319" i="5"/>
  <c r="M319" i="5" s="1"/>
  <c r="D307" i="5"/>
  <c r="M307" i="5" s="1"/>
  <c r="AG482" i="5" a="1"/>
  <c r="AG482" i="5" s="1"/>
  <c r="L500" i="5"/>
  <c r="U482" i="5"/>
  <c r="AG461" i="5" a="1"/>
  <c r="AG461" i="5" s="1"/>
  <c r="L479" i="5"/>
  <c r="U461" i="5"/>
  <c r="D310" i="5"/>
  <c r="M310" i="5" s="1"/>
  <c r="U454" i="5"/>
  <c r="AG454" i="5" a="1"/>
  <c r="AG454" i="5" s="1"/>
  <c r="L472" i="5"/>
  <c r="D314" i="5"/>
  <c r="M314" i="5" s="1"/>
  <c r="AG451" i="5" a="1"/>
  <c r="AG451" i="5" s="1"/>
  <c r="L469" i="5"/>
  <c r="U451" i="5"/>
  <c r="D313" i="5"/>
  <c r="M313" i="5" s="1"/>
  <c r="D312" i="5"/>
  <c r="M312" i="5" s="1"/>
  <c r="D684" i="5"/>
  <c r="M684" i="5" s="1"/>
  <c r="D303" i="5"/>
  <c r="D315" i="5"/>
  <c r="D306" i="5"/>
  <c r="D309" i="5"/>
  <c r="U315" i="5"/>
  <c r="L333" i="5"/>
  <c r="AG333" i="5" s="1" a="1"/>
  <c r="AG333" i="5" s="1"/>
  <c r="U309" i="5"/>
  <c r="L327" i="5"/>
  <c r="AG327" i="5" s="1" a="1"/>
  <c r="AG327" i="5" s="1"/>
  <c r="L330" i="5"/>
  <c r="AG330" i="5" s="1" a="1"/>
  <c r="AG330" i="5" s="1"/>
  <c r="U312" i="5"/>
  <c r="U306" i="5"/>
  <c r="L324" i="5"/>
  <c r="AG324" i="5" s="1" a="1"/>
  <c r="AG324" i="5" s="1"/>
  <c r="D318" i="5"/>
  <c r="M318" i="5" s="1"/>
  <c r="U318" i="5"/>
  <c r="L336" i="5"/>
  <c r="AG336" i="5" s="1" a="1"/>
  <c r="AG336" i="5" s="1"/>
  <c r="L321" i="5"/>
  <c r="U303" i="5"/>
  <c r="J666" i="5"/>
  <c r="J667" i="5"/>
  <c r="J663" i="5"/>
  <c r="J664" i="5"/>
  <c r="J668" i="5"/>
  <c r="J665" i="5"/>
  <c r="J661" i="5"/>
  <c r="J656" i="5"/>
  <c r="J659" i="5"/>
  <c r="J658" i="5"/>
  <c r="J655" i="5"/>
  <c r="J651" i="5"/>
  <c r="J652" i="5"/>
  <c r="J660" i="5"/>
  <c r="J662" i="5"/>
  <c r="J654" i="5"/>
  <c r="J653" i="5"/>
  <c r="J657" i="5"/>
  <c r="J650" i="5"/>
  <c r="J649" i="5"/>
  <c r="J648" i="5"/>
  <c r="J646" i="5"/>
  <c r="J645" i="5"/>
  <c r="J647" i="5"/>
  <c r="J642" i="5"/>
  <c r="J643" i="5"/>
  <c r="J644" i="5"/>
  <c r="J638" i="5"/>
  <c r="J637" i="5"/>
  <c r="J635" i="5"/>
  <c r="J629" i="5"/>
  <c r="J630" i="5"/>
  <c r="J625" i="5"/>
  <c r="J627" i="5"/>
  <c r="J633" i="5"/>
  <c r="J628" i="5"/>
  <c r="J626" i="5"/>
  <c r="J632" i="5"/>
  <c r="J631" i="5"/>
  <c r="J624" i="5"/>
  <c r="J634" i="5"/>
  <c r="J636" i="5"/>
  <c r="J623" i="5"/>
  <c r="J622" i="5"/>
  <c r="J621" i="5"/>
  <c r="J615" i="5"/>
  <c r="J618" i="5"/>
  <c r="J620" i="5"/>
  <c r="J619" i="5"/>
  <c r="J616" i="5"/>
  <c r="J617" i="5"/>
  <c r="J614" i="5"/>
  <c r="J613" i="5"/>
  <c r="J612" i="5"/>
  <c r="J611" i="5"/>
  <c r="J610" i="5"/>
  <c r="J641" i="5"/>
  <c r="J640" i="5"/>
  <c r="J639" i="5"/>
  <c r="J609" i="5"/>
  <c r="J33" i="5"/>
  <c r="B42" i="3"/>
  <c r="H42" i="3" s="1"/>
  <c r="B43" i="3"/>
  <c r="H43" i="3" s="1"/>
  <c r="B60" i="3"/>
  <c r="H60" i="3" s="1"/>
  <c r="B44" i="3"/>
  <c r="H44" i="3" s="1"/>
  <c r="B234" i="3"/>
  <c r="H234" i="3" s="1"/>
  <c r="B270" i="3"/>
  <c r="H270" i="3" s="1"/>
  <c r="B306" i="3"/>
  <c r="H306" i="3" s="1"/>
  <c r="B158" i="3"/>
  <c r="H158" i="3" s="1"/>
  <c r="B247" i="3"/>
  <c r="H247" i="3" s="1"/>
  <c r="B283" i="3"/>
  <c r="H283" i="3" s="1"/>
  <c r="B319" i="3"/>
  <c r="H319" i="3" s="1"/>
  <c r="B111" i="3"/>
  <c r="H111" i="3" s="1"/>
  <c r="B235" i="3"/>
  <c r="H235" i="3" s="1"/>
  <c r="B271" i="3"/>
  <c r="H271" i="3" s="1"/>
  <c r="B307" i="3"/>
  <c r="H307" i="3" s="1"/>
  <c r="B160" i="3"/>
  <c r="H160" i="3" s="1"/>
  <c r="B259" i="3"/>
  <c r="H259" i="3" s="1"/>
  <c r="B295" i="3"/>
  <c r="H295" i="3" s="1"/>
  <c r="B159" i="3"/>
  <c r="H159" i="3" s="1"/>
  <c r="B258" i="3"/>
  <c r="H258" i="3" s="1"/>
  <c r="B294" i="3"/>
  <c r="H294" i="3" s="1"/>
  <c r="B246" i="3"/>
  <c r="H246" i="3" s="1"/>
  <c r="B282" i="3"/>
  <c r="H282" i="3" s="1"/>
  <c r="B318" i="3"/>
  <c r="H318" i="3" s="1"/>
  <c r="B48" i="3"/>
  <c r="H48" i="3" s="1"/>
  <c r="B68" i="3"/>
  <c r="H68" i="3" s="1"/>
  <c r="B88" i="3"/>
  <c r="H88" i="3" s="1"/>
  <c r="B110" i="3"/>
  <c r="H110" i="3" s="1"/>
  <c r="B127" i="3"/>
  <c r="H127" i="3" s="1"/>
  <c r="B56" i="3"/>
  <c r="H56" i="3" s="1"/>
  <c r="B78" i="3"/>
  <c r="H78" i="3" s="1"/>
  <c r="B95" i="3"/>
  <c r="H95" i="3" s="1"/>
  <c r="B112" i="3"/>
  <c r="H112" i="3" s="1"/>
  <c r="B132" i="3"/>
  <c r="H132" i="3" s="1"/>
  <c r="B62" i="3"/>
  <c r="H62" i="3" s="1"/>
  <c r="B79" i="3"/>
  <c r="H79" i="3" s="1"/>
  <c r="B96" i="3"/>
  <c r="H96" i="3" s="1"/>
  <c r="B116" i="3"/>
  <c r="H116" i="3" s="1"/>
  <c r="B136" i="3"/>
  <c r="H136" i="3" s="1"/>
  <c r="B63" i="3"/>
  <c r="H63" i="3" s="1"/>
  <c r="B80" i="3"/>
  <c r="H80" i="3" s="1"/>
  <c r="B100" i="3"/>
  <c r="H100" i="3" s="1"/>
  <c r="B120" i="3"/>
  <c r="H120" i="3" s="1"/>
  <c r="B142" i="3"/>
  <c r="H142" i="3" s="1"/>
  <c r="B47" i="3"/>
  <c r="H47" i="3" s="1"/>
  <c r="B64" i="3"/>
  <c r="H64" i="3" s="1"/>
  <c r="B84" i="3"/>
  <c r="H84" i="3" s="1"/>
  <c r="B104" i="3"/>
  <c r="H104" i="3" s="1"/>
  <c r="B126" i="3"/>
  <c r="H126" i="3" s="1"/>
  <c r="B143" i="3"/>
  <c r="H143" i="3" s="1"/>
  <c r="B144" i="3"/>
  <c r="H144" i="3" s="1"/>
  <c r="B52" i="3"/>
  <c r="H52" i="3" s="1"/>
  <c r="B72" i="3"/>
  <c r="H72" i="3" s="1"/>
  <c r="B94" i="3"/>
  <c r="H94" i="3" s="1"/>
  <c r="B128" i="3"/>
  <c r="H128" i="3" s="1"/>
  <c r="B148" i="3"/>
  <c r="H148" i="3" s="1"/>
  <c r="B152" i="3"/>
  <c r="H152" i="3" s="1"/>
  <c r="B40" i="3"/>
  <c r="H40" i="3" s="1"/>
  <c r="B46" i="3"/>
  <c r="H46" i="3" s="1"/>
  <c r="AG467" i="5" l="1" a="1"/>
  <c r="AG467" i="5" s="1"/>
  <c r="U467" i="5"/>
  <c r="L485" i="5"/>
  <c r="AG472" i="5" a="1"/>
  <c r="AG472" i="5" s="1"/>
  <c r="L490" i="5"/>
  <c r="U472" i="5"/>
  <c r="AG494" i="5" a="1"/>
  <c r="AG494" i="5" s="1"/>
  <c r="L512" i="5"/>
  <c r="U494" i="5"/>
  <c r="AG500" i="5" a="1"/>
  <c r="AG500" i="5" s="1"/>
  <c r="L518" i="5"/>
  <c r="U500" i="5"/>
  <c r="AG488" i="5" a="1"/>
  <c r="AG488" i="5" s="1"/>
  <c r="L506" i="5"/>
  <c r="U488" i="5"/>
  <c r="AG466" i="5" a="1"/>
  <c r="AG466" i="5" s="1"/>
  <c r="L484" i="5"/>
  <c r="U466" i="5"/>
  <c r="AG491" i="5" a="1"/>
  <c r="AG491" i="5" s="1"/>
  <c r="U491" i="5"/>
  <c r="L509" i="5"/>
  <c r="U478" i="5"/>
  <c r="AG478" i="5" a="1"/>
  <c r="AG478" i="5" s="1"/>
  <c r="L496" i="5"/>
  <c r="AG321" i="5" a="1"/>
  <c r="AG321" i="5" s="1"/>
  <c r="D329" i="5"/>
  <c r="M329" i="5" s="1"/>
  <c r="D328" i="5"/>
  <c r="M328" i="5" s="1"/>
  <c r="D331" i="5"/>
  <c r="M331" i="5" s="1"/>
  <c r="D322" i="5"/>
  <c r="M322" i="5" s="1"/>
  <c r="D335" i="5"/>
  <c r="M335" i="5" s="1"/>
  <c r="D323" i="5"/>
  <c r="M323" i="5" s="1"/>
  <c r="D337" i="5"/>
  <c r="M337" i="5" s="1"/>
  <c r="D338" i="5"/>
  <c r="M338" i="5" s="1"/>
  <c r="D334" i="5"/>
  <c r="M334" i="5" s="1"/>
  <c r="D332" i="5"/>
  <c r="M332" i="5" s="1"/>
  <c r="D325" i="5"/>
  <c r="M325" i="5" s="1"/>
  <c r="D326" i="5"/>
  <c r="M326" i="5" s="1"/>
  <c r="AG475" i="5" a="1"/>
  <c r="AG475" i="5" s="1"/>
  <c r="L493" i="5"/>
  <c r="U475" i="5"/>
  <c r="AG499" i="5" a="1"/>
  <c r="AG499" i="5" s="1"/>
  <c r="L517" i="5"/>
  <c r="U499" i="5"/>
  <c r="AG469" i="5" a="1"/>
  <c r="AG469" i="5" s="1"/>
  <c r="L487" i="5"/>
  <c r="U469" i="5"/>
  <c r="AG479" i="5" a="1"/>
  <c r="AG479" i="5" s="1"/>
  <c r="L497" i="5"/>
  <c r="U479" i="5"/>
  <c r="M309" i="5"/>
  <c r="M306" i="5"/>
  <c r="M315" i="5"/>
  <c r="M303" i="5"/>
  <c r="D685" i="5"/>
  <c r="M685" i="5" s="1"/>
  <c r="L348" i="5"/>
  <c r="AG348" i="5" s="1" a="1"/>
  <c r="AG348" i="5" s="1"/>
  <c r="U330" i="5"/>
  <c r="D330" i="5"/>
  <c r="M330" i="5" s="1"/>
  <c r="L339" i="5"/>
  <c r="U321" i="5"/>
  <c r="D321" i="5"/>
  <c r="M321" i="5" s="1"/>
  <c r="L342" i="5"/>
  <c r="AG342" i="5" s="1" a="1"/>
  <c r="AG342" i="5" s="1"/>
  <c r="U324" i="5"/>
  <c r="D324" i="5"/>
  <c r="M324" i="5" s="1"/>
  <c r="L345" i="5"/>
  <c r="AG345" i="5" s="1" a="1"/>
  <c r="AG345" i="5" s="1"/>
  <c r="U327" i="5"/>
  <c r="D327" i="5"/>
  <c r="M327" i="5" s="1"/>
  <c r="L354" i="5"/>
  <c r="AG354" i="5" s="1" a="1"/>
  <c r="AG354" i="5" s="1"/>
  <c r="U336" i="5"/>
  <c r="L351" i="5"/>
  <c r="AG351" i="5" s="1" a="1"/>
  <c r="AG351" i="5" s="1"/>
  <c r="U333" i="5"/>
  <c r="D333" i="5"/>
  <c r="M333" i="5" s="1"/>
  <c r="D336" i="5"/>
  <c r="M336" i="5" s="1"/>
  <c r="D36" i="3"/>
  <c r="C36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7" i="3"/>
  <c r="C38" i="3"/>
  <c r="C39" i="3"/>
  <c r="C41" i="3"/>
  <c r="C45" i="3"/>
  <c r="C49" i="3"/>
  <c r="C50" i="3"/>
  <c r="C51" i="3"/>
  <c r="C53" i="3"/>
  <c r="C54" i="3"/>
  <c r="C55" i="3"/>
  <c r="C57" i="3"/>
  <c r="C61" i="3"/>
  <c r="C65" i="3"/>
  <c r="C66" i="3"/>
  <c r="C67" i="3"/>
  <c r="C69" i="3"/>
  <c r="C70" i="3"/>
  <c r="C71" i="3"/>
  <c r="C73" i="3"/>
  <c r="C77" i="3"/>
  <c r="C81" i="3"/>
  <c r="C82" i="3"/>
  <c r="C83" i="3"/>
  <c r="C85" i="3"/>
  <c r="C86" i="3"/>
  <c r="C87" i="3"/>
  <c r="C89" i="3"/>
  <c r="C93" i="3"/>
  <c r="C97" i="3"/>
  <c r="C98" i="3"/>
  <c r="C99" i="3"/>
  <c r="C101" i="3"/>
  <c r="C102" i="3"/>
  <c r="C103" i="3"/>
  <c r="C105" i="3"/>
  <c r="C109" i="3"/>
  <c r="C113" i="3"/>
  <c r="C114" i="3"/>
  <c r="C115" i="3"/>
  <c r="C117" i="3"/>
  <c r="C118" i="3"/>
  <c r="C119" i="3"/>
  <c r="C121" i="3"/>
  <c r="C125" i="3"/>
  <c r="C129" i="3"/>
  <c r="C130" i="3"/>
  <c r="C131" i="3"/>
  <c r="C133" i="3"/>
  <c r="C134" i="3"/>
  <c r="C135" i="3"/>
  <c r="C137" i="3"/>
  <c r="C141" i="3"/>
  <c r="C145" i="3"/>
  <c r="C146" i="3"/>
  <c r="C147" i="3"/>
  <c r="C149" i="3"/>
  <c r="C150" i="3"/>
  <c r="C151" i="3"/>
  <c r="C153" i="3"/>
  <c r="C157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233" i="3"/>
  <c r="C236" i="3"/>
  <c r="C237" i="3"/>
  <c r="C238" i="3"/>
  <c r="C245" i="3"/>
  <c r="C248" i="3"/>
  <c r="C249" i="3"/>
  <c r="C250" i="3"/>
  <c r="C257" i="3"/>
  <c r="C260" i="3"/>
  <c r="C261" i="3"/>
  <c r="C262" i="3"/>
  <c r="C269" i="3"/>
  <c r="C272" i="3"/>
  <c r="C273" i="3"/>
  <c r="C274" i="3"/>
  <c r="C281" i="3"/>
  <c r="C284" i="3"/>
  <c r="C285" i="3"/>
  <c r="C286" i="3"/>
  <c r="C293" i="3"/>
  <c r="C296" i="3"/>
  <c r="C297" i="3"/>
  <c r="C298" i="3"/>
  <c r="C305" i="3"/>
  <c r="C308" i="3"/>
  <c r="C309" i="3"/>
  <c r="C310" i="3"/>
  <c r="C317" i="3"/>
  <c r="C320" i="3"/>
  <c r="C321" i="3"/>
  <c r="C322" i="3"/>
  <c r="C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7" i="3"/>
  <c r="D38" i="3"/>
  <c r="D39" i="3"/>
  <c r="D41" i="3"/>
  <c r="D45" i="3"/>
  <c r="D49" i="3"/>
  <c r="D50" i="3"/>
  <c r="D51" i="3"/>
  <c r="D53" i="3"/>
  <c r="D54" i="3"/>
  <c r="D55" i="3"/>
  <c r="D57" i="3"/>
  <c r="D61" i="3"/>
  <c r="D65" i="3"/>
  <c r="D66" i="3"/>
  <c r="D67" i="3"/>
  <c r="D69" i="3"/>
  <c r="D70" i="3"/>
  <c r="D71" i="3"/>
  <c r="D73" i="3"/>
  <c r="D77" i="3"/>
  <c r="D81" i="3"/>
  <c r="D82" i="3"/>
  <c r="D83" i="3"/>
  <c r="D85" i="3"/>
  <c r="D86" i="3"/>
  <c r="D87" i="3"/>
  <c r="D89" i="3"/>
  <c r="D93" i="3"/>
  <c r="D97" i="3"/>
  <c r="D98" i="3"/>
  <c r="D99" i="3"/>
  <c r="D101" i="3"/>
  <c r="D102" i="3"/>
  <c r="D103" i="3"/>
  <c r="D105" i="3"/>
  <c r="D109" i="3"/>
  <c r="D113" i="3"/>
  <c r="D114" i="3"/>
  <c r="D115" i="3"/>
  <c r="D117" i="3"/>
  <c r="D118" i="3"/>
  <c r="D119" i="3"/>
  <c r="D121" i="3"/>
  <c r="D125" i="3"/>
  <c r="D129" i="3"/>
  <c r="D130" i="3"/>
  <c r="D131" i="3"/>
  <c r="D133" i="3"/>
  <c r="D134" i="3"/>
  <c r="D135" i="3"/>
  <c r="D137" i="3"/>
  <c r="D141" i="3"/>
  <c r="D145" i="3"/>
  <c r="D146" i="3"/>
  <c r="D147" i="3"/>
  <c r="D149" i="3"/>
  <c r="D150" i="3"/>
  <c r="D151" i="3"/>
  <c r="D153" i="3"/>
  <c r="D157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233" i="3"/>
  <c r="D236" i="3"/>
  <c r="D237" i="3"/>
  <c r="D238" i="3"/>
  <c r="D245" i="3"/>
  <c r="D248" i="3"/>
  <c r="D249" i="3"/>
  <c r="D250" i="3"/>
  <c r="D257" i="3"/>
  <c r="D260" i="3"/>
  <c r="D261" i="3"/>
  <c r="D262" i="3"/>
  <c r="D269" i="3"/>
  <c r="D272" i="3"/>
  <c r="D273" i="3"/>
  <c r="D274" i="3"/>
  <c r="D281" i="3"/>
  <c r="D284" i="3"/>
  <c r="D285" i="3"/>
  <c r="D286" i="3"/>
  <c r="D293" i="3"/>
  <c r="D296" i="3"/>
  <c r="D297" i="3"/>
  <c r="D298" i="3"/>
  <c r="D305" i="3"/>
  <c r="D308" i="3"/>
  <c r="D309" i="3"/>
  <c r="D310" i="3"/>
  <c r="D317" i="3"/>
  <c r="D320" i="3"/>
  <c r="D321" i="3"/>
  <c r="D322" i="3"/>
  <c r="D5" i="3"/>
  <c r="L503" i="5" l="1"/>
  <c r="AG485" i="5" a="1"/>
  <c r="AG485" i="5" s="1"/>
  <c r="U485" i="5"/>
  <c r="U509" i="5"/>
  <c r="L527" i="5"/>
  <c r="AG509" i="5" a="1"/>
  <c r="AG509" i="5" s="1"/>
  <c r="AG518" i="5" a="1"/>
  <c r="AG518" i="5" s="1"/>
  <c r="L536" i="5"/>
  <c r="U518" i="5"/>
  <c r="AG484" i="5" a="1"/>
  <c r="AG484" i="5" s="1"/>
  <c r="U484" i="5"/>
  <c r="L502" i="5"/>
  <c r="U512" i="5"/>
  <c r="AG512" i="5" a="1"/>
  <c r="AG512" i="5" s="1"/>
  <c r="L530" i="5"/>
  <c r="U493" i="5"/>
  <c r="AG493" i="5" a="1"/>
  <c r="AG493" i="5" s="1"/>
  <c r="L511" i="5"/>
  <c r="U517" i="5"/>
  <c r="L535" i="5"/>
  <c r="AG517" i="5" a="1"/>
  <c r="AG517" i="5" s="1"/>
  <c r="AG497" i="5" a="1"/>
  <c r="AG497" i="5" s="1"/>
  <c r="L515" i="5"/>
  <c r="U497" i="5"/>
  <c r="AG496" i="5" a="1"/>
  <c r="AG496" i="5" s="1"/>
  <c r="L514" i="5"/>
  <c r="U496" i="5"/>
  <c r="AG339" i="5" a="1"/>
  <c r="AG339" i="5" s="1"/>
  <c r="D347" i="5"/>
  <c r="M347" i="5" s="1"/>
  <c r="D349" i="5"/>
  <c r="M349" i="5" s="1"/>
  <c r="D340" i="5"/>
  <c r="M340" i="5" s="1"/>
  <c r="D356" i="5"/>
  <c r="M356" i="5" s="1"/>
  <c r="D344" i="5"/>
  <c r="M344" i="5" s="1"/>
  <c r="D350" i="5"/>
  <c r="M350" i="5" s="1"/>
  <c r="D355" i="5"/>
  <c r="M355" i="5" s="1"/>
  <c r="D343" i="5"/>
  <c r="M343" i="5" s="1"/>
  <c r="D341" i="5"/>
  <c r="M341" i="5" s="1"/>
  <c r="D353" i="5"/>
  <c r="M353" i="5" s="1"/>
  <c r="D352" i="5"/>
  <c r="M352" i="5" s="1"/>
  <c r="D346" i="5"/>
  <c r="M346" i="5" s="1"/>
  <c r="AG487" i="5" a="1"/>
  <c r="AG487" i="5" s="1"/>
  <c r="L505" i="5"/>
  <c r="U487" i="5"/>
  <c r="U506" i="5"/>
  <c r="L524" i="5"/>
  <c r="AG506" i="5" a="1"/>
  <c r="AG506" i="5" s="1"/>
  <c r="AG490" i="5" a="1"/>
  <c r="AG490" i="5" s="1"/>
  <c r="U490" i="5"/>
  <c r="L508" i="5"/>
  <c r="D686" i="5"/>
  <c r="M686" i="5" s="1"/>
  <c r="L366" i="5"/>
  <c r="AG366" i="5" s="1" a="1"/>
  <c r="AG366" i="5" s="1"/>
  <c r="U348" i="5"/>
  <c r="D348" i="5"/>
  <c r="M348" i="5" s="1"/>
  <c r="U342" i="5"/>
  <c r="D342" i="5"/>
  <c r="M342" i="5" s="1"/>
  <c r="L360" i="5"/>
  <c r="AG360" i="5" s="1" a="1"/>
  <c r="AG360" i="5" s="1"/>
  <c r="L372" i="5"/>
  <c r="AG372" i="5" s="1" a="1"/>
  <c r="AG372" i="5" s="1"/>
  <c r="U354" i="5"/>
  <c r="L369" i="5"/>
  <c r="AG369" i="5" s="1" a="1"/>
  <c r="AG369" i="5" s="1"/>
  <c r="U351" i="5"/>
  <c r="D351" i="5"/>
  <c r="M351" i="5" s="1"/>
  <c r="D339" i="5"/>
  <c r="M339" i="5" s="1"/>
  <c r="L357" i="5"/>
  <c r="U339" i="5"/>
  <c r="L363" i="5"/>
  <c r="AG363" i="5" s="1" a="1"/>
  <c r="AG363" i="5" s="1"/>
  <c r="U345" i="5"/>
  <c r="D345" i="5"/>
  <c r="M345" i="5" s="1"/>
  <c r="D354" i="5"/>
  <c r="M354" i="5" s="1"/>
  <c r="B36" i="3"/>
  <c r="H36" i="3" s="1"/>
  <c r="B238" i="3"/>
  <c r="H238" i="3" s="1"/>
  <c r="B168" i="3"/>
  <c r="H168" i="3" s="1"/>
  <c r="B125" i="3"/>
  <c r="H125" i="3" s="1"/>
  <c r="B77" i="3"/>
  <c r="H77" i="3" s="1"/>
  <c r="B8" i="3"/>
  <c r="H8" i="3" s="1"/>
  <c r="B32" i="3"/>
  <c r="H32" i="3" s="1"/>
  <c r="B297" i="3"/>
  <c r="H297" i="3" s="1"/>
  <c r="B149" i="3"/>
  <c r="H149" i="3" s="1"/>
  <c r="B101" i="3"/>
  <c r="H101" i="3" s="1"/>
  <c r="B53" i="3"/>
  <c r="H53" i="3" s="1"/>
  <c r="B20" i="3"/>
  <c r="H20" i="3" s="1"/>
  <c r="B38" i="3"/>
  <c r="H38" i="3" s="1"/>
  <c r="B23" i="3"/>
  <c r="H23" i="3" s="1"/>
  <c r="B167" i="3"/>
  <c r="H167" i="3" s="1"/>
  <c r="B147" i="3"/>
  <c r="H147" i="3" s="1"/>
  <c r="B99" i="3"/>
  <c r="H99" i="3" s="1"/>
  <c r="B73" i="3"/>
  <c r="H73" i="3" s="1"/>
  <c r="B51" i="3"/>
  <c r="H51" i="3" s="1"/>
  <c r="B31" i="3"/>
  <c r="H31" i="3" s="1"/>
  <c r="B19" i="3"/>
  <c r="H19" i="3" s="1"/>
  <c r="B7" i="3"/>
  <c r="H7" i="3" s="1"/>
  <c r="B269" i="3"/>
  <c r="H269" i="3" s="1"/>
  <c r="B236" i="3"/>
  <c r="H236" i="3" s="1"/>
  <c r="B166" i="3"/>
  <c r="H166" i="3" s="1"/>
  <c r="B146" i="3"/>
  <c r="H146" i="3" s="1"/>
  <c r="B30" i="3"/>
  <c r="H30" i="3" s="1"/>
  <c r="B237" i="3"/>
  <c r="H237" i="3" s="1"/>
  <c r="B178" i="3"/>
  <c r="H178" i="3" s="1"/>
  <c r="B117" i="3"/>
  <c r="H117" i="3" s="1"/>
  <c r="B16" i="3"/>
  <c r="H16" i="3" s="1"/>
  <c r="B24" i="3"/>
  <c r="H24" i="3" s="1"/>
  <c r="B286" i="3"/>
  <c r="H286" i="3" s="1"/>
  <c r="B260" i="3"/>
  <c r="H260" i="3" s="1"/>
  <c r="B233" i="3"/>
  <c r="H233" i="3" s="1"/>
  <c r="B176" i="3"/>
  <c r="H176" i="3" s="1"/>
  <c r="B164" i="3"/>
  <c r="H164" i="3" s="1"/>
  <c r="B141" i="3"/>
  <c r="H141" i="3" s="1"/>
  <c r="B93" i="3"/>
  <c r="H93" i="3" s="1"/>
  <c r="B69" i="3"/>
  <c r="H69" i="3" s="1"/>
  <c r="B45" i="3"/>
  <c r="H45" i="3" s="1"/>
  <c r="B137" i="3"/>
  <c r="H137" i="3" s="1"/>
  <c r="B115" i="3"/>
  <c r="H115" i="3" s="1"/>
  <c r="B310" i="3"/>
  <c r="H310" i="3" s="1"/>
  <c r="B284" i="3"/>
  <c r="H284" i="3" s="1"/>
  <c r="B257" i="3"/>
  <c r="H257" i="3" s="1"/>
  <c r="B174" i="3"/>
  <c r="H174" i="3" s="1"/>
  <c r="B162" i="3"/>
  <c r="H162" i="3" s="1"/>
  <c r="B135" i="3"/>
  <c r="H135" i="3" s="1"/>
  <c r="B114" i="3"/>
  <c r="H114" i="3" s="1"/>
  <c r="B87" i="3"/>
  <c r="H87" i="3" s="1"/>
  <c r="B66" i="3"/>
  <c r="H66" i="3" s="1"/>
  <c r="B39" i="3"/>
  <c r="H39" i="3" s="1"/>
  <c r="B26" i="3"/>
  <c r="H26" i="3" s="1"/>
  <c r="B14" i="3"/>
  <c r="H14" i="3" s="1"/>
  <c r="B89" i="3"/>
  <c r="H89" i="3" s="1"/>
  <c r="B308" i="3"/>
  <c r="H308" i="3" s="1"/>
  <c r="B281" i="3"/>
  <c r="H281" i="3" s="1"/>
  <c r="B249" i="3"/>
  <c r="H249" i="3" s="1"/>
  <c r="B172" i="3"/>
  <c r="H172" i="3" s="1"/>
  <c r="B157" i="3"/>
  <c r="H157" i="3" s="1"/>
  <c r="B133" i="3"/>
  <c r="H133" i="3" s="1"/>
  <c r="B109" i="3"/>
  <c r="H109" i="3" s="1"/>
  <c r="B85" i="3"/>
  <c r="H85" i="3" s="1"/>
  <c r="B61" i="3"/>
  <c r="H61" i="3" s="1"/>
  <c r="B37" i="3"/>
  <c r="H37" i="3" s="1"/>
  <c r="B12" i="3"/>
  <c r="H12" i="3" s="1"/>
  <c r="B274" i="3"/>
  <c r="H274" i="3" s="1"/>
  <c r="B248" i="3"/>
  <c r="H248" i="3" s="1"/>
  <c r="B171" i="3"/>
  <c r="H171" i="3" s="1"/>
  <c r="B153" i="3"/>
  <c r="H153" i="3" s="1"/>
  <c r="B131" i="3"/>
  <c r="H131" i="3" s="1"/>
  <c r="B105" i="3"/>
  <c r="H105" i="3" s="1"/>
  <c r="B83" i="3"/>
  <c r="H83" i="3" s="1"/>
  <c r="B57" i="3"/>
  <c r="H57" i="3" s="1"/>
  <c r="B35" i="3"/>
  <c r="H35" i="3" s="1"/>
  <c r="B11" i="3"/>
  <c r="H11" i="3" s="1"/>
  <c r="B170" i="3"/>
  <c r="H170" i="3" s="1"/>
  <c r="B151" i="3"/>
  <c r="H151" i="3" s="1"/>
  <c r="B103" i="3"/>
  <c r="H103" i="3" s="1"/>
  <c r="B82" i="3"/>
  <c r="H82" i="3" s="1"/>
  <c r="B55" i="3"/>
  <c r="H55" i="3" s="1"/>
  <c r="B28" i="3"/>
  <c r="H28" i="3" s="1"/>
  <c r="B317" i="3"/>
  <c r="H317" i="3" s="1"/>
  <c r="B285" i="3"/>
  <c r="H285" i="3" s="1"/>
  <c r="B175" i="3"/>
  <c r="H175" i="3" s="1"/>
  <c r="B163" i="3"/>
  <c r="H163" i="3" s="1"/>
  <c r="B67" i="3"/>
  <c r="H67" i="3" s="1"/>
  <c r="B41" i="3"/>
  <c r="H41" i="3" s="1"/>
  <c r="B27" i="3"/>
  <c r="H27" i="3" s="1"/>
  <c r="B15" i="3"/>
  <c r="H15" i="3" s="1"/>
  <c r="B309" i="3"/>
  <c r="H309" i="3" s="1"/>
  <c r="B250" i="3"/>
  <c r="H250" i="3" s="1"/>
  <c r="B173" i="3"/>
  <c r="H173" i="3" s="1"/>
  <c r="B161" i="3"/>
  <c r="H161" i="3" s="1"/>
  <c r="B134" i="3"/>
  <c r="H134" i="3" s="1"/>
  <c r="B113" i="3"/>
  <c r="H113" i="3" s="1"/>
  <c r="B86" i="3"/>
  <c r="H86" i="3" s="1"/>
  <c r="B65" i="3"/>
  <c r="H65" i="3" s="1"/>
  <c r="B25" i="3"/>
  <c r="H25" i="3" s="1"/>
  <c r="B13" i="3"/>
  <c r="H13" i="3" s="1"/>
  <c r="B305" i="3"/>
  <c r="H305" i="3" s="1"/>
  <c r="B273" i="3"/>
  <c r="H273" i="3" s="1"/>
  <c r="B130" i="3"/>
  <c r="H130" i="3" s="1"/>
  <c r="B34" i="3"/>
  <c r="H34" i="3" s="1"/>
  <c r="B22" i="3"/>
  <c r="H22" i="3" s="1"/>
  <c r="B10" i="3"/>
  <c r="H10" i="3" s="1"/>
  <c r="B298" i="3"/>
  <c r="H298" i="3" s="1"/>
  <c r="B272" i="3"/>
  <c r="H272" i="3" s="1"/>
  <c r="B245" i="3"/>
  <c r="H245" i="3" s="1"/>
  <c r="B169" i="3"/>
  <c r="H169" i="3" s="1"/>
  <c r="B150" i="3"/>
  <c r="H150" i="3" s="1"/>
  <c r="B129" i="3"/>
  <c r="H129" i="3" s="1"/>
  <c r="B102" i="3"/>
  <c r="H102" i="3" s="1"/>
  <c r="B81" i="3"/>
  <c r="H81" i="3" s="1"/>
  <c r="B54" i="3"/>
  <c r="H54" i="3" s="1"/>
  <c r="B33" i="3"/>
  <c r="H33" i="3" s="1"/>
  <c r="B21" i="3"/>
  <c r="H21" i="3" s="1"/>
  <c r="B9" i="3"/>
  <c r="H9" i="3" s="1"/>
  <c r="B322" i="3"/>
  <c r="H322" i="3" s="1"/>
  <c r="B296" i="3"/>
  <c r="H296" i="3" s="1"/>
  <c r="B121" i="3"/>
  <c r="H121" i="3" s="1"/>
  <c r="B321" i="3"/>
  <c r="H321" i="3" s="1"/>
  <c r="B262" i="3"/>
  <c r="H262" i="3" s="1"/>
  <c r="B119" i="3"/>
  <c r="H119" i="3" s="1"/>
  <c r="B98" i="3"/>
  <c r="H98" i="3" s="1"/>
  <c r="B71" i="3"/>
  <c r="H71" i="3" s="1"/>
  <c r="B50" i="3"/>
  <c r="H50" i="3" s="1"/>
  <c r="B18" i="3"/>
  <c r="H18" i="3" s="1"/>
  <c r="B6" i="3"/>
  <c r="H6" i="3" s="1"/>
  <c r="B5" i="3"/>
  <c r="H5" i="3" s="1"/>
  <c r="B320" i="3"/>
  <c r="H320" i="3" s="1"/>
  <c r="B293" i="3"/>
  <c r="H293" i="3" s="1"/>
  <c r="B261" i="3"/>
  <c r="H261" i="3" s="1"/>
  <c r="B177" i="3"/>
  <c r="H177" i="3" s="1"/>
  <c r="B165" i="3"/>
  <c r="H165" i="3" s="1"/>
  <c r="B145" i="3"/>
  <c r="H145" i="3" s="1"/>
  <c r="B118" i="3"/>
  <c r="H118" i="3" s="1"/>
  <c r="B97" i="3"/>
  <c r="H97" i="3" s="1"/>
  <c r="B70" i="3"/>
  <c r="H70" i="3" s="1"/>
  <c r="B49" i="3"/>
  <c r="H49" i="3" s="1"/>
  <c r="B29" i="3"/>
  <c r="H29" i="3" s="1"/>
  <c r="B17" i="3"/>
  <c r="H17" i="3" s="1"/>
  <c r="H7" i="4"/>
  <c r="H6" i="4"/>
  <c r="H5" i="4"/>
  <c r="H4" i="4"/>
  <c r="U503" i="5" l="1"/>
  <c r="L521" i="5"/>
  <c r="AG503" i="5" a="1"/>
  <c r="AG503" i="5" s="1"/>
  <c r="U511" i="5"/>
  <c r="AG511" i="5" a="1"/>
  <c r="AG511" i="5" s="1"/>
  <c r="L529" i="5"/>
  <c r="AG514" i="5" a="1"/>
  <c r="AG514" i="5" s="1"/>
  <c r="L532" i="5"/>
  <c r="U514" i="5"/>
  <c r="AG536" i="5" a="1"/>
  <c r="AG536" i="5" s="1"/>
  <c r="L554" i="5"/>
  <c r="U536" i="5"/>
  <c r="AG357" i="5" a="1"/>
  <c r="AG357" i="5" s="1"/>
  <c r="D365" i="5"/>
  <c r="M365" i="5" s="1"/>
  <c r="D361" i="5"/>
  <c r="M361" i="5" s="1"/>
  <c r="D364" i="5"/>
  <c r="M364" i="5" s="1"/>
  <c r="D367" i="5"/>
  <c r="M367" i="5" s="1"/>
  <c r="D370" i="5"/>
  <c r="M370" i="5" s="1"/>
  <c r="D368" i="5"/>
  <c r="M368" i="5" s="1"/>
  <c r="D358" i="5"/>
  <c r="M358" i="5" s="1"/>
  <c r="D362" i="5"/>
  <c r="M362" i="5" s="1"/>
  <c r="D374" i="5"/>
  <c r="M374" i="5" s="1"/>
  <c r="D371" i="5"/>
  <c r="M371" i="5" s="1"/>
  <c r="D359" i="5"/>
  <c r="M359" i="5" s="1"/>
  <c r="D373" i="5"/>
  <c r="M373" i="5" s="1"/>
  <c r="AG524" i="5" a="1"/>
  <c r="AG524" i="5" s="1"/>
  <c r="L542" i="5"/>
  <c r="U524" i="5"/>
  <c r="U505" i="5"/>
  <c r="AG505" i="5" a="1"/>
  <c r="AG505" i="5" s="1"/>
  <c r="L523" i="5"/>
  <c r="U502" i="5"/>
  <c r="L520" i="5"/>
  <c r="AG502" i="5" a="1"/>
  <c r="AG502" i="5" s="1"/>
  <c r="AG515" i="5" a="1"/>
  <c r="AG515" i="5" s="1"/>
  <c r="L533" i="5"/>
  <c r="U515" i="5"/>
  <c r="AG530" i="5" a="1"/>
  <c r="AG530" i="5" s="1"/>
  <c r="L548" i="5"/>
  <c r="U530" i="5"/>
  <c r="U508" i="5"/>
  <c r="L526" i="5"/>
  <c r="AG508" i="5" a="1"/>
  <c r="AG508" i="5" s="1"/>
  <c r="AG535" i="5" a="1"/>
  <c r="AG535" i="5" s="1"/>
  <c r="L553" i="5"/>
  <c r="U535" i="5"/>
  <c r="AG527" i="5" a="1"/>
  <c r="AG527" i="5" s="1"/>
  <c r="L545" i="5"/>
  <c r="U527" i="5"/>
  <c r="D687" i="5"/>
  <c r="M687" i="5" s="1"/>
  <c r="D357" i="5"/>
  <c r="M357" i="5" s="1"/>
  <c r="L375" i="5"/>
  <c r="U357" i="5"/>
  <c r="D360" i="5"/>
  <c r="M360" i="5" s="1"/>
  <c r="L378" i="5"/>
  <c r="AG378" i="5" s="1" a="1"/>
  <c r="AG378" i="5" s="1"/>
  <c r="U360" i="5"/>
  <c r="L387" i="5"/>
  <c r="AG387" i="5" s="1" a="1"/>
  <c r="AG387" i="5" s="1"/>
  <c r="U369" i="5"/>
  <c r="D369" i="5"/>
  <c r="M369" i="5" s="1"/>
  <c r="D363" i="5"/>
  <c r="M363" i="5" s="1"/>
  <c r="L381" i="5"/>
  <c r="AG381" i="5" s="1" a="1"/>
  <c r="AG381" i="5" s="1"/>
  <c r="U363" i="5"/>
  <c r="L390" i="5"/>
  <c r="AG390" i="5" s="1" a="1"/>
  <c r="AG390" i="5" s="1"/>
  <c r="U372" i="5"/>
  <c r="D366" i="5"/>
  <c r="M366" i="5" s="1"/>
  <c r="L384" i="5"/>
  <c r="AG384" i="5" s="1" a="1"/>
  <c r="AG384" i="5" s="1"/>
  <c r="U366" i="5"/>
  <c r="D372" i="5"/>
  <c r="M372" i="5" s="1"/>
  <c r="AG521" i="5" l="1" a="1"/>
  <c r="AG521" i="5" s="1"/>
  <c r="L539" i="5"/>
  <c r="U521" i="5"/>
  <c r="AG375" i="5" a="1"/>
  <c r="AG375" i="5" s="1"/>
  <c r="D383" i="5"/>
  <c r="M383" i="5" s="1"/>
  <c r="D385" i="5"/>
  <c r="M385" i="5" s="1"/>
  <c r="D389" i="5"/>
  <c r="M389" i="5" s="1"/>
  <c r="D392" i="5"/>
  <c r="M392" i="5" s="1"/>
  <c r="D377" i="5"/>
  <c r="M377" i="5" s="1"/>
  <c r="D380" i="5"/>
  <c r="M380" i="5" s="1"/>
  <c r="D388" i="5"/>
  <c r="M388" i="5" s="1"/>
  <c r="D391" i="5"/>
  <c r="M391" i="5" s="1"/>
  <c r="D379" i="5"/>
  <c r="M379" i="5" s="1"/>
  <c r="D376" i="5"/>
  <c r="M376" i="5" s="1"/>
  <c r="D386" i="5"/>
  <c r="M386" i="5" s="1"/>
  <c r="D382" i="5"/>
  <c r="M382" i="5" s="1"/>
  <c r="AG520" i="5" a="1"/>
  <c r="AG520" i="5" s="1"/>
  <c r="L538" i="5"/>
  <c r="U520" i="5"/>
  <c r="AG548" i="5" a="1"/>
  <c r="AG548" i="5" s="1"/>
  <c r="L566" i="5"/>
  <c r="U548" i="5"/>
  <c r="AG523" i="5" a="1"/>
  <c r="AG523" i="5" s="1"/>
  <c r="L541" i="5"/>
  <c r="U523" i="5"/>
  <c r="AG532" i="5" a="1"/>
  <c r="AG532" i="5" s="1"/>
  <c r="L550" i="5"/>
  <c r="U532" i="5"/>
  <c r="AG533" i="5" a="1"/>
  <c r="AG533" i="5" s="1"/>
  <c r="L551" i="5"/>
  <c r="U533" i="5"/>
  <c r="AG553" i="5" a="1"/>
  <c r="AG553" i="5" s="1"/>
  <c r="L571" i="5"/>
  <c r="U553" i="5"/>
  <c r="U529" i="5"/>
  <c r="L547" i="5"/>
  <c r="AG529" i="5" a="1"/>
  <c r="AG529" i="5" s="1"/>
  <c r="AG545" i="5" a="1"/>
  <c r="AG545" i="5" s="1"/>
  <c r="L563" i="5"/>
  <c r="U545" i="5"/>
  <c r="AG554" i="5" a="1"/>
  <c r="AG554" i="5" s="1"/>
  <c r="L572" i="5"/>
  <c r="U554" i="5"/>
  <c r="AG526" i="5" a="1"/>
  <c r="AG526" i="5" s="1"/>
  <c r="L544" i="5"/>
  <c r="U526" i="5"/>
  <c r="AG542" i="5" a="1"/>
  <c r="AG542" i="5" s="1"/>
  <c r="L560" i="5"/>
  <c r="U542" i="5"/>
  <c r="D688" i="5"/>
  <c r="M688" i="5" s="1"/>
  <c r="L405" i="5"/>
  <c r="AG405" i="5" s="1" a="1"/>
  <c r="AG405" i="5" s="1"/>
  <c r="U387" i="5"/>
  <c r="D387" i="5"/>
  <c r="M387" i="5" s="1"/>
  <c r="U390" i="5"/>
  <c r="L408" i="5"/>
  <c r="AG408" i="5" s="1" a="1"/>
  <c r="AG408" i="5" s="1"/>
  <c r="U378" i="5"/>
  <c r="L396" i="5"/>
  <c r="AG396" i="5" s="1" a="1"/>
  <c r="AG396" i="5" s="1"/>
  <c r="D378" i="5"/>
  <c r="M378" i="5" s="1"/>
  <c r="L399" i="5"/>
  <c r="AG399" i="5" s="1" a="1"/>
  <c r="AG399" i="5" s="1"/>
  <c r="U381" i="5"/>
  <c r="D381" i="5"/>
  <c r="M381" i="5" s="1"/>
  <c r="U384" i="5"/>
  <c r="D384" i="5"/>
  <c r="M384" i="5" s="1"/>
  <c r="L402" i="5"/>
  <c r="AG402" i="5" s="1" a="1"/>
  <c r="AG402" i="5" s="1"/>
  <c r="U375" i="5"/>
  <c r="L393" i="5"/>
  <c r="D375" i="5"/>
  <c r="M375" i="5" s="1"/>
  <c r="D390" i="5"/>
  <c r="M390" i="5" s="1"/>
  <c r="L557" i="5" l="1"/>
  <c r="AG539" i="5" a="1"/>
  <c r="AG539" i="5" s="1"/>
  <c r="U539" i="5"/>
  <c r="AG393" i="5" a="1"/>
  <c r="AG393" i="5" s="1"/>
  <c r="D400" i="5"/>
  <c r="M400" i="5" s="1"/>
  <c r="D395" i="5"/>
  <c r="M395" i="5" s="1"/>
  <c r="D407" i="5"/>
  <c r="M407" i="5" s="1"/>
  <c r="D401" i="5"/>
  <c r="M401" i="5" s="1"/>
  <c r="D394" i="5"/>
  <c r="M394" i="5" s="1"/>
  <c r="D403" i="5"/>
  <c r="M403" i="5" s="1"/>
  <c r="D409" i="5"/>
  <c r="M409" i="5" s="1"/>
  <c r="D398" i="5"/>
  <c r="M398" i="5" s="1"/>
  <c r="D406" i="5"/>
  <c r="M406" i="5" s="1"/>
  <c r="D404" i="5"/>
  <c r="M404" i="5" s="1"/>
  <c r="D397" i="5"/>
  <c r="M397" i="5" s="1"/>
  <c r="D410" i="5"/>
  <c r="M410" i="5" s="1"/>
  <c r="AG544" i="5" a="1"/>
  <c r="AG544" i="5" s="1"/>
  <c r="L562" i="5"/>
  <c r="U544" i="5"/>
  <c r="AG563" i="5" a="1"/>
  <c r="AG563" i="5" s="1"/>
  <c r="L581" i="5"/>
  <c r="U563" i="5"/>
  <c r="AG550" i="5" a="1"/>
  <c r="AG550" i="5" s="1"/>
  <c r="L568" i="5"/>
  <c r="U550" i="5"/>
  <c r="U566" i="5"/>
  <c r="AG566" i="5" a="1"/>
  <c r="AG566" i="5" s="1"/>
  <c r="L584" i="5"/>
  <c r="AG538" i="5" a="1"/>
  <c r="AG538" i="5" s="1"/>
  <c r="L556" i="5"/>
  <c r="U538" i="5"/>
  <c r="U560" i="5"/>
  <c r="L578" i="5"/>
  <c r="AG560" i="5" a="1"/>
  <c r="AG560" i="5" s="1"/>
  <c r="AG572" i="5" a="1"/>
  <c r="AG572" i="5" s="1"/>
  <c r="L590" i="5"/>
  <c r="U572" i="5"/>
  <c r="AG547" i="5" a="1"/>
  <c r="AG547" i="5" s="1"/>
  <c r="L565" i="5"/>
  <c r="U547" i="5"/>
  <c r="AG551" i="5" a="1"/>
  <c r="AG551" i="5" s="1"/>
  <c r="L569" i="5"/>
  <c r="U551" i="5"/>
  <c r="AG541" i="5" a="1"/>
  <c r="AG541" i="5" s="1"/>
  <c r="L559" i="5"/>
  <c r="U541" i="5"/>
  <c r="AG571" i="5" a="1"/>
  <c r="AG571" i="5" s="1"/>
  <c r="L589" i="5"/>
  <c r="U571" i="5"/>
  <c r="D689" i="5"/>
  <c r="M689" i="5" s="1"/>
  <c r="L426" i="5"/>
  <c r="AG426" i="5" s="1" a="1"/>
  <c r="AG426" i="5" s="1"/>
  <c r="U408" i="5"/>
  <c r="L417" i="5"/>
  <c r="AG417" i="5" s="1" a="1"/>
  <c r="AG417" i="5" s="1"/>
  <c r="U399" i="5"/>
  <c r="D399" i="5"/>
  <c r="M399" i="5" s="1"/>
  <c r="L420" i="5"/>
  <c r="AG420" i="5" s="1" a="1"/>
  <c r="AG420" i="5" s="1"/>
  <c r="U402" i="5"/>
  <c r="D402" i="5"/>
  <c r="M402" i="5" s="1"/>
  <c r="D393" i="5"/>
  <c r="M393" i="5" s="1"/>
  <c r="L411" i="5"/>
  <c r="U393" i="5"/>
  <c r="D405" i="5"/>
  <c r="M405" i="5" s="1"/>
  <c r="L423" i="5"/>
  <c r="AG423" i="5" s="1" a="1"/>
  <c r="AG423" i="5" s="1"/>
  <c r="U405" i="5"/>
  <c r="L414" i="5"/>
  <c r="AG414" i="5" s="1" a="1"/>
  <c r="AG414" i="5" s="1"/>
  <c r="D396" i="5"/>
  <c r="M396" i="5" s="1"/>
  <c r="U396" i="5"/>
  <c r="D408" i="5"/>
  <c r="M408" i="5" s="1"/>
  <c r="U557" i="5" l="1"/>
  <c r="AG557" i="5" a="1"/>
  <c r="AG557" i="5" s="1"/>
  <c r="L575" i="5"/>
  <c r="AG411" i="5" a="1"/>
  <c r="AG411" i="5" s="1"/>
  <c r="D412" i="5"/>
  <c r="M412" i="5" s="1"/>
  <c r="D415" i="5"/>
  <c r="M415" i="5" s="1"/>
  <c r="D418" i="5"/>
  <c r="M418" i="5" s="1"/>
  <c r="D416" i="5"/>
  <c r="M416" i="5" s="1"/>
  <c r="D419" i="5"/>
  <c r="M419" i="5" s="1"/>
  <c r="D421" i="5"/>
  <c r="M421" i="5" s="1"/>
  <c r="D427" i="5"/>
  <c r="M427" i="5" s="1"/>
  <c r="D424" i="5"/>
  <c r="M424" i="5" s="1"/>
  <c r="D428" i="5"/>
  <c r="M428" i="5" s="1"/>
  <c r="D425" i="5"/>
  <c r="M425" i="5" s="1"/>
  <c r="D413" i="5"/>
  <c r="M413" i="5" s="1"/>
  <c r="D422" i="5"/>
  <c r="M422" i="5" s="1"/>
  <c r="AG562" i="5" a="1"/>
  <c r="AG562" i="5" s="1"/>
  <c r="L580" i="5"/>
  <c r="U562" i="5"/>
  <c r="U565" i="5"/>
  <c r="AG565" i="5" a="1"/>
  <c r="AG565" i="5" s="1"/>
  <c r="L583" i="5"/>
  <c r="AG568" i="5" a="1"/>
  <c r="AG568" i="5" s="1"/>
  <c r="L586" i="5"/>
  <c r="U568" i="5"/>
  <c r="AG569" i="5" a="1"/>
  <c r="AG569" i="5" s="1"/>
  <c r="L587" i="5"/>
  <c r="U569" i="5"/>
  <c r="AG578" i="5" a="1"/>
  <c r="AG578" i="5" s="1"/>
  <c r="L596" i="5"/>
  <c r="U578" i="5"/>
  <c r="AG589" i="5" a="1"/>
  <c r="AG589" i="5" s="1"/>
  <c r="L607" i="5"/>
  <c r="U589" i="5"/>
  <c r="L577" i="5"/>
  <c r="AG559" i="5" a="1"/>
  <c r="AG559" i="5" s="1"/>
  <c r="U559" i="5"/>
  <c r="AG590" i="5" a="1"/>
  <c r="AG590" i="5" s="1"/>
  <c r="L608" i="5"/>
  <c r="U590" i="5"/>
  <c r="AG556" i="5" a="1"/>
  <c r="AG556" i="5" s="1"/>
  <c r="L574" i="5"/>
  <c r="U556" i="5"/>
  <c r="AG584" i="5" a="1"/>
  <c r="AG584" i="5" s="1"/>
  <c r="L602" i="5"/>
  <c r="U584" i="5"/>
  <c r="AG581" i="5" a="1"/>
  <c r="AG581" i="5" s="1"/>
  <c r="L599" i="5"/>
  <c r="U581" i="5"/>
  <c r="D690" i="5"/>
  <c r="M690" i="5" s="1"/>
  <c r="L435" i="5"/>
  <c r="AG435" i="5" s="1" a="1"/>
  <c r="AG435" i="5" s="1"/>
  <c r="U417" i="5"/>
  <c r="D417" i="5"/>
  <c r="M417" i="5" s="1"/>
  <c r="L429" i="5"/>
  <c r="D411" i="5"/>
  <c r="M411" i="5" s="1"/>
  <c r="U411" i="5"/>
  <c r="U420" i="5"/>
  <c r="L438" i="5"/>
  <c r="AG438" i="5" s="1" a="1"/>
  <c r="AG438" i="5" s="1"/>
  <c r="D420" i="5"/>
  <c r="M420" i="5" s="1"/>
  <c r="L444" i="5"/>
  <c r="AG444" i="5" s="1" a="1"/>
  <c r="AG444" i="5" s="1"/>
  <c r="U426" i="5"/>
  <c r="U414" i="5"/>
  <c r="L432" i="5"/>
  <c r="AG432" i="5" s="1" a="1"/>
  <c r="AG432" i="5" s="1"/>
  <c r="D414" i="5"/>
  <c r="M414" i="5" s="1"/>
  <c r="U423" i="5"/>
  <c r="L441" i="5"/>
  <c r="AG441" i="5" s="1" a="1"/>
  <c r="AG441" i="5" s="1"/>
  <c r="D423" i="5"/>
  <c r="M423" i="5" s="1"/>
  <c r="D426" i="5"/>
  <c r="M426" i="5" s="1"/>
  <c r="U575" i="5" l="1"/>
  <c r="AG575" i="5" a="1"/>
  <c r="AG575" i="5" s="1"/>
  <c r="L593" i="5"/>
  <c r="AG587" i="5" a="1"/>
  <c r="AG587" i="5" s="1"/>
  <c r="L605" i="5"/>
  <c r="U587" i="5"/>
  <c r="AG429" i="5" a="1"/>
  <c r="AG429" i="5" s="1"/>
  <c r="D437" i="5"/>
  <c r="M437" i="5" s="1"/>
  <c r="D442" i="5"/>
  <c r="M442" i="5" s="1"/>
  <c r="D446" i="5"/>
  <c r="M446" i="5" s="1"/>
  <c r="D433" i="5"/>
  <c r="M433" i="5" s="1"/>
  <c r="D440" i="5"/>
  <c r="M440" i="5" s="1"/>
  <c r="D445" i="5"/>
  <c r="M445" i="5" s="1"/>
  <c r="D431" i="5"/>
  <c r="M431" i="5" s="1"/>
  <c r="D436" i="5"/>
  <c r="M436" i="5" s="1"/>
  <c r="D443" i="5"/>
  <c r="M443" i="5" s="1"/>
  <c r="D434" i="5"/>
  <c r="M434" i="5" s="1"/>
  <c r="D430" i="5"/>
  <c r="M430" i="5" s="1"/>
  <c r="D439" i="5"/>
  <c r="M439" i="5" s="1"/>
  <c r="U583" i="5"/>
  <c r="AG583" i="5" a="1"/>
  <c r="AG583" i="5" s="1"/>
  <c r="L601" i="5"/>
  <c r="AG599" i="5" a="1"/>
  <c r="AG599" i="5" s="1"/>
  <c r="U599" i="5"/>
  <c r="AG577" i="5" a="1"/>
  <c r="AG577" i="5" s="1"/>
  <c r="L595" i="5"/>
  <c r="U577" i="5"/>
  <c r="AG602" i="5" a="1"/>
  <c r="AG602" i="5" s="1"/>
  <c r="U602" i="5"/>
  <c r="AG574" i="5" a="1"/>
  <c r="AG574" i="5" s="1"/>
  <c r="L592" i="5"/>
  <c r="U574" i="5"/>
  <c r="AG607" i="5" a="1"/>
  <c r="AG607" i="5" s="1"/>
  <c r="U607" i="5"/>
  <c r="AG586" i="5" a="1"/>
  <c r="AG586" i="5" s="1"/>
  <c r="L604" i="5"/>
  <c r="U586" i="5"/>
  <c r="AG608" i="5" a="1"/>
  <c r="AG608" i="5" s="1"/>
  <c r="U608" i="5"/>
  <c r="AG596" i="5" a="1"/>
  <c r="AG596" i="5" s="1"/>
  <c r="U596" i="5"/>
  <c r="AG580" i="5" a="1"/>
  <c r="AG580" i="5" s="1"/>
  <c r="L598" i="5"/>
  <c r="U580" i="5"/>
  <c r="D691" i="5"/>
  <c r="M691" i="5" s="1"/>
  <c r="L447" i="5"/>
  <c r="U429" i="5"/>
  <c r="D429" i="5"/>
  <c r="M429" i="5" s="1"/>
  <c r="D432" i="5"/>
  <c r="M432" i="5" s="1"/>
  <c r="L450" i="5"/>
  <c r="AG450" i="5" s="1" a="1"/>
  <c r="AG450" i="5" s="1"/>
  <c r="U432" i="5"/>
  <c r="L456" i="5"/>
  <c r="AG456" i="5" s="1" a="1"/>
  <c r="AG456" i="5" s="1"/>
  <c r="U438" i="5"/>
  <c r="D438" i="5"/>
  <c r="M438" i="5" s="1"/>
  <c r="U435" i="5"/>
  <c r="D435" i="5"/>
  <c r="M435" i="5" s="1"/>
  <c r="L453" i="5"/>
  <c r="AG453" i="5" s="1" a="1"/>
  <c r="AG453" i="5" s="1"/>
  <c r="L459" i="5"/>
  <c r="AG459" i="5" s="1" a="1"/>
  <c r="AG459" i="5" s="1"/>
  <c r="U441" i="5"/>
  <c r="D441" i="5"/>
  <c r="M441" i="5" s="1"/>
  <c r="U444" i="5"/>
  <c r="L462" i="5"/>
  <c r="AG462" i="5" s="1" a="1"/>
  <c r="AG462" i="5" s="1"/>
  <c r="D444" i="5"/>
  <c r="M444" i="5" s="1"/>
  <c r="AG593" i="5" l="1" a="1"/>
  <c r="AG593" i="5" s="1"/>
  <c r="U593" i="5"/>
  <c r="AG595" i="5" a="1"/>
  <c r="AG595" i="5" s="1"/>
  <c r="U595" i="5"/>
  <c r="AG592" i="5" a="1"/>
  <c r="AG592" i="5" s="1"/>
  <c r="U592" i="5"/>
  <c r="AG447" i="5" a="1"/>
  <c r="AG447" i="5" s="1"/>
  <c r="D449" i="5"/>
  <c r="M449" i="5" s="1"/>
  <c r="D452" i="5"/>
  <c r="M452" i="5" s="1"/>
  <c r="D455" i="5"/>
  <c r="M455" i="5" s="1"/>
  <c r="D464" i="5"/>
  <c r="M464" i="5" s="1"/>
  <c r="D458" i="5"/>
  <c r="M458" i="5" s="1"/>
  <c r="D463" i="5"/>
  <c r="M463" i="5" s="1"/>
  <c r="D454" i="5"/>
  <c r="M454" i="5" s="1"/>
  <c r="D461" i="5"/>
  <c r="M461" i="5" s="1"/>
  <c r="D451" i="5"/>
  <c r="M451" i="5" s="1"/>
  <c r="D457" i="5"/>
  <c r="M457" i="5" s="1"/>
  <c r="D448" i="5"/>
  <c r="M448" i="5" s="1"/>
  <c r="D460" i="5"/>
  <c r="M460" i="5" s="1"/>
  <c r="AG598" i="5" a="1"/>
  <c r="AG598" i="5" s="1"/>
  <c r="U598" i="5"/>
  <c r="AG604" i="5" a="1"/>
  <c r="AG604" i="5" s="1"/>
  <c r="U604" i="5"/>
  <c r="U601" i="5"/>
  <c r="AG601" i="5" a="1"/>
  <c r="AG601" i="5" s="1"/>
  <c r="AG605" i="5" a="1"/>
  <c r="AG605" i="5" s="1"/>
  <c r="U605" i="5"/>
  <c r="D692" i="5"/>
  <c r="M692" i="5" s="1"/>
  <c r="L468" i="5"/>
  <c r="AG468" i="5" s="1" a="1"/>
  <c r="AG468" i="5" s="1"/>
  <c r="U450" i="5"/>
  <c r="D450" i="5"/>
  <c r="M450" i="5" s="1"/>
  <c r="L471" i="5"/>
  <c r="AG471" i="5" s="1" a="1"/>
  <c r="AG471" i="5" s="1"/>
  <c r="U453" i="5"/>
  <c r="D453" i="5"/>
  <c r="M453" i="5" s="1"/>
  <c r="L480" i="5"/>
  <c r="AG480" i="5" s="1" a="1"/>
  <c r="AG480" i="5" s="1"/>
  <c r="U462" i="5"/>
  <c r="L477" i="5"/>
  <c r="AG477" i="5" s="1" a="1"/>
  <c r="AG477" i="5" s="1"/>
  <c r="U459" i="5"/>
  <c r="D459" i="5"/>
  <c r="M459" i="5" s="1"/>
  <c r="D447" i="5"/>
  <c r="M447" i="5" s="1"/>
  <c r="L465" i="5"/>
  <c r="U447" i="5"/>
  <c r="D456" i="5"/>
  <c r="M456" i="5" s="1"/>
  <c r="L474" i="5"/>
  <c r="AG474" i="5" s="1" a="1"/>
  <c r="AG474" i="5" s="1"/>
  <c r="U456" i="5"/>
  <c r="D462" i="5"/>
  <c r="M462" i="5" s="1"/>
  <c r="AG465" i="5" l="1" a="1"/>
  <c r="AG465" i="5" s="1"/>
  <c r="D467" i="5"/>
  <c r="M467" i="5" s="1"/>
  <c r="D476" i="5"/>
  <c r="M476" i="5" s="1"/>
  <c r="D473" i="5"/>
  <c r="M473" i="5" s="1"/>
  <c r="D481" i="5"/>
  <c r="M481" i="5" s="1"/>
  <c r="D482" i="5"/>
  <c r="M482" i="5" s="1"/>
  <c r="D470" i="5"/>
  <c r="M470" i="5" s="1"/>
  <c r="D469" i="5"/>
  <c r="M469" i="5" s="1"/>
  <c r="D472" i="5"/>
  <c r="M472" i="5" s="1"/>
  <c r="D466" i="5"/>
  <c r="M466" i="5" s="1"/>
  <c r="D475" i="5"/>
  <c r="M475" i="5" s="1"/>
  <c r="D479" i="5"/>
  <c r="M479" i="5" s="1"/>
  <c r="D478" i="5"/>
  <c r="M478" i="5" s="1"/>
  <c r="D693" i="5"/>
  <c r="M693" i="5" s="1"/>
  <c r="L495" i="5"/>
  <c r="AG495" i="5" s="1" a="1"/>
  <c r="AG495" i="5" s="1"/>
  <c r="D477" i="5"/>
  <c r="M477" i="5" s="1"/>
  <c r="U477" i="5"/>
  <c r="U474" i="5"/>
  <c r="L492" i="5"/>
  <c r="AG492" i="5" s="1" a="1"/>
  <c r="AG492" i="5" s="1"/>
  <c r="D474" i="5"/>
  <c r="M474" i="5" s="1"/>
  <c r="L486" i="5"/>
  <c r="AG486" i="5" s="1" a="1"/>
  <c r="AG486" i="5" s="1"/>
  <c r="D468" i="5"/>
  <c r="M468" i="5" s="1"/>
  <c r="U468" i="5"/>
  <c r="L498" i="5"/>
  <c r="AG498" i="5" s="1" a="1"/>
  <c r="AG498" i="5" s="1"/>
  <c r="U480" i="5"/>
  <c r="L483" i="5"/>
  <c r="U465" i="5"/>
  <c r="D465" i="5"/>
  <c r="M465" i="5" s="1"/>
  <c r="U471" i="5"/>
  <c r="D471" i="5"/>
  <c r="M471" i="5" s="1"/>
  <c r="L489" i="5"/>
  <c r="AG489" i="5" s="1" a="1"/>
  <c r="AG489" i="5" s="1"/>
  <c r="D480" i="5"/>
  <c r="M480" i="5" s="1"/>
  <c r="D485" i="5" l="1"/>
  <c r="M485" i="5" s="1"/>
  <c r="D488" i="5"/>
  <c r="M488" i="5" s="1"/>
  <c r="D494" i="5"/>
  <c r="M494" i="5" s="1"/>
  <c r="D500" i="5"/>
  <c r="M500" i="5" s="1"/>
  <c r="D499" i="5"/>
  <c r="M499" i="5" s="1"/>
  <c r="D491" i="5"/>
  <c r="M491" i="5" s="1"/>
  <c r="D490" i="5"/>
  <c r="M490" i="5" s="1"/>
  <c r="D484" i="5"/>
  <c r="M484" i="5" s="1"/>
  <c r="D497" i="5"/>
  <c r="M497" i="5" s="1"/>
  <c r="D496" i="5"/>
  <c r="M496" i="5" s="1"/>
  <c r="D487" i="5"/>
  <c r="M487" i="5" s="1"/>
  <c r="D493" i="5"/>
  <c r="M493" i="5" s="1"/>
  <c r="D694" i="5"/>
  <c r="M694" i="5" s="1"/>
  <c r="AG483" i="5" a="1"/>
  <c r="AG483" i="5" s="1"/>
  <c r="D483" i="5"/>
  <c r="M483" i="5" s="1"/>
  <c r="L501" i="5"/>
  <c r="U483" i="5"/>
  <c r="U492" i="5"/>
  <c r="D492" i="5"/>
  <c r="M492" i="5" s="1"/>
  <c r="L510" i="5"/>
  <c r="AG510" i="5" s="1" a="1"/>
  <c r="AG510" i="5" s="1"/>
  <c r="U498" i="5"/>
  <c r="L516" i="5"/>
  <c r="AG516" i="5" s="1" a="1"/>
  <c r="AG516" i="5" s="1"/>
  <c r="U489" i="5"/>
  <c r="L507" i="5"/>
  <c r="AG507" i="5" s="1" a="1"/>
  <c r="AG507" i="5" s="1"/>
  <c r="D489" i="5"/>
  <c r="M489" i="5" s="1"/>
  <c r="L513" i="5"/>
  <c r="AG513" i="5" s="1" a="1"/>
  <c r="AG513" i="5" s="1"/>
  <c r="U495" i="5"/>
  <c r="D495" i="5"/>
  <c r="M495" i="5" s="1"/>
  <c r="U486" i="5"/>
  <c r="D486" i="5"/>
  <c r="M486" i="5" s="1"/>
  <c r="L504" i="5"/>
  <c r="AG504" i="5" s="1" a="1"/>
  <c r="AG504" i="5" s="1"/>
  <c r="D498" i="5"/>
  <c r="M498" i="5" s="1"/>
  <c r="AG501" i="5" l="1" a="1"/>
  <c r="AG501" i="5" s="1"/>
  <c r="D503" i="5"/>
  <c r="M503" i="5" s="1"/>
  <c r="D512" i="5"/>
  <c r="M512" i="5" s="1"/>
  <c r="D509" i="5"/>
  <c r="M509" i="5" s="1"/>
  <c r="D517" i="5"/>
  <c r="M517" i="5" s="1"/>
  <c r="D506" i="5"/>
  <c r="M506" i="5" s="1"/>
  <c r="D518" i="5"/>
  <c r="M518" i="5" s="1"/>
  <c r="D511" i="5"/>
  <c r="M511" i="5" s="1"/>
  <c r="D515" i="5"/>
  <c r="M515" i="5" s="1"/>
  <c r="D505" i="5"/>
  <c r="M505" i="5" s="1"/>
  <c r="D514" i="5"/>
  <c r="M514" i="5" s="1"/>
  <c r="D502" i="5"/>
  <c r="M502" i="5" s="1"/>
  <c r="D508" i="5"/>
  <c r="M508" i="5" s="1"/>
  <c r="D695" i="5"/>
  <c r="M695" i="5" s="1"/>
  <c r="D504" i="5"/>
  <c r="M504" i="5" s="1"/>
  <c r="L522" i="5"/>
  <c r="AG522" i="5" s="1" a="1"/>
  <c r="AG522" i="5" s="1"/>
  <c r="U504" i="5"/>
  <c r="U516" i="5"/>
  <c r="L534" i="5"/>
  <c r="AG534" i="5" s="1" a="1"/>
  <c r="AG534" i="5" s="1"/>
  <c r="L519" i="5"/>
  <c r="U501" i="5"/>
  <c r="D501" i="5"/>
  <c r="M501" i="5" s="1"/>
  <c r="U513" i="5"/>
  <c r="L531" i="5"/>
  <c r="AG531" i="5" s="1" a="1"/>
  <c r="AG531" i="5" s="1"/>
  <c r="D513" i="5"/>
  <c r="M513" i="5" s="1"/>
  <c r="L525" i="5"/>
  <c r="AG525" i="5" s="1" a="1"/>
  <c r="AG525" i="5" s="1"/>
  <c r="D507" i="5"/>
  <c r="M507" i="5" s="1"/>
  <c r="U507" i="5"/>
  <c r="U510" i="5"/>
  <c r="L528" i="5"/>
  <c r="AG528" i="5" s="1" a="1"/>
  <c r="AG528" i="5" s="1"/>
  <c r="D510" i="5"/>
  <c r="M510" i="5" s="1"/>
  <c r="D516" i="5"/>
  <c r="M516" i="5" s="1"/>
  <c r="D521" i="5" l="1"/>
  <c r="M521" i="5" s="1"/>
  <c r="D527" i="5"/>
  <c r="M527" i="5" s="1"/>
  <c r="D524" i="5"/>
  <c r="M524" i="5" s="1"/>
  <c r="D536" i="5"/>
  <c r="M536" i="5" s="1"/>
  <c r="D535" i="5"/>
  <c r="M535" i="5" s="1"/>
  <c r="D530" i="5"/>
  <c r="M530" i="5" s="1"/>
  <c r="D533" i="5"/>
  <c r="M533" i="5" s="1"/>
  <c r="D523" i="5"/>
  <c r="M523" i="5" s="1"/>
  <c r="D529" i="5"/>
  <c r="M529" i="5" s="1"/>
  <c r="D520" i="5"/>
  <c r="M520" i="5" s="1"/>
  <c r="D532" i="5"/>
  <c r="M532" i="5" s="1"/>
  <c r="D526" i="5"/>
  <c r="M526" i="5" s="1"/>
  <c r="D696" i="5"/>
  <c r="M696" i="5" s="1"/>
  <c r="AG519" i="5" a="1"/>
  <c r="AG519" i="5" s="1"/>
  <c r="L552" i="5"/>
  <c r="AG552" i="5" s="1" a="1"/>
  <c r="AG552" i="5" s="1"/>
  <c r="U534" i="5"/>
  <c r="D525" i="5"/>
  <c r="M525" i="5" s="1"/>
  <c r="L543" i="5"/>
  <c r="AG543" i="5" s="1" a="1"/>
  <c r="AG543" i="5" s="1"/>
  <c r="U525" i="5"/>
  <c r="D522" i="5"/>
  <c r="M522" i="5" s="1"/>
  <c r="U522" i="5"/>
  <c r="L540" i="5"/>
  <c r="AG540" i="5" s="1" a="1"/>
  <c r="AG540" i="5" s="1"/>
  <c r="L546" i="5"/>
  <c r="AG546" i="5" s="1" a="1"/>
  <c r="AG546" i="5" s="1"/>
  <c r="D528" i="5"/>
  <c r="M528" i="5" s="1"/>
  <c r="U528" i="5"/>
  <c r="L549" i="5"/>
  <c r="AG549" i="5" s="1" a="1"/>
  <c r="AG549" i="5" s="1"/>
  <c r="D531" i="5"/>
  <c r="M531" i="5" s="1"/>
  <c r="U531" i="5"/>
  <c r="L537" i="5"/>
  <c r="U519" i="5"/>
  <c r="D519" i="5"/>
  <c r="M519" i="5" s="1"/>
  <c r="D534" i="5"/>
  <c r="M534" i="5" s="1"/>
  <c r="AG537" i="5" l="1" a="1"/>
  <c r="AG537" i="5" s="1"/>
  <c r="D539" i="5"/>
  <c r="M539" i="5" s="1"/>
  <c r="D553" i="5"/>
  <c r="M553" i="5" s="1"/>
  <c r="D554" i="5"/>
  <c r="M554" i="5" s="1"/>
  <c r="D548" i="5"/>
  <c r="M548" i="5" s="1"/>
  <c r="D545" i="5"/>
  <c r="M545" i="5" s="1"/>
  <c r="D542" i="5"/>
  <c r="M542" i="5" s="1"/>
  <c r="D551" i="5"/>
  <c r="M551" i="5" s="1"/>
  <c r="D538" i="5"/>
  <c r="M538" i="5" s="1"/>
  <c r="D541" i="5"/>
  <c r="M541" i="5" s="1"/>
  <c r="D544" i="5"/>
  <c r="M544" i="5" s="1"/>
  <c r="D550" i="5"/>
  <c r="M550" i="5" s="1"/>
  <c r="D547" i="5"/>
  <c r="M547" i="5" s="1"/>
  <c r="D697" i="5"/>
  <c r="M697" i="5" s="1"/>
  <c r="U537" i="5"/>
  <c r="D537" i="5"/>
  <c r="M537" i="5" s="1"/>
  <c r="L555" i="5"/>
  <c r="L561" i="5"/>
  <c r="AG561" i="5" s="1" a="1"/>
  <c r="AG561" i="5" s="1"/>
  <c r="U543" i="5"/>
  <c r="D543" i="5"/>
  <c r="M543" i="5" s="1"/>
  <c r="L564" i="5"/>
  <c r="AG564" i="5" s="1" a="1"/>
  <c r="AG564" i="5" s="1"/>
  <c r="U546" i="5"/>
  <c r="D546" i="5"/>
  <c r="M546" i="5" s="1"/>
  <c r="U552" i="5"/>
  <c r="L570" i="5"/>
  <c r="AG570" i="5" s="1" a="1"/>
  <c r="AG570" i="5" s="1"/>
  <c r="L567" i="5"/>
  <c r="AG567" i="5" s="1" a="1"/>
  <c r="AG567" i="5" s="1"/>
  <c r="D549" i="5"/>
  <c r="M549" i="5" s="1"/>
  <c r="U549" i="5"/>
  <c r="L558" i="5"/>
  <c r="AG558" i="5" s="1" a="1"/>
  <c r="AG558" i="5" s="1"/>
  <c r="U540" i="5"/>
  <c r="D540" i="5"/>
  <c r="M540" i="5" s="1"/>
  <c r="D552" i="5"/>
  <c r="M552" i="5" s="1"/>
  <c r="AG555" i="5" l="1" a="1"/>
  <c r="AG555" i="5" s="1"/>
  <c r="D557" i="5"/>
  <c r="M557" i="5" s="1"/>
  <c r="D560" i="5"/>
  <c r="M560" i="5" s="1"/>
  <c r="D566" i="5"/>
  <c r="M566" i="5" s="1"/>
  <c r="D572" i="5"/>
  <c r="M572" i="5" s="1"/>
  <c r="D571" i="5"/>
  <c r="M571" i="5" s="1"/>
  <c r="D563" i="5"/>
  <c r="M563" i="5" s="1"/>
  <c r="D562" i="5"/>
  <c r="M562" i="5" s="1"/>
  <c r="D565" i="5"/>
  <c r="M565" i="5" s="1"/>
  <c r="D568" i="5"/>
  <c r="M568" i="5" s="1"/>
  <c r="D556" i="5"/>
  <c r="M556" i="5" s="1"/>
  <c r="D569" i="5"/>
  <c r="M569" i="5" s="1"/>
  <c r="D559" i="5"/>
  <c r="M559" i="5" s="1"/>
  <c r="D698" i="5"/>
  <c r="M698" i="5" s="1"/>
  <c r="U564" i="5"/>
  <c r="D564" i="5"/>
  <c r="M564" i="5" s="1"/>
  <c r="L582" i="5"/>
  <c r="AG582" i="5" s="1" a="1"/>
  <c r="AG582" i="5" s="1"/>
  <c r="L573" i="5"/>
  <c r="D555" i="5"/>
  <c r="M555" i="5" s="1"/>
  <c r="U555" i="5"/>
  <c r="U570" i="5"/>
  <c r="L588" i="5"/>
  <c r="AG588" i="5" s="1" a="1"/>
  <c r="AG588" i="5" s="1"/>
  <c r="L585" i="5"/>
  <c r="AG585" i="5" s="1" a="1"/>
  <c r="AG585" i="5" s="1"/>
  <c r="D567" i="5"/>
  <c r="M567" i="5" s="1"/>
  <c r="U567" i="5"/>
  <c r="U561" i="5"/>
  <c r="L579" i="5"/>
  <c r="AG579" i="5" s="1" a="1"/>
  <c r="AG579" i="5" s="1"/>
  <c r="D561" i="5"/>
  <c r="M561" i="5" s="1"/>
  <c r="U558" i="5"/>
  <c r="L576" i="5"/>
  <c r="AG576" i="5" s="1" a="1"/>
  <c r="AG576" i="5" s="1"/>
  <c r="D558" i="5"/>
  <c r="M558" i="5" s="1"/>
  <c r="D570" i="5"/>
  <c r="M570" i="5" s="1"/>
  <c r="AG573" i="5" l="1" a="1"/>
  <c r="AG573" i="5" s="1"/>
  <c r="D575" i="5"/>
  <c r="M575" i="5" s="1"/>
  <c r="D589" i="5"/>
  <c r="M589" i="5" s="1"/>
  <c r="D578" i="5"/>
  <c r="M578" i="5" s="1"/>
  <c r="D590" i="5"/>
  <c r="M590" i="5" s="1"/>
  <c r="D584" i="5"/>
  <c r="M584" i="5" s="1"/>
  <c r="D581" i="5"/>
  <c r="M581" i="5" s="1"/>
  <c r="D574" i="5"/>
  <c r="M574" i="5" s="1"/>
  <c r="D577" i="5"/>
  <c r="M577" i="5" s="1"/>
  <c r="D583" i="5"/>
  <c r="M583" i="5" s="1"/>
  <c r="D587" i="5"/>
  <c r="M587" i="5" s="1"/>
  <c r="D580" i="5"/>
  <c r="M580" i="5" s="1"/>
  <c r="D586" i="5"/>
  <c r="M586" i="5" s="1"/>
  <c r="D699" i="5"/>
  <c r="M699" i="5" s="1"/>
  <c r="U588" i="5"/>
  <c r="L606" i="5"/>
  <c r="AG606" i="5" s="1" a="1"/>
  <c r="AG606" i="5" s="1"/>
  <c r="L597" i="5"/>
  <c r="AG597" i="5" s="1" a="1"/>
  <c r="AG597" i="5" s="1"/>
  <c r="U579" i="5"/>
  <c r="D579" i="5"/>
  <c r="M579" i="5" s="1"/>
  <c r="L594" i="5"/>
  <c r="AG594" i="5" s="1" a="1"/>
  <c r="AG594" i="5" s="1"/>
  <c r="U576" i="5"/>
  <c r="D576" i="5"/>
  <c r="M576" i="5" s="1"/>
  <c r="L603" i="5"/>
  <c r="AG603" i="5" s="1" a="1"/>
  <c r="AG603" i="5" s="1"/>
  <c r="U585" i="5"/>
  <c r="D585" i="5"/>
  <c r="M585" i="5" s="1"/>
  <c r="D573" i="5"/>
  <c r="M573" i="5" s="1"/>
  <c r="L591" i="5"/>
  <c r="U573" i="5"/>
  <c r="L600" i="5"/>
  <c r="AG600" i="5" s="1" a="1"/>
  <c r="AG600" i="5" s="1"/>
  <c r="D582" i="5"/>
  <c r="M582" i="5" s="1"/>
  <c r="U582" i="5"/>
  <c r="D588" i="5"/>
  <c r="M588" i="5" s="1"/>
  <c r="D593" i="5" l="1"/>
  <c r="M593" i="5" s="1"/>
  <c r="D596" i="5"/>
  <c r="M596" i="5" s="1"/>
  <c r="D602" i="5"/>
  <c r="M602" i="5" s="1"/>
  <c r="D607" i="5"/>
  <c r="M607" i="5" s="1"/>
  <c r="D599" i="5"/>
  <c r="M599" i="5" s="1"/>
  <c r="D608" i="5"/>
  <c r="M608" i="5" s="1"/>
  <c r="D601" i="5"/>
  <c r="M601" i="5" s="1"/>
  <c r="D605" i="5"/>
  <c r="M605" i="5" s="1"/>
  <c r="D595" i="5"/>
  <c r="M595" i="5" s="1"/>
  <c r="D598" i="5"/>
  <c r="M598" i="5" s="1"/>
  <c r="D604" i="5"/>
  <c r="M604" i="5" s="1"/>
  <c r="D592" i="5"/>
  <c r="M592" i="5" s="1"/>
  <c r="D700" i="5"/>
  <c r="M700" i="5" s="1"/>
  <c r="AG591" i="5" a="1"/>
  <c r="AG591" i="5" s="1"/>
  <c r="D597" i="5"/>
  <c r="M597" i="5" s="1"/>
  <c r="U597" i="5"/>
  <c r="U594" i="5"/>
  <c r="D594" i="5"/>
  <c r="M594" i="5" s="1"/>
  <c r="D591" i="5"/>
  <c r="M591" i="5" s="1"/>
  <c r="U591" i="5"/>
  <c r="U606" i="5"/>
  <c r="U600" i="5"/>
  <c r="D600" i="5"/>
  <c r="M600" i="5" s="1"/>
  <c r="D603" i="5"/>
  <c r="M603" i="5" s="1"/>
  <c r="U603" i="5"/>
  <c r="D606" i="5"/>
  <c r="M606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2" authorId="0" shapeId="0" xr:uid="{532012B8-4D64-42A4-9A57-E7B6ECCC221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0 = </t>
        </r>
        <r>
          <rPr>
            <sz val="9"/>
            <color indexed="81"/>
            <rFont val="돋움"/>
            <family val="3"/>
            <charset val="129"/>
          </rPr>
          <t xml:space="preserve">주무기
</t>
        </r>
        <r>
          <rPr>
            <sz val="9"/>
            <color indexed="81"/>
            <rFont val="Tahoma"/>
            <family val="2"/>
          </rPr>
          <t xml:space="preserve">1 = </t>
        </r>
        <r>
          <rPr>
            <sz val="9"/>
            <color indexed="81"/>
            <rFont val="돋움"/>
            <family val="3"/>
            <charset val="129"/>
          </rPr>
          <t xml:space="preserve">보조무기
</t>
        </r>
        <r>
          <rPr>
            <sz val="9"/>
            <color indexed="81"/>
            <rFont val="Tahoma"/>
            <family val="2"/>
          </rPr>
          <t xml:space="preserve">2 = </t>
        </r>
        <r>
          <rPr>
            <sz val="9"/>
            <color indexed="81"/>
            <rFont val="돋움"/>
            <family val="3"/>
            <charset val="129"/>
          </rPr>
          <t xml:space="preserve">머리
</t>
        </r>
        <r>
          <rPr>
            <sz val="9"/>
            <color indexed="81"/>
            <rFont val="Tahoma"/>
            <family val="2"/>
          </rPr>
          <t xml:space="preserve">3 = </t>
        </r>
        <r>
          <rPr>
            <sz val="9"/>
            <color indexed="81"/>
            <rFont val="돋움"/>
            <family val="3"/>
            <charset val="129"/>
          </rPr>
          <t xml:space="preserve">상의
</t>
        </r>
        <r>
          <rPr>
            <sz val="9"/>
            <color indexed="81"/>
            <rFont val="Tahoma"/>
            <family val="2"/>
          </rPr>
          <t xml:space="preserve">4 = </t>
        </r>
        <r>
          <rPr>
            <sz val="9"/>
            <color indexed="81"/>
            <rFont val="돋움"/>
            <family val="3"/>
            <charset val="129"/>
          </rPr>
          <t xml:space="preserve">보조방어구
</t>
        </r>
        <r>
          <rPr>
            <sz val="9"/>
            <color indexed="81"/>
            <rFont val="Tahoma"/>
            <family val="2"/>
          </rPr>
          <t xml:space="preserve">5 = </t>
        </r>
        <r>
          <rPr>
            <sz val="9"/>
            <color indexed="81"/>
            <rFont val="돋움"/>
            <family val="3"/>
            <charset val="129"/>
          </rPr>
          <t xml:space="preserve">하의
</t>
        </r>
        <r>
          <rPr>
            <sz val="9"/>
            <color indexed="81"/>
            <rFont val="Tahoma"/>
            <family val="2"/>
          </rPr>
          <t xml:space="preserve">6 = </t>
        </r>
        <r>
          <rPr>
            <sz val="9"/>
            <color indexed="81"/>
            <rFont val="돋움"/>
            <family val="3"/>
            <charset val="129"/>
          </rPr>
          <t xml:space="preserve">신발
</t>
        </r>
        <r>
          <rPr>
            <sz val="9"/>
            <color indexed="81"/>
            <rFont val="Tahoma"/>
            <family val="2"/>
          </rPr>
          <t xml:space="preserve">7 = </t>
        </r>
        <r>
          <rPr>
            <sz val="9"/>
            <color indexed="81"/>
            <rFont val="돋움"/>
            <family val="3"/>
            <charset val="129"/>
          </rPr>
          <t xml:space="preserve">장갑
</t>
        </r>
        <r>
          <rPr>
            <sz val="9"/>
            <color indexed="81"/>
            <rFont val="Tahoma"/>
            <family val="2"/>
          </rPr>
          <t xml:space="preserve">8 = </t>
        </r>
        <r>
          <rPr>
            <sz val="9"/>
            <color indexed="81"/>
            <rFont val="돋움"/>
            <family val="3"/>
            <charset val="129"/>
          </rPr>
          <t xml:space="preserve">목걸이
</t>
        </r>
        <r>
          <rPr>
            <sz val="9"/>
            <color indexed="81"/>
            <rFont val="Tahoma"/>
            <family val="2"/>
          </rPr>
          <t xml:space="preserve">9 = </t>
        </r>
        <r>
          <rPr>
            <sz val="9"/>
            <color indexed="81"/>
            <rFont val="돋움"/>
            <family val="3"/>
            <charset val="129"/>
          </rPr>
          <t>반지</t>
        </r>
      </text>
    </comment>
    <comment ref="G2" authorId="0" shapeId="0" xr:uid="{8E007034-E4C5-45BF-A19D-926D661DA02C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0 = </t>
        </r>
        <r>
          <rPr>
            <sz val="9"/>
            <color indexed="81"/>
            <rFont val="돋움"/>
            <family val="3"/>
            <charset val="129"/>
          </rPr>
          <t xml:space="preserve">주무기
</t>
        </r>
        <r>
          <rPr>
            <sz val="9"/>
            <color indexed="81"/>
            <rFont val="Tahoma"/>
            <family val="2"/>
          </rPr>
          <t xml:space="preserve">1 = </t>
        </r>
        <r>
          <rPr>
            <sz val="9"/>
            <color indexed="81"/>
            <rFont val="돋움"/>
            <family val="3"/>
            <charset val="129"/>
          </rPr>
          <t xml:space="preserve">보조무기
</t>
        </r>
        <r>
          <rPr>
            <sz val="9"/>
            <color indexed="81"/>
            <rFont val="Tahoma"/>
            <family val="2"/>
          </rPr>
          <t xml:space="preserve">2 = </t>
        </r>
        <r>
          <rPr>
            <sz val="9"/>
            <color indexed="81"/>
            <rFont val="돋움"/>
            <family val="3"/>
            <charset val="129"/>
          </rPr>
          <t xml:space="preserve">머리
</t>
        </r>
        <r>
          <rPr>
            <sz val="9"/>
            <color indexed="81"/>
            <rFont val="Tahoma"/>
            <family val="2"/>
          </rPr>
          <t xml:space="preserve">3 = </t>
        </r>
        <r>
          <rPr>
            <sz val="9"/>
            <color indexed="81"/>
            <rFont val="돋움"/>
            <family val="3"/>
            <charset val="129"/>
          </rPr>
          <t xml:space="preserve">상의
</t>
        </r>
        <r>
          <rPr>
            <sz val="9"/>
            <color indexed="81"/>
            <rFont val="Tahoma"/>
            <family val="2"/>
          </rPr>
          <t xml:space="preserve">4 = </t>
        </r>
        <r>
          <rPr>
            <sz val="9"/>
            <color indexed="81"/>
            <rFont val="돋움"/>
            <family val="3"/>
            <charset val="129"/>
          </rPr>
          <t xml:space="preserve">보조방어구
</t>
        </r>
        <r>
          <rPr>
            <sz val="9"/>
            <color indexed="81"/>
            <rFont val="Tahoma"/>
            <family val="2"/>
          </rPr>
          <t xml:space="preserve">5 = </t>
        </r>
        <r>
          <rPr>
            <sz val="9"/>
            <color indexed="81"/>
            <rFont val="돋움"/>
            <family val="3"/>
            <charset val="129"/>
          </rPr>
          <t xml:space="preserve">하의
</t>
        </r>
        <r>
          <rPr>
            <sz val="9"/>
            <color indexed="81"/>
            <rFont val="Tahoma"/>
            <family val="2"/>
          </rPr>
          <t xml:space="preserve">6 = </t>
        </r>
        <r>
          <rPr>
            <sz val="9"/>
            <color indexed="81"/>
            <rFont val="돋움"/>
            <family val="3"/>
            <charset val="129"/>
          </rPr>
          <t xml:space="preserve">신발
</t>
        </r>
        <r>
          <rPr>
            <sz val="9"/>
            <color indexed="81"/>
            <rFont val="Tahoma"/>
            <family val="2"/>
          </rPr>
          <t xml:space="preserve">7 = </t>
        </r>
        <r>
          <rPr>
            <sz val="9"/>
            <color indexed="81"/>
            <rFont val="돋움"/>
            <family val="3"/>
            <charset val="129"/>
          </rPr>
          <t xml:space="preserve">장갑
</t>
        </r>
        <r>
          <rPr>
            <sz val="9"/>
            <color indexed="81"/>
            <rFont val="Tahoma"/>
            <family val="2"/>
          </rPr>
          <t xml:space="preserve">8 = </t>
        </r>
        <r>
          <rPr>
            <sz val="9"/>
            <color indexed="81"/>
            <rFont val="돋움"/>
            <family val="3"/>
            <charset val="129"/>
          </rPr>
          <t xml:space="preserve">목걸이
</t>
        </r>
        <r>
          <rPr>
            <sz val="9"/>
            <color indexed="81"/>
            <rFont val="Tahoma"/>
            <family val="2"/>
          </rPr>
          <t xml:space="preserve">9 = </t>
        </r>
        <r>
          <rPr>
            <sz val="9"/>
            <color indexed="81"/>
            <rFont val="돋움"/>
            <family val="3"/>
            <charset val="129"/>
          </rPr>
          <t>반지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G2" authorId="0" shapeId="0" xr:uid="{4E2EC2D9-A83F-45F7-8E35-227CB3192B34}">
      <text>
        <r>
          <rPr>
            <b/>
            <sz val="9"/>
            <color indexed="81"/>
            <rFont val="돋움"/>
            <family val="3"/>
            <charset val="129"/>
          </rPr>
          <t>강현욱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= </t>
        </r>
        <r>
          <rPr>
            <sz val="9"/>
            <color indexed="81"/>
            <rFont val="돋움"/>
            <family val="3"/>
            <charset val="129"/>
          </rPr>
          <t xml:space="preserve">주무기
</t>
        </r>
        <r>
          <rPr>
            <sz val="9"/>
            <color indexed="81"/>
            <rFont val="Tahoma"/>
            <family val="2"/>
          </rPr>
          <t xml:space="preserve">1 = </t>
        </r>
        <r>
          <rPr>
            <sz val="9"/>
            <color indexed="81"/>
            <rFont val="돋움"/>
            <family val="3"/>
            <charset val="129"/>
          </rPr>
          <t xml:space="preserve">보조무기
</t>
        </r>
        <r>
          <rPr>
            <sz val="9"/>
            <color indexed="81"/>
            <rFont val="Tahoma"/>
            <family val="2"/>
          </rPr>
          <t xml:space="preserve">2 = </t>
        </r>
        <r>
          <rPr>
            <sz val="9"/>
            <color indexed="81"/>
            <rFont val="돋움"/>
            <family val="3"/>
            <charset val="129"/>
          </rPr>
          <t xml:space="preserve">머리
</t>
        </r>
        <r>
          <rPr>
            <sz val="9"/>
            <color indexed="81"/>
            <rFont val="Tahoma"/>
            <family val="2"/>
          </rPr>
          <t xml:space="preserve">3 = </t>
        </r>
        <r>
          <rPr>
            <sz val="9"/>
            <color indexed="81"/>
            <rFont val="돋움"/>
            <family val="3"/>
            <charset val="129"/>
          </rPr>
          <t xml:space="preserve">상의
</t>
        </r>
        <r>
          <rPr>
            <sz val="9"/>
            <color indexed="81"/>
            <rFont val="Tahoma"/>
            <family val="2"/>
          </rPr>
          <t xml:space="preserve">4 = </t>
        </r>
        <r>
          <rPr>
            <sz val="9"/>
            <color indexed="81"/>
            <rFont val="돋움"/>
            <family val="3"/>
            <charset val="129"/>
          </rPr>
          <t xml:space="preserve">보조방어구
</t>
        </r>
        <r>
          <rPr>
            <sz val="9"/>
            <color indexed="81"/>
            <rFont val="Tahoma"/>
            <family val="2"/>
          </rPr>
          <t xml:space="preserve">5 = </t>
        </r>
        <r>
          <rPr>
            <sz val="9"/>
            <color indexed="81"/>
            <rFont val="돋움"/>
            <family val="3"/>
            <charset val="129"/>
          </rPr>
          <t xml:space="preserve">하의
</t>
        </r>
        <r>
          <rPr>
            <sz val="9"/>
            <color indexed="81"/>
            <rFont val="Tahoma"/>
            <family val="2"/>
          </rPr>
          <t xml:space="preserve">6 = </t>
        </r>
        <r>
          <rPr>
            <sz val="9"/>
            <color indexed="81"/>
            <rFont val="돋움"/>
            <family val="3"/>
            <charset val="129"/>
          </rPr>
          <t xml:space="preserve">신발
</t>
        </r>
        <r>
          <rPr>
            <sz val="9"/>
            <color indexed="81"/>
            <rFont val="Tahoma"/>
            <family val="2"/>
          </rPr>
          <t xml:space="preserve">7 = </t>
        </r>
        <r>
          <rPr>
            <sz val="9"/>
            <color indexed="81"/>
            <rFont val="돋움"/>
            <family val="3"/>
            <charset val="129"/>
          </rPr>
          <t xml:space="preserve">목걸이
</t>
        </r>
        <r>
          <rPr>
            <sz val="9"/>
            <color indexed="81"/>
            <rFont val="Tahoma"/>
            <family val="2"/>
          </rPr>
          <t xml:space="preserve">8 = </t>
        </r>
        <r>
          <rPr>
            <sz val="9"/>
            <color indexed="81"/>
            <rFont val="돋움"/>
            <family val="3"/>
            <charset val="129"/>
          </rPr>
          <t xml:space="preserve">반지
</t>
        </r>
        <r>
          <rPr>
            <sz val="9"/>
            <color indexed="81"/>
            <rFont val="Tahoma"/>
            <family val="2"/>
          </rPr>
          <t xml:space="preserve">9 = </t>
        </r>
        <r>
          <rPr>
            <sz val="9"/>
            <color indexed="81"/>
            <rFont val="돋움"/>
            <family val="3"/>
            <charset val="129"/>
          </rPr>
          <t xml:space="preserve">장갑
</t>
        </r>
        <r>
          <rPr>
            <sz val="9"/>
            <color indexed="81"/>
            <rFont val="Tahoma"/>
            <family val="2"/>
          </rPr>
          <t xml:space="preserve">100 = </t>
        </r>
        <r>
          <rPr>
            <sz val="9"/>
            <color indexed="81"/>
            <rFont val="돋움"/>
            <family val="3"/>
            <charset val="129"/>
          </rPr>
          <t>스피릿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주무기
</t>
        </r>
        <r>
          <rPr>
            <sz val="9"/>
            <color indexed="81"/>
            <rFont val="Tahoma"/>
            <family val="2"/>
          </rPr>
          <t xml:space="preserve">101 = </t>
        </r>
        <r>
          <rPr>
            <sz val="9"/>
            <color indexed="81"/>
            <rFont val="돋움"/>
            <family val="3"/>
            <charset val="129"/>
          </rPr>
          <t>스피릿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보조무기
</t>
        </r>
        <r>
          <rPr>
            <sz val="9"/>
            <color indexed="81"/>
            <rFont val="Tahoma"/>
            <family val="2"/>
          </rPr>
          <t xml:space="preserve">102 = </t>
        </r>
        <r>
          <rPr>
            <sz val="9"/>
            <color indexed="81"/>
            <rFont val="돋움"/>
            <family val="3"/>
            <charset val="129"/>
          </rPr>
          <t>스피릿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머리
</t>
        </r>
        <r>
          <rPr>
            <sz val="9"/>
            <color indexed="81"/>
            <rFont val="Tahoma"/>
            <family val="2"/>
          </rPr>
          <t xml:space="preserve">103 = </t>
        </r>
        <r>
          <rPr>
            <sz val="9"/>
            <color indexed="81"/>
            <rFont val="돋움"/>
            <family val="3"/>
            <charset val="129"/>
          </rPr>
          <t>스피릿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상의
</t>
        </r>
        <r>
          <rPr>
            <sz val="9"/>
            <color indexed="81"/>
            <rFont val="Tahoma"/>
            <family val="2"/>
          </rPr>
          <t xml:space="preserve">104 = </t>
        </r>
        <r>
          <rPr>
            <sz val="9"/>
            <color indexed="81"/>
            <rFont val="돋움"/>
            <family val="3"/>
            <charset val="129"/>
          </rPr>
          <t>스피릿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보조방어구
</t>
        </r>
        <r>
          <rPr>
            <sz val="9"/>
            <color indexed="81"/>
            <rFont val="Tahoma"/>
            <family val="2"/>
          </rPr>
          <t xml:space="preserve">105 = </t>
        </r>
        <r>
          <rPr>
            <sz val="9"/>
            <color indexed="81"/>
            <rFont val="돋움"/>
            <family val="3"/>
            <charset val="129"/>
          </rPr>
          <t>스피릿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하의
</t>
        </r>
        <r>
          <rPr>
            <sz val="9"/>
            <color indexed="81"/>
            <rFont val="Tahoma"/>
            <family val="2"/>
          </rPr>
          <t xml:space="preserve">106 = </t>
        </r>
        <r>
          <rPr>
            <sz val="9"/>
            <color indexed="81"/>
            <rFont val="돋움"/>
            <family val="3"/>
            <charset val="129"/>
          </rPr>
          <t>스피릿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신발
</t>
        </r>
        <r>
          <rPr>
            <sz val="9"/>
            <color indexed="81"/>
            <rFont val="Tahoma"/>
            <family val="2"/>
          </rPr>
          <t xml:space="preserve">107 = </t>
        </r>
        <r>
          <rPr>
            <sz val="9"/>
            <color indexed="81"/>
            <rFont val="돋움"/>
            <family val="3"/>
            <charset val="129"/>
          </rPr>
          <t>스피릿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목걸이
</t>
        </r>
        <r>
          <rPr>
            <sz val="9"/>
            <color indexed="81"/>
            <rFont val="Tahoma"/>
            <family val="2"/>
          </rPr>
          <t xml:space="preserve">108 = </t>
        </r>
        <r>
          <rPr>
            <sz val="9"/>
            <color indexed="81"/>
            <rFont val="돋움"/>
            <family val="3"/>
            <charset val="129"/>
          </rPr>
          <t>스피릿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반지
</t>
        </r>
        <r>
          <rPr>
            <sz val="9"/>
            <color indexed="81"/>
            <rFont val="Tahoma"/>
            <family val="2"/>
          </rPr>
          <t xml:space="preserve">109 = </t>
        </r>
        <r>
          <rPr>
            <sz val="9"/>
            <color indexed="81"/>
            <rFont val="돋움"/>
            <family val="3"/>
            <charset val="129"/>
          </rPr>
          <t>스피릿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장갑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<sst xmlns="http://schemas.openxmlformats.org/spreadsheetml/2006/main" count="7631" uniqueCount="2695">
  <si>
    <t>IndexingCharType</t>
    <phoneticPr fontId="1" type="noConversion"/>
  </si>
  <si>
    <t>IndexingType</t>
    <phoneticPr fontId="1" type="noConversion"/>
  </si>
  <si>
    <t>StatusID</t>
    <phoneticPr fontId="1" type="noConversion"/>
  </si>
  <si>
    <t>id</t>
  </si>
  <si>
    <t>Int</t>
  </si>
  <si>
    <t>Item_category</t>
    <phoneticPr fontId="1" type="noConversion"/>
  </si>
  <si>
    <t>eng_Name</t>
    <phoneticPr fontId="1" type="noConversion"/>
  </si>
  <si>
    <t>Jop</t>
    <phoneticPr fontId="1" type="noConversion"/>
  </si>
  <si>
    <t>Group</t>
    <phoneticPr fontId="1" type="noConversion"/>
  </si>
  <si>
    <t>Job_ID</t>
    <phoneticPr fontId="1" type="noConversion"/>
  </si>
  <si>
    <t>WeaponName</t>
    <phoneticPr fontId="1" type="noConversion"/>
  </si>
  <si>
    <t>eng_Name</t>
    <phoneticPr fontId="1" type="noConversion"/>
  </si>
  <si>
    <t>일반</t>
    <phoneticPr fontId="1" type="noConversion"/>
  </si>
  <si>
    <t>일반</t>
    <phoneticPr fontId="1" type="noConversion"/>
  </si>
  <si>
    <t>ID</t>
    <phoneticPr fontId="1" type="noConversion"/>
  </si>
  <si>
    <t>name_kor</t>
  </si>
  <si>
    <t>Max_Value</t>
    <phoneticPr fontId="1" type="noConversion"/>
  </si>
  <si>
    <t>Min_Value</t>
    <phoneticPr fontId="1" type="noConversion"/>
  </si>
  <si>
    <t>item_category</t>
  </si>
  <si>
    <t>머리</t>
    <phoneticPr fontId="1" type="noConversion"/>
  </si>
  <si>
    <t>레이드</t>
    <phoneticPr fontId="1" type="noConversion"/>
  </si>
  <si>
    <t>고급</t>
    <phoneticPr fontId="1" type="noConversion"/>
  </si>
  <si>
    <t>상의</t>
    <phoneticPr fontId="1" type="noConversion"/>
  </si>
  <si>
    <t>특수</t>
    <phoneticPr fontId="1" type="noConversion"/>
  </si>
  <si>
    <t>하의</t>
    <phoneticPr fontId="1" type="noConversion"/>
  </si>
  <si>
    <t>신발</t>
    <phoneticPr fontId="1" type="noConversion"/>
  </si>
  <si>
    <t>job</t>
  </si>
  <si>
    <t>보조방어구</t>
    <phoneticPr fontId="1" type="noConversion"/>
  </si>
  <si>
    <t>주무기</t>
    <phoneticPr fontId="1" type="noConversion"/>
  </si>
  <si>
    <t>보조무기</t>
    <phoneticPr fontId="1" type="noConversion"/>
  </si>
  <si>
    <t>atkdmg_min</t>
  </si>
  <si>
    <t>목걸이</t>
    <phoneticPr fontId="1" type="noConversion"/>
  </si>
  <si>
    <t>atkdmg_max</t>
  </si>
  <si>
    <t>반지R</t>
    <phoneticPr fontId="1" type="noConversion"/>
  </si>
  <si>
    <t>option_main_type</t>
  </si>
  <si>
    <t>반지L</t>
    <phoneticPr fontId="1" type="noConversion"/>
  </si>
  <si>
    <t>randoption_cost</t>
  </si>
  <si>
    <t>point_hud</t>
  </si>
  <si>
    <t>point_grip_r</t>
  </si>
  <si>
    <t>exp_id</t>
  </si>
  <si>
    <t>머리</t>
    <phoneticPr fontId="1" type="noConversion"/>
  </si>
  <si>
    <t>point_grip_l</t>
  </si>
  <si>
    <t>하의</t>
    <phoneticPr fontId="1" type="noConversion"/>
  </si>
  <si>
    <t>maxlv</t>
  </si>
  <si>
    <t>보조방어구</t>
    <phoneticPr fontId="1" type="noConversion"/>
  </si>
  <si>
    <t>point_subarmor</t>
    <phoneticPr fontId="1" type="noConversion"/>
  </si>
  <si>
    <t>point_weapon</t>
  </si>
  <si>
    <t>point_weaponbay01</t>
  </si>
  <si>
    <t>point_subweapon</t>
  </si>
  <si>
    <t>point_weaponbay02</t>
  </si>
  <si>
    <t>Color_Variation</t>
  </si>
  <si>
    <t>목걸이</t>
    <phoneticPr fontId="1" type="noConversion"/>
  </si>
  <si>
    <t>기준값</t>
  </si>
  <si>
    <t>공식</t>
    <phoneticPr fontId="1" type="noConversion"/>
  </si>
  <si>
    <t>- 최종 출혈 피해 = 기본 초당 데미지 *  ( 기본값% + 출혈 피해 추가&lt;확률&gt;% ) * ( 출혈 피해 감소&lt;확류&gt; %)</t>
    <phoneticPr fontId="1" type="noConversion"/>
  </si>
  <si>
    <t>-출혈 버프시 최종 확률 = 출혈 확률(11006)&lt;확률&gt; - 출혈 저항(11106) &lt;확률임&gt;</t>
    <phoneticPr fontId="1" type="noConversion"/>
  </si>
  <si>
    <t>Item_Group</t>
  </si>
  <si>
    <t>Item_Group_Sub</t>
  </si>
  <si>
    <t>ItemTable_Group</t>
  </si>
  <si>
    <t>Enchant_Item_Idx</t>
  </si>
  <si>
    <t>Enchant_ProtectItem_Idx</t>
  </si>
  <si>
    <t>PlusEnchant_Rate_Idx</t>
  </si>
  <si>
    <t>Enchant_GuardItem_Idx</t>
  </si>
  <si>
    <t>Item_Variety</t>
  </si>
  <si>
    <t>MMO_Buff</t>
  </si>
  <si>
    <t>Sub_Name</t>
  </si>
  <si>
    <t>Warehouse_Use</t>
  </si>
  <si>
    <t>costume_point</t>
  </si>
  <si>
    <t>Transcendence_Condition_Type</t>
  </si>
  <si>
    <t>Transcendence_Rate</t>
  </si>
  <si>
    <t>Transcendence_Rate_Item_Idx</t>
  </si>
  <si>
    <t>Transcendence_Protect_Item_Idx</t>
  </si>
  <si>
    <t>Transcendable_Rank_Min</t>
  </si>
  <si>
    <t>Transcendable_Rank_Max</t>
  </si>
  <si>
    <t>Not_Equip_Rate</t>
  </si>
  <si>
    <t>Message_Notification</t>
  </si>
  <si>
    <t>Transcendence_Level</t>
  </si>
  <si>
    <t>Disassemble_Item</t>
  </si>
  <si>
    <t>Disassemble_Count_Min</t>
  </si>
  <si>
    <t>Disassemble_Count_Max</t>
  </si>
  <si>
    <t>NeedTrade_Greenruby</t>
  </si>
  <si>
    <t>불칸</t>
    <phoneticPr fontId="1" type="noConversion"/>
  </si>
  <si>
    <t>휴먼</t>
    <phoneticPr fontId="1" type="noConversion"/>
  </si>
  <si>
    <t>카이립톤</t>
    <phoneticPr fontId="1" type="noConversion"/>
  </si>
  <si>
    <t>에이디아</t>
    <phoneticPr fontId="1" type="noConversion"/>
  </si>
  <si>
    <t>도끼</t>
    <phoneticPr fontId="1" type="noConversion"/>
  </si>
  <si>
    <t>소총</t>
    <phoneticPr fontId="1" type="noConversion"/>
  </si>
  <si>
    <t>지팡이</t>
    <phoneticPr fontId="1" type="noConversion"/>
  </si>
  <si>
    <t>링</t>
    <phoneticPr fontId="1" type="noConversion"/>
  </si>
  <si>
    <t>Bulkan</t>
    <phoneticPr fontId="1" type="noConversion"/>
  </si>
  <si>
    <t>Human</t>
    <phoneticPr fontId="1" type="noConversion"/>
  </si>
  <si>
    <t>Kailipton</t>
    <phoneticPr fontId="1" type="noConversion"/>
  </si>
  <si>
    <t>Aidia</t>
    <phoneticPr fontId="1" type="noConversion"/>
  </si>
  <si>
    <t>힘</t>
    <phoneticPr fontId="1" type="noConversion"/>
  </si>
  <si>
    <t>지혜</t>
    <phoneticPr fontId="1" type="noConversion"/>
  </si>
  <si>
    <t>기민성</t>
    <phoneticPr fontId="1" type="noConversion"/>
  </si>
  <si>
    <t>체질</t>
    <phoneticPr fontId="1" type="noConversion"/>
  </si>
  <si>
    <t>통솔력</t>
    <phoneticPr fontId="1" type="noConversion"/>
  </si>
  <si>
    <t>최소 공격력</t>
    <phoneticPr fontId="1" type="noConversion"/>
  </si>
  <si>
    <t>최대 공격력</t>
    <phoneticPr fontId="1" type="noConversion"/>
  </si>
  <si>
    <t>최소 대미지 (일반)</t>
  </si>
  <si>
    <t>최소 대미지 (물리)</t>
    <phoneticPr fontId="1" type="noConversion"/>
  </si>
  <si>
    <t>최소 대미지 (마법)</t>
    <phoneticPr fontId="1" type="noConversion"/>
  </si>
  <si>
    <t>최대 대미지 (일반)</t>
  </si>
  <si>
    <t>최대 대미지 (물리)</t>
  </si>
  <si>
    <t>최대 대미지 (마법)</t>
  </si>
  <si>
    <t>PK 대미지 배율</t>
    <phoneticPr fontId="1" type="noConversion"/>
  </si>
  <si>
    <t>치명타 대미지 배율</t>
    <phoneticPr fontId="1" type="noConversion"/>
  </si>
  <si>
    <t>치명타 발생 확률</t>
    <phoneticPr fontId="1" type="noConversion"/>
  </si>
  <si>
    <t>방어력 (전체)</t>
    <phoneticPr fontId="1" type="noConversion"/>
  </si>
  <si>
    <t>방어력 (물리)</t>
    <phoneticPr fontId="1" type="noConversion"/>
  </si>
  <si>
    <t>방어력 (마법)</t>
    <phoneticPr fontId="1" type="noConversion"/>
  </si>
  <si>
    <t>블락 확률</t>
    <phoneticPr fontId="1" type="noConversion"/>
  </si>
  <si>
    <t>블락 피해감소</t>
    <phoneticPr fontId="1" type="noConversion"/>
  </si>
  <si>
    <t>명중률</t>
    <phoneticPr fontId="1" type="noConversion"/>
  </si>
  <si>
    <t>체력</t>
  </si>
  <si>
    <t>스테미너</t>
    <phoneticPr fontId="1" type="noConversion"/>
  </si>
  <si>
    <t>전기력</t>
    <phoneticPr fontId="1" type="noConversion"/>
  </si>
  <si>
    <t>마나</t>
    <phoneticPr fontId="1" type="noConversion"/>
  </si>
  <si>
    <t>체력 재생(5초당)</t>
    <phoneticPr fontId="1" type="noConversion"/>
  </si>
  <si>
    <t>스테미너 재생(5초당)</t>
    <phoneticPr fontId="1" type="noConversion"/>
  </si>
  <si>
    <t>전기력 재생(5초당)</t>
    <phoneticPr fontId="1" type="noConversion"/>
  </si>
  <si>
    <t>마나 재생(5초당)</t>
    <phoneticPr fontId="1" type="noConversion"/>
  </si>
  <si>
    <t>공격 속도</t>
    <phoneticPr fontId="1" type="noConversion"/>
  </si>
  <si>
    <t>스킬 시전 속도</t>
    <phoneticPr fontId="1" type="noConversion"/>
  </si>
  <si>
    <t>이동 속도</t>
    <phoneticPr fontId="1" type="noConversion"/>
  </si>
  <si>
    <t>채집 속도</t>
    <phoneticPr fontId="1" type="noConversion"/>
  </si>
  <si>
    <t>상성배율_인간형</t>
    <phoneticPr fontId="1" type="noConversion"/>
  </si>
  <si>
    <t>상성배율_악마형</t>
  </si>
  <si>
    <t>상성배율_기계형</t>
  </si>
  <si>
    <t>상성배율_언데드형</t>
  </si>
  <si>
    <t>상성배율_야수형</t>
  </si>
  <si>
    <t>속성 대미지_화염</t>
  </si>
  <si>
    <t>속성 대미지_빙결</t>
  </si>
  <si>
    <t>속성 대미지_바람</t>
  </si>
  <si>
    <t>속성 대미지_대지</t>
  </si>
  <si>
    <t>속성 대미지_전격</t>
  </si>
  <si>
    <t>속성 대미지_중독</t>
    <phoneticPr fontId="1" type="noConversion"/>
  </si>
  <si>
    <t>속성 대미지 저항_화염</t>
  </si>
  <si>
    <t>속성 대미지 저항_빙결</t>
  </si>
  <si>
    <t>속성 대미지 저항_바람</t>
  </si>
  <si>
    <t>속성 대미지 저항_대지</t>
  </si>
  <si>
    <t>속성 대미지 저항_전격</t>
  </si>
  <si>
    <t>속성 대미지 저항_중독</t>
    <phoneticPr fontId="1" type="noConversion"/>
  </si>
  <si>
    <t>상태 이상 저항_기절</t>
  </si>
  <si>
    <t>상태 이상 저항_공포</t>
  </si>
  <si>
    <t>상태 이상 저항_혼란</t>
  </si>
  <si>
    <t>상태 이상 저항_실명</t>
  </si>
  <si>
    <t>상태 이상 저항_침묵</t>
  </si>
  <si>
    <t>상태 이상 저항_둔화</t>
  </si>
  <si>
    <t>상태 이상 저항_출혈</t>
  </si>
  <si>
    <t>상태 이상 저항_감전</t>
  </si>
  <si>
    <t>상태 이상 저항_석화</t>
  </si>
  <si>
    <t>상태 이상 저항_내상</t>
  </si>
  <si>
    <t>상태 이상 저항_약화</t>
    <phoneticPr fontId="1" type="noConversion"/>
  </si>
  <si>
    <t>상태 이상 저항_쇠약</t>
    <phoneticPr fontId="1" type="noConversion"/>
  </si>
  <si>
    <t>상태 이상 저항_방전</t>
  </si>
  <si>
    <t>채집 자원 추가 획득확률</t>
    <phoneticPr fontId="1" type="noConversion"/>
  </si>
  <si>
    <t>획득 경험치 배율</t>
    <phoneticPr fontId="1" type="noConversion"/>
  </si>
  <si>
    <t>획득 금화 배율</t>
  </si>
  <si>
    <t>아이템 획득 확률</t>
    <phoneticPr fontId="1" type="noConversion"/>
  </si>
  <si>
    <t>PK 당할경우 아이템 드랍 방지 확률</t>
    <phoneticPr fontId="1" type="noConversion"/>
  </si>
  <si>
    <t>PK 당할경우 혈석 약탈 방지 확률</t>
    <phoneticPr fontId="1" type="noConversion"/>
  </si>
  <si>
    <t>정수(스피릿 구슬) 획득 확률</t>
    <phoneticPr fontId="1" type="noConversion"/>
  </si>
  <si>
    <t>스피릿(스피릿 게이지) 획득 확률</t>
    <phoneticPr fontId="1" type="noConversion"/>
  </si>
  <si>
    <t>value</t>
  </si>
  <si>
    <t>value</t>
    <phoneticPr fontId="1" type="noConversion"/>
  </si>
  <si>
    <t>r10000</t>
    <phoneticPr fontId="1" type="noConversion"/>
  </si>
  <si>
    <t>r10000</t>
    <phoneticPr fontId="1" type="noConversion"/>
  </si>
  <si>
    <t>value</t>
    <phoneticPr fontId="1" type="noConversion"/>
  </si>
  <si>
    <t>Type</t>
    <phoneticPr fontId="1" type="noConversion"/>
  </si>
  <si>
    <t>item_bg_grade_01</t>
  </si>
  <si>
    <t>불칸 액스 002</t>
  </si>
  <si>
    <t>불칸 액스 003</t>
  </si>
  <si>
    <t>휴먼 라이플 002</t>
  </si>
  <si>
    <t>휴먼 라이플 003</t>
  </si>
  <si>
    <t>불칸 헬멧 002</t>
  </si>
  <si>
    <t>불칸 헬멧 003</t>
  </si>
  <si>
    <t>휴먼 바이저 002</t>
  </si>
  <si>
    <t>휴먼 바이저 003</t>
  </si>
  <si>
    <t>휴먼 슈트 001</t>
  </si>
  <si>
    <t>휴먼 슈트 002</t>
  </si>
  <si>
    <t>휴먼 슈트 003</t>
  </si>
  <si>
    <t>불칸 아머 001</t>
  </si>
  <si>
    <t>불칸 아머 002</t>
  </si>
  <si>
    <t>불칸 아머 003</t>
  </si>
  <si>
    <t>불칸 언더아머 002</t>
  </si>
  <si>
    <t>불칸 언더아머 003</t>
  </si>
  <si>
    <t>휴먼 언더슈트 002</t>
  </si>
  <si>
    <t>휴먼 언더슈트 003</t>
  </si>
  <si>
    <t>불칸 부츠 002</t>
  </si>
  <si>
    <t>불칸 부츠 003</t>
  </si>
  <si>
    <t>휴먼 부츠 002</t>
  </si>
  <si>
    <t>휴먼 부츠 003</t>
  </si>
  <si>
    <t>불칸 쉴드 002</t>
  </si>
  <si>
    <t>불칸 쉴드 003</t>
  </si>
  <si>
    <t>휴먼 쉴드 002</t>
  </si>
  <si>
    <t>휴먼 쉴드 003</t>
  </si>
  <si>
    <t>불칸 소드 002</t>
  </si>
  <si>
    <t>불칸 소드 003</t>
  </si>
  <si>
    <t>type</t>
    <phoneticPr fontId="1" type="noConversion"/>
  </si>
  <si>
    <t>스피릿</t>
    <phoneticPr fontId="1" type="noConversion"/>
  </si>
  <si>
    <t>스피릿 머리</t>
    <phoneticPr fontId="1" type="noConversion"/>
  </si>
  <si>
    <t>스피릿 상의</t>
    <phoneticPr fontId="1" type="noConversion"/>
  </si>
  <si>
    <t>스피릿 하의</t>
    <phoneticPr fontId="1" type="noConversion"/>
  </si>
  <si>
    <t>스피릿 신발</t>
    <phoneticPr fontId="1" type="noConversion"/>
  </si>
  <si>
    <t>스피릿 보조방어구</t>
    <phoneticPr fontId="1" type="noConversion"/>
  </si>
  <si>
    <t>스피릿 주무기</t>
    <phoneticPr fontId="1" type="noConversion"/>
  </si>
  <si>
    <t>스피릿 보조무기</t>
    <phoneticPr fontId="1" type="noConversion"/>
  </si>
  <si>
    <t>스피릿 목걸이</t>
    <phoneticPr fontId="1" type="noConversion"/>
  </si>
  <si>
    <t>* 인벤 탭-장비 에 모두 들어감</t>
    <phoneticPr fontId="1" type="noConversion"/>
  </si>
  <si>
    <t>Equipments</t>
    <phoneticPr fontId="1" type="noConversion"/>
  </si>
  <si>
    <t>장비</t>
    <phoneticPr fontId="1" type="noConversion"/>
  </si>
  <si>
    <t>Inventory type</t>
    <phoneticPr fontId="1" type="noConversion"/>
  </si>
  <si>
    <t>단계별 증가량 설정 공식(이거 뭐임?)</t>
    <phoneticPr fontId="1" type="noConversion"/>
  </si>
  <si>
    <t>Item Grade</t>
    <phoneticPr fontId="1" type="noConversion"/>
  </si>
  <si>
    <t>휴먼 스피릿 쉴드 002</t>
  </si>
  <si>
    <t>휴먼 스피릿 쉴드 003</t>
  </si>
  <si>
    <t>휴먼 스피릿 쉴드 004</t>
  </si>
  <si>
    <t>equip_weapon_main_b_0001</t>
  </si>
  <si>
    <t>equip_weapon_main_h_0001</t>
  </si>
  <si>
    <t>equip_weapon_main_h_0007</t>
  </si>
  <si>
    <t>equip_weapon_sub_b_0001</t>
  </si>
  <si>
    <t>equip_weapon_sub_h_0001</t>
  </si>
  <si>
    <t>equip_weapon_sub_h_0007</t>
  </si>
  <si>
    <t>equip_head_h_0005</t>
  </si>
  <si>
    <t>equip_head_h_0006</t>
  </si>
  <si>
    <t>equip_head_h_0007</t>
  </si>
  <si>
    <t>equip_upper_h_0005</t>
  </si>
  <si>
    <t>equip_upper_h_0006</t>
  </si>
  <si>
    <t>equip_upper_h_0007</t>
  </si>
  <si>
    <t>equip_lower_h_0007</t>
  </si>
  <si>
    <t>equip_boots_b_0001</t>
  </si>
  <si>
    <t>equip_boots_h_0001</t>
  </si>
  <si>
    <t>equip_boots_h_0007</t>
  </si>
  <si>
    <t>equip_subarmor_b_0001</t>
  </si>
  <si>
    <t>equip_subarmor_h_0001</t>
  </si>
  <si>
    <t>equip_subarmor_h_0007</t>
  </si>
  <si>
    <t>equip_necklace_0001</t>
  </si>
  <si>
    <t>equip_necklace_0002</t>
  </si>
  <si>
    <t>equip_necklace_0003</t>
  </si>
  <si>
    <t>equip_necklace_0004</t>
  </si>
  <si>
    <t>equip_necklace_0005</t>
  </si>
  <si>
    <t>equip_necklace_0006</t>
  </si>
  <si>
    <t>equip_necklace_0007</t>
  </si>
  <si>
    <t>equip_necklace_0008</t>
  </si>
  <si>
    <t>equip_necklace_0009</t>
  </si>
  <si>
    <t>equip_ring_0001</t>
  </si>
  <si>
    <t>equip_ring_0002</t>
  </si>
  <si>
    <t>equip_ring_0003</t>
  </si>
  <si>
    <t>equip_ring_0004</t>
  </si>
  <si>
    <t>equip_ring_0005</t>
  </si>
  <si>
    <t>equip_ring_0006</t>
  </si>
  <si>
    <t>equip_ring_0007</t>
  </si>
  <si>
    <t>equip_ring_0008</t>
  </si>
  <si>
    <t>equip_ring_0009</t>
  </si>
  <si>
    <t>item_bg_grade_02</t>
  </si>
  <si>
    <t>item_bg_grade_03</t>
  </si>
  <si>
    <t>Add_Disassemble_Item</t>
  </si>
  <si>
    <t>Add_Disassemble_Count_Min</t>
  </si>
  <si>
    <t>Add_Disassemble_Count_Max</t>
  </si>
  <si>
    <t>gacha_Display_Grade</t>
  </si>
  <si>
    <t>Safe_Enchant_Grade</t>
  </si>
  <si>
    <t>Apply_Option1_EnchantLevel</t>
  </si>
  <si>
    <t>Apply_Option2_EnchantLevel</t>
  </si>
  <si>
    <t>Apply_Option3_EnchantLevel</t>
  </si>
  <si>
    <t>Restore_Switch</t>
  </si>
  <si>
    <t>As_Disassemble_Item</t>
  </si>
  <si>
    <t>As_Disassemble_Count_Min</t>
  </si>
  <si>
    <t>As_Disassemble_Count_Max</t>
  </si>
  <si>
    <t>Use_NFT</t>
  </si>
  <si>
    <t>Use_NftValue01</t>
  </si>
  <si>
    <t>Use_NftValue02</t>
  </si>
  <si>
    <t>Use_NftValue03</t>
  </si>
  <si>
    <t>Use_PublicItem</t>
  </si>
  <si>
    <t>UnEquipItem_Desc</t>
  </si>
  <si>
    <t>Fix_MetaData</t>
  </si>
  <si>
    <t>RandOptionCostCashB</t>
  </si>
  <si>
    <t>휴먼맨몸_주 무기</t>
  </si>
  <si>
    <t>휴먼맨몸_보조무기</t>
  </si>
  <si>
    <t>휴먼맨몸_머리</t>
  </si>
  <si>
    <t>휴먼맨몸_상의</t>
  </si>
  <si>
    <t>휴먼맨몸_하의</t>
  </si>
  <si>
    <t>휴먼맨몸_신발</t>
  </si>
  <si>
    <t>휴먼맨몸_보조</t>
  </si>
  <si>
    <t>카이립톤맨몸_주 무기</t>
  </si>
  <si>
    <t>카이립톤맨몸_보조무기</t>
  </si>
  <si>
    <t>카이립톤맨몸_머리</t>
  </si>
  <si>
    <t>카이립톤맨몸_상의</t>
  </si>
  <si>
    <t>카이립톤맨몸_하의</t>
  </si>
  <si>
    <t>카이립톤맨몸_신발</t>
  </si>
  <si>
    <t>카이립톤맨몸_보조</t>
  </si>
  <si>
    <t>에이디아맨몸_주 무기</t>
  </si>
  <si>
    <t>에이디아맨몸_보조무기</t>
  </si>
  <si>
    <t>에이디아맨몸_머리</t>
  </si>
  <si>
    <t>에이디아맨몸_상의</t>
  </si>
  <si>
    <t>에이디아맨몸_하의</t>
  </si>
  <si>
    <t>에이디아맨몸_신발</t>
  </si>
  <si>
    <t>에이디아맨몸_보조</t>
  </si>
  <si>
    <t>equip_weapon_main_k_0001</t>
  </si>
  <si>
    <t>equip_weapon_sub_k_0001</t>
  </si>
  <si>
    <t>equip_head_k_0001</t>
  </si>
  <si>
    <t>equip_upper_k_0001</t>
  </si>
  <si>
    <t>equip_subarmor_k_0001</t>
  </si>
  <si>
    <t>equip_lower_k_0001</t>
  </si>
  <si>
    <t>equip_boots_k_0001</t>
  </si>
  <si>
    <t>equip_weapon_main_a_0001</t>
  </si>
  <si>
    <t>equip_weapon_sub_a_0001</t>
  </si>
  <si>
    <t>equip_head_a_0001</t>
  </si>
  <si>
    <t>equip_upper_a_0001</t>
  </si>
  <si>
    <t>equip_subarmor_a_0001</t>
  </si>
  <si>
    <t>equip_lower_a_0001</t>
  </si>
  <si>
    <t>equip_boots_a_0001</t>
  </si>
  <si>
    <t>장갑</t>
    <phoneticPr fontId="1" type="noConversion"/>
  </si>
  <si>
    <t>반지</t>
    <phoneticPr fontId="1" type="noConversion"/>
  </si>
  <si>
    <t>스피릿 반지</t>
    <phoneticPr fontId="1" type="noConversion"/>
  </si>
  <si>
    <t>스피릿 장갑</t>
    <phoneticPr fontId="1" type="noConversion"/>
  </si>
  <si>
    <t>drop_weapon_b</t>
  </si>
  <si>
    <t>drop_weapon_h</t>
  </si>
  <si>
    <t>drop_sub_weapon_b</t>
  </si>
  <si>
    <t>drop_sub_weapon_h</t>
  </si>
  <si>
    <t>drop_armor_head</t>
  </si>
  <si>
    <t>drop_armor_upper</t>
  </si>
  <si>
    <t>drop_sub_armor_b</t>
  </si>
  <si>
    <t>drop_sub_armor_h</t>
  </si>
  <si>
    <t>drop_armor_lower</t>
  </si>
  <si>
    <t>drop_armor_boot</t>
  </si>
  <si>
    <t>drop_accessory_necklace</t>
  </si>
  <si>
    <t>drop_accessory_ring</t>
  </si>
  <si>
    <t>drop_item_weapon</t>
  </si>
  <si>
    <t>drop_item_sub_weapon</t>
  </si>
  <si>
    <t>drop_item_sub_armor</t>
  </si>
  <si>
    <t>option_group_id_2</t>
  </si>
  <si>
    <t>option_group_id_3</t>
  </si>
  <si>
    <t>option_group_id_4</t>
  </si>
  <si>
    <t>option_group_id_5</t>
  </si>
  <si>
    <t>option_group_id_6</t>
  </si>
  <si>
    <t>#</t>
  </si>
  <si>
    <t>인벤 탭 구분
카테고리
1 = 장비
색인을 위해서라도
쓰긴 써야겠음
어차피 여긴 다 장비니까
값은 모두 1임</t>
  </si>
  <si>
    <t>아이템 이름
텍스트 Key</t>
  </si>
  <si>
    <t>장착 종족
0 = 공용
그 외 = 종족 id</t>
  </si>
  <si>
    <t>메인 옵션
(주 무기/보조무기)
공격력 최소값</t>
  </si>
  <si>
    <t>메인 옵션
(주 무기/보조무기)
공격력 최대값</t>
  </si>
  <si>
    <t>메인 옵션
(무기 제외한 장비)
능력 타입
status id 작성</t>
  </si>
  <si>
    <t>메인 옵션
(무기 제외한 장비)
수치 값
status value</t>
  </si>
  <si>
    <t>서브 옵션 갱신 시
발생하는 비용 그룹 id
(용도 변경 및 칼럼이름 변경)
라임(골드), 캐쉬, 마일리지 등
다양한 재화로 서브 옵션을
갱신 할 수 있도록 하기위함
옵션 그룹 데이터로 이전</t>
  </si>
  <si>
    <t>판매 가격
(라임)</t>
  </si>
  <si>
    <t>아이템 최대 레벨
라그하임 M은
아이템 레벨 안씀</t>
  </si>
  <si>
    <t>장비강화 +n강
강화주문서 id 작성
서버에서 안씀</t>
  </si>
  <si>
    <t>장비강화 +n강
보호주문서 id 작성
보호주문서를 사용할 수 있는
아이템인가?
bool 값 처럼 사용한다고 함</t>
  </si>
  <si>
    <t>장비강화 +n강
확률up 주문서 id 작성
확률up 주문서를 사용할 수 있는
아이템인가?
Bool 값 처럼 사용한다고 함</t>
  </si>
  <si>
    <t>장비강화 +n강
파괴방지 주문서 id 작성
파괴방지 주문서를 사용할 수 있는
아이템인가?
Bool 값 처럼 사용한다고 함</t>
  </si>
  <si>
    <t>아이템 구분
1 = 일반 장비
2 = 경험치용 장비
3 = 판매용 장비
클라에서 구분하기 위한 필드 값</t>
  </si>
  <si>
    <t>대만용 창고 데이터
0 = 보관 가능
1 = 보관 불가</t>
  </si>
  <si>
    <t>코스튬 구분 칼럼
0 = 코스튬 X
1 = 코스튬 O
(나중에 능력따위 전혀없는
단순 이벤트 코스튬을 제작할 수
있으므로 일단 남겨둠)</t>
  </si>
  <si>
    <t>강화나 옵션 계승이 필요한 경우가 생긴다면
별도의 테이블 구조로 대응하겠음</t>
  </si>
  <si>
    <t>장착 장비가 아니라 보유하고만 있어도 
이 칼럼의 값만큼 기본 능력을 올려주는
장비템을 만들려고 해서 생긴 칼럼…인데
안쓰겠음. 인벤을 장비슬롯처럼 써서
인벤 부족하게 만드려는 모양인데…
현재 서비스 중에 감당을 못하고있음</t>
  </si>
  <si>
    <t>분해</t>
  </si>
  <si>
    <t>장비강화 +n강
안전권 설정 값
이거
인챈트 데이터로 이전</t>
  </si>
  <si>
    <t>NFT</t>
  </si>
  <si>
    <t>type</t>
  </si>
  <si>
    <t>option_main_value</t>
  </si>
  <si>
    <t>fx_grade</t>
  </si>
  <si>
    <t>drop_resource_icon</t>
  </si>
  <si>
    <t>drop_resource_prefab</t>
  </si>
  <si>
    <t>option_group_id_1</t>
  </si>
  <si>
    <t>setgroup_id</t>
  </si>
  <si>
    <t>sell_price</t>
  </si>
  <si>
    <t>sealed_type</t>
  </si>
  <si>
    <t>enchant_max</t>
  </si>
  <si>
    <t>[type]</t>
  </si>
  <si>
    <t>int</t>
  </si>
  <si>
    <t>불칸맨몸_주 무기</t>
  </si>
  <si>
    <t>불칸맨몸_보조무기</t>
  </si>
  <si>
    <t>불칸맨몸_머리</t>
  </si>
  <si>
    <t>equip_head_b_0001</t>
  </si>
  <si>
    <t>불칸맨몸_상의</t>
  </si>
  <si>
    <t>equip_upper_b_0001</t>
  </si>
  <si>
    <t>불칸맨몸_보조</t>
  </si>
  <si>
    <t>불칸맨몸_하의</t>
  </si>
  <si>
    <t>equip_lower_b_0001</t>
  </si>
  <si>
    <t>불칸맨몸_신발</t>
  </si>
  <si>
    <t>equip_head_h_0001</t>
  </si>
  <si>
    <t>equip_upper_h_0001</t>
  </si>
  <si>
    <t>equip_lower_h_0001</t>
  </si>
  <si>
    <t>불칸 액스 001</t>
  </si>
  <si>
    <t>equip_weapon_main_b_0002</t>
  </si>
  <si>
    <t>equip_weapon_main_b_0003</t>
  </si>
  <si>
    <t>휴먼 라이플 001</t>
  </si>
  <si>
    <t>equip_weapon_main_h_0002</t>
  </si>
  <si>
    <t>equip_weapon_main_h_0003</t>
  </si>
  <si>
    <t>불칸 소드 001</t>
  </si>
  <si>
    <t>equip_weapon_sub_b_0002</t>
  </si>
  <si>
    <t>equip_weapon_sub_b_0003</t>
  </si>
  <si>
    <t>휴먼 ARCA 001</t>
  </si>
  <si>
    <t>휴먼 ARCA 002</t>
  </si>
  <si>
    <t>equip_weapon_sub_h_0002</t>
  </si>
  <si>
    <t>휴먼 ARCA 003</t>
  </si>
  <si>
    <t>equip_weapon_sub_h_0003</t>
  </si>
  <si>
    <t>불칸 헬멧 001</t>
  </si>
  <si>
    <t>drop_item_armor</t>
  </si>
  <si>
    <t>equip_head_b_0002</t>
  </si>
  <si>
    <t>equip_head_b_0003</t>
  </si>
  <si>
    <t>휴먼 바이저 001</t>
  </si>
  <si>
    <t>equip_head_h_0002</t>
  </si>
  <si>
    <t>equip_head_h_0003</t>
  </si>
  <si>
    <t>equip_upper_b_0002</t>
  </si>
  <si>
    <t>equip_upper_b_0003</t>
  </si>
  <si>
    <t>equip_upper_h_0002</t>
  </si>
  <si>
    <t>equip_upper_h_0003</t>
  </si>
  <si>
    <t>불칸 쉴드 001</t>
  </si>
  <si>
    <t>equip_subarmor_b_0002</t>
  </si>
  <si>
    <t>equip_subarmor_b_0003</t>
  </si>
  <si>
    <t>휴먼 쉴드 001</t>
  </si>
  <si>
    <t>equip_subarmor_h_0002</t>
  </si>
  <si>
    <t>equip_subarmor_h_0003</t>
  </si>
  <si>
    <t>불칸 언더아머 001</t>
  </si>
  <si>
    <t>equip_lower_b_0002</t>
  </si>
  <si>
    <t>equip_lower_b_0003</t>
  </si>
  <si>
    <t>휴먼 언더슈트 001</t>
  </si>
  <si>
    <t>equip_lower_h_0002</t>
  </si>
  <si>
    <t>equip_lower_h_0003</t>
  </si>
  <si>
    <t>불칸 부츠 001</t>
  </si>
  <si>
    <t>equip_boots_b_0002</t>
  </si>
  <si>
    <t>equip_boots_b_0003</t>
  </si>
  <si>
    <t>휴먼 부츠 001</t>
  </si>
  <si>
    <t>equip_boots_h_0002</t>
  </si>
  <si>
    <t>equip_boots_h_0003</t>
  </si>
  <si>
    <t>힘의 목걸이</t>
  </si>
  <si>
    <t>drop_item_accessory</t>
  </si>
  <si>
    <t>기민성의 목걸이</t>
  </si>
  <si>
    <t>지혜의 목걸이</t>
  </si>
  <si>
    <t>체질의 목걸이</t>
  </si>
  <si>
    <t>통솔력의 목걸이</t>
  </si>
  <si>
    <t>체력의 목걸이</t>
  </si>
  <si>
    <t>스테미너의 목걸이</t>
  </si>
  <si>
    <t>전기력의 목걸이</t>
  </si>
  <si>
    <t>마나의 목걸이</t>
  </si>
  <si>
    <t>힘의 반지</t>
  </si>
  <si>
    <t>기민성의 반지</t>
  </si>
  <si>
    <t>지혜의 반지</t>
  </si>
  <si>
    <t>체질의 반지</t>
  </si>
  <si>
    <t>통솔력의 반지</t>
  </si>
  <si>
    <t>체력의 반지</t>
  </si>
  <si>
    <t>스테미너의 반지</t>
  </si>
  <si>
    <t>전기력의 반지</t>
  </si>
  <si>
    <t>마나의 반지</t>
  </si>
  <si>
    <t>불칸 스피릿 액스 001</t>
  </si>
  <si>
    <t>item_bg_grade_sp</t>
  </si>
  <si>
    <t>equip_weapon_main_h_0005</t>
  </si>
  <si>
    <t>equip_weapon_main_h_0006</t>
  </si>
  <si>
    <t>불칸 스피릿 소드 001</t>
  </si>
  <si>
    <t>equip_weapon_sub_h_0005</t>
  </si>
  <si>
    <t>equip_weapon_sub_h_0006</t>
  </si>
  <si>
    <t>불칸 스피릿 헬멧 001</t>
  </si>
  <si>
    <t>불칸 스피릿 아머 001</t>
  </si>
  <si>
    <t>불칸 스피릿 쉴드 001</t>
  </si>
  <si>
    <t>equip_subarmor_h_0005</t>
  </si>
  <si>
    <t>equip_subarmor_h_0006</t>
  </si>
  <si>
    <t>불칸 스피릿 언더아머 001</t>
  </si>
  <si>
    <t>equip_lower_h_0005</t>
  </si>
  <si>
    <t>equip_lower_h_0006</t>
  </si>
  <si>
    <t>불칸 스피릿 부츠 001</t>
  </si>
  <si>
    <t>equip_boots_h_0005</t>
  </si>
  <si>
    <t>equip_boots_h_0006</t>
  </si>
  <si>
    <r>
      <t xml:space="preserve">[LevelUpExp_Item] {ID} 값 적용
경험치 관련 ID
</t>
    </r>
    <r>
      <rPr>
        <b/>
        <sz val="9"/>
        <color rgb="FF000000"/>
        <rFont val="맑은 고딕"/>
        <family val="3"/>
        <charset val="129"/>
        <scheme val="major"/>
      </rPr>
      <t>라그하임M은
장비 경험치 없으므로 안씀
사용 안함</t>
    </r>
  </si>
  <si>
    <r>
      <t xml:space="preserve">아이콘 이미지 프리팹 명
</t>
    </r>
    <r>
      <rPr>
        <b/>
        <sz val="9"/>
        <color rgb="FFD0CECE"/>
        <rFont val="맑은 고딕"/>
        <family val="3"/>
        <charset val="129"/>
        <scheme val="major"/>
      </rPr>
      <t>사용 안함</t>
    </r>
    <r>
      <rPr>
        <b/>
        <sz val="9"/>
        <color rgb="FF000000"/>
        <rFont val="맑은 고딕"/>
        <family val="3"/>
        <charset val="129"/>
        <scheme val="major"/>
      </rPr>
      <t xml:space="preserve">
드랍 아이템 이펙트
이름 작성</t>
    </r>
  </si>
  <si>
    <r>
      <t xml:space="preserve">아이템 컬러 변경 값
아이템 파츠 스킨 컬러 베리에이션 파일 이름 작성
(텍스트 컬러 베리에이션 아님)
</t>
    </r>
    <r>
      <rPr>
        <b/>
        <sz val="9"/>
        <color rgb="FF000000"/>
        <rFont val="맑은 고딕"/>
        <family val="3"/>
        <charset val="129"/>
        <scheme val="major"/>
      </rPr>
      <t>안씀
이건 그냥 다른 아이템으로
id 부여하면 됨</t>
    </r>
  </si>
  <si>
    <t>세트 효과 적용
({0}을 제외한 동일한 Number = 링크)
setgroup_id 작성
세트옵션 그룹데이터 참조</t>
    <phoneticPr fontId="1" type="noConversion"/>
  </si>
  <si>
    <t>드랍 오브젝트 아이콘
이름 작성</t>
    <phoneticPr fontId="1" type="noConversion"/>
  </si>
  <si>
    <t>드랍 오브젝트 프리펩
이름 작성</t>
    <phoneticPr fontId="1" type="noConversion"/>
  </si>
  <si>
    <t>아이콘 배경 이미지
bg 리소스 이름 작성</t>
    <phoneticPr fontId="1" type="noConversion"/>
  </si>
  <si>
    <t>장비강화 +n강
최대값
이 값이 0이면
+n강 할 수 없음</t>
    <phoneticPr fontId="1" type="noConversion"/>
  </si>
  <si>
    <t>not-used</t>
    <phoneticPr fontId="1" type="noConversion"/>
  </si>
  <si>
    <t>string</t>
    <phoneticPr fontId="1" type="noConversion"/>
  </si>
  <si>
    <t>서브 옵션 그룹 id 1
옵션 그룹 데이터 참조</t>
    <phoneticPr fontId="1" type="noConversion"/>
  </si>
  <si>
    <t>서브 옵션 그룹 id 2
옵션 그룹 데이터 참조</t>
  </si>
  <si>
    <t>서브 옵션 그룹 id 3
옵션 그룹 데이터 참조</t>
  </si>
  <si>
    <t>서브 옵션 그룹 id 4
옵션 그룹 데이터 참조</t>
  </si>
  <si>
    <t>서브 옵션 그룹 id 5
옵션 그룹 데이터 참조</t>
  </si>
  <si>
    <t>서브 옵션 그룹 id 6
옵션 그룹 데이터 참조</t>
  </si>
  <si>
    <t>아이템 이름 (한글)
기획 참고용</t>
    <phoneticPr fontId="1" type="noConversion"/>
  </si>
  <si>
    <t>거래소 색인용
아이템 그룹 설정
id, 종족, 성별,
부위, 등급, 이름
등으로
색인할 수 있도록 함</t>
    <phoneticPr fontId="1" type="noConversion"/>
  </si>
  <si>
    <r>
      <rPr>
        <b/>
        <sz val="9"/>
        <color rgb="FF000000"/>
        <rFont val="맑은 고딕"/>
        <family val="3"/>
        <charset val="129"/>
        <scheme val="major"/>
      </rPr>
      <t>각인(귀속) 아이템 타입
설정 값을 작성하는 칼럼</t>
    </r>
    <r>
      <rPr>
        <sz val="9"/>
        <color rgb="FF000000"/>
        <rFont val="맑은 고딕"/>
        <family val="3"/>
        <charset val="129"/>
        <scheme val="major"/>
      </rPr>
      <t xml:space="preserve">
0 = 각인(귀속) 아이템 아님
1 = 획득 시 각인(귀속)
2 = 착용 시 각인(귀속)</t>
    </r>
    <phoneticPr fontId="1" type="noConversion"/>
  </si>
  <si>
    <t>장비 그래픽 리소스 이름
리소스 이름 규칙으로
성별구분 함</t>
    <phoneticPr fontId="1" type="noConversion"/>
  </si>
  <si>
    <t>resource</t>
    <phoneticPr fontId="1" type="noConversion"/>
  </si>
  <si>
    <t>경매장 기본가격
장비 카테고리 및 등급 별로
기본가격을 부여할 것이므로
굳이 여기있을 필요없음</t>
    <phoneticPr fontId="1" type="noConversion"/>
  </si>
  <si>
    <t>불칸 장갑 001</t>
  </si>
  <si>
    <t>불칸 장갑 002</t>
  </si>
  <si>
    <t>불칸 장갑 003</t>
  </si>
  <si>
    <t>휴먼 장갑 001</t>
  </si>
  <si>
    <t>휴먼 장갑 002</t>
  </si>
  <si>
    <t>휴먼 장갑 003</t>
  </si>
  <si>
    <t>equip_glove_b_0001</t>
  </si>
  <si>
    <t>equip_glove_b_0002</t>
  </si>
  <si>
    <t>equip_glove_b_0003</t>
  </si>
  <si>
    <t>equip_glove_h_0001</t>
  </si>
  <si>
    <t>equip_glove_h_0002</t>
  </si>
  <si>
    <t>equip_glove_h_0003</t>
  </si>
  <si>
    <t>equip_glove_k_0001</t>
  </si>
  <si>
    <t>equip_glove_a_0001</t>
  </si>
  <si>
    <t>drop_armor_glove</t>
  </si>
  <si>
    <t>drop_armor_glove</t>
    <phoneticPr fontId="1" type="noConversion"/>
  </si>
  <si>
    <t>불칸 스피릿 장갑 001</t>
  </si>
  <si>
    <t>휴먼 스피릿 장갑 002</t>
  </si>
  <si>
    <t>휴먼 스피릿 장갑 003</t>
  </si>
  <si>
    <t>휴먼 스피릿 장갑 004</t>
  </si>
  <si>
    <t>equip_glove_h_0005</t>
  </si>
  <si>
    <t>equip_glove_h_0006</t>
  </si>
  <si>
    <t>equip_glove_h_0007</t>
  </si>
  <si>
    <t>name</t>
    <phoneticPr fontId="1" type="noConversion"/>
  </si>
  <si>
    <t>id</t>
    <phoneticPr fontId="1" type="noConversion"/>
  </si>
  <si>
    <t>칼럼명세
EquipType 참조</t>
    <phoneticPr fontId="1" type="noConversion"/>
  </si>
  <si>
    <t>#</t>
    <phoneticPr fontId="1" type="noConversion"/>
  </si>
  <si>
    <t>index</t>
    <phoneticPr fontId="1" type="noConversion"/>
  </si>
  <si>
    <t>타입
(인덱싱용)</t>
    <phoneticPr fontId="1" type="noConversion"/>
  </si>
  <si>
    <t>종족
(인덱싱용)</t>
    <phoneticPr fontId="1" type="noConversion"/>
  </si>
  <si>
    <t>동일종족&amp;
동일타입&amp;
동일등급
내 순서
(인덱싱용)</t>
    <phoneticPr fontId="1" type="noConversion"/>
  </si>
  <si>
    <t>bg_resource</t>
    <phoneticPr fontId="1" type="noConversion"/>
  </si>
  <si>
    <t>grade</t>
    <phoneticPr fontId="1" type="noConversion"/>
  </si>
  <si>
    <t>not-used</t>
  </si>
  <si>
    <t>아이템 ID
카테고리(1)+종족(0)+타입(0)+등급(0)+인덱싱(0000)</t>
    <phoneticPr fontId="1" type="noConversion"/>
  </si>
  <si>
    <t>직접 입력</t>
    <phoneticPr fontId="1" type="noConversion"/>
  </si>
  <si>
    <t>drop_weapon_k</t>
  </si>
  <si>
    <t>drop_weapon_a</t>
  </si>
  <si>
    <t>drop_sub_weapon_k</t>
  </si>
  <si>
    <t>drop_sub_weapon_a</t>
  </si>
  <si>
    <t>drop_sub_armor_k</t>
  </si>
  <si>
    <t>drop_sub_armor_a</t>
  </si>
  <si>
    <t>equip_weapon_main_b_0004</t>
    <phoneticPr fontId="1" type="noConversion"/>
  </si>
  <si>
    <t>item_bg_grade_04</t>
  </si>
  <si>
    <t>item_bg_grade_04</t>
    <phoneticPr fontId="1" type="noConversion"/>
  </si>
  <si>
    <t>불칸 액스 004</t>
    <phoneticPr fontId="1" type="noConversion"/>
  </si>
  <si>
    <t>휴먼 라이플 004</t>
    <phoneticPr fontId="1" type="noConversion"/>
  </si>
  <si>
    <t>에이디아 링 001</t>
    <phoneticPr fontId="1" type="noConversion"/>
  </si>
  <si>
    <t>에이디아 링 002</t>
  </si>
  <si>
    <t>에이디아 링 003</t>
  </si>
  <si>
    <t>에이디아 링 004</t>
  </si>
  <si>
    <t>equip_weapon_main_a_0002</t>
    <phoneticPr fontId="1" type="noConversion"/>
  </si>
  <si>
    <t>equip_weapon_main_a_0003</t>
    <phoneticPr fontId="1" type="noConversion"/>
  </si>
  <si>
    <t>equip_weapon_main_a_0004</t>
    <phoneticPr fontId="1" type="noConversion"/>
  </si>
  <si>
    <t>equip_weapon_main_h_0004</t>
    <phoneticPr fontId="1" type="noConversion"/>
  </si>
  <si>
    <t>item_bg_grade_02</t>
    <phoneticPr fontId="1" type="noConversion"/>
  </si>
  <si>
    <t>item_bg_grade_03</t>
    <phoneticPr fontId="1" type="noConversion"/>
  </si>
  <si>
    <t>불칸 소드 004</t>
    <phoneticPr fontId="1" type="noConversion"/>
  </si>
  <si>
    <t>휴먼 ARCA 004</t>
    <phoneticPr fontId="1" type="noConversion"/>
  </si>
  <si>
    <t>에이디아 플룻 001</t>
    <phoneticPr fontId="1" type="noConversion"/>
  </si>
  <si>
    <t>에이디아 플룻 002</t>
    <phoneticPr fontId="1" type="noConversion"/>
  </si>
  <si>
    <t>에이디아 플룻 003</t>
    <phoneticPr fontId="1" type="noConversion"/>
  </si>
  <si>
    <t>에이디아 플룻 004</t>
    <phoneticPr fontId="1" type="noConversion"/>
  </si>
  <si>
    <t>불칸 헬멧 004</t>
    <phoneticPr fontId="1" type="noConversion"/>
  </si>
  <si>
    <t>휴먼 바이저 004</t>
    <phoneticPr fontId="1" type="noConversion"/>
  </si>
  <si>
    <t>에이디아 캡 001</t>
    <phoneticPr fontId="1" type="noConversion"/>
  </si>
  <si>
    <t>에이디아 캡 002</t>
  </si>
  <si>
    <t>에이디아 캡 003</t>
  </si>
  <si>
    <t>에이디아 캡 004</t>
  </si>
  <si>
    <t>불칸 아머 004</t>
    <phoneticPr fontId="1" type="noConversion"/>
  </si>
  <si>
    <t>휴먼 슈트 004</t>
    <phoneticPr fontId="1" type="noConversion"/>
  </si>
  <si>
    <t>에이디아 튜닉 001</t>
    <phoneticPr fontId="1" type="noConversion"/>
  </si>
  <si>
    <t>에이디아 튜닉 002</t>
    <phoneticPr fontId="1" type="noConversion"/>
  </si>
  <si>
    <t>에이디아 튜닉 003</t>
  </si>
  <si>
    <t>에이디아 튜닉 004</t>
  </si>
  <si>
    <t>불칸 쉴드 004</t>
    <phoneticPr fontId="1" type="noConversion"/>
  </si>
  <si>
    <t>휴먼 쉴드 004</t>
    <phoneticPr fontId="1" type="noConversion"/>
  </si>
  <si>
    <t>에이디아 윙 001</t>
    <phoneticPr fontId="1" type="noConversion"/>
  </si>
  <si>
    <t>에이디아 윙 002</t>
  </si>
  <si>
    <t>에이디아 윙 003</t>
  </si>
  <si>
    <t>에이디아 윙 004</t>
  </si>
  <si>
    <t>불칸 언더아머 004</t>
    <phoneticPr fontId="1" type="noConversion"/>
  </si>
  <si>
    <t>휴먼 언더슈트 004</t>
    <phoneticPr fontId="1" type="noConversion"/>
  </si>
  <si>
    <t>에이디아 팬츠 001</t>
    <phoneticPr fontId="1" type="noConversion"/>
  </si>
  <si>
    <t>에이디아 팬츠 002</t>
  </si>
  <si>
    <t>에이디아 팬츠 003</t>
  </si>
  <si>
    <t>에이디아 팬츠 004</t>
  </si>
  <si>
    <t>불칸 부츠 004</t>
    <phoneticPr fontId="1" type="noConversion"/>
  </si>
  <si>
    <t>휴먼 부츠 004</t>
    <phoneticPr fontId="1" type="noConversion"/>
  </si>
  <si>
    <t>에이디아 부츠 001</t>
    <phoneticPr fontId="1" type="noConversion"/>
  </si>
  <si>
    <t>에이디아 부츠 002</t>
    <phoneticPr fontId="1" type="noConversion"/>
  </si>
  <si>
    <t>에이디아 부츠 003</t>
    <phoneticPr fontId="1" type="noConversion"/>
  </si>
  <si>
    <t>에이디아 부츠 004</t>
    <phoneticPr fontId="1" type="noConversion"/>
  </si>
  <si>
    <t>불칸 장갑 004</t>
    <phoneticPr fontId="1" type="noConversion"/>
  </si>
  <si>
    <t>휴먼 장갑 004</t>
    <phoneticPr fontId="1" type="noConversion"/>
  </si>
  <si>
    <t>에이디아 장갑 001</t>
    <phoneticPr fontId="1" type="noConversion"/>
  </si>
  <si>
    <t>에이디아 장갑 002</t>
    <phoneticPr fontId="1" type="noConversion"/>
  </si>
  <si>
    <t>에이디아 장갑 003</t>
    <phoneticPr fontId="1" type="noConversion"/>
  </si>
  <si>
    <t>에이디아 장갑 004</t>
    <phoneticPr fontId="1" type="noConversion"/>
  </si>
  <si>
    <t>불칸 스피릿 액스 002</t>
    <phoneticPr fontId="1" type="noConversion"/>
  </si>
  <si>
    <t>불칸 스피릿 액스 003</t>
    <phoneticPr fontId="1" type="noConversion"/>
  </si>
  <si>
    <t>불칸 스피릿 소드 002</t>
    <phoneticPr fontId="1" type="noConversion"/>
  </si>
  <si>
    <t>불칸 스피릿 소드 003</t>
    <phoneticPr fontId="1" type="noConversion"/>
  </si>
  <si>
    <t>휴먼 스피릿 라이플 001</t>
    <phoneticPr fontId="1" type="noConversion"/>
  </si>
  <si>
    <t>휴먼 스피릿 라이플 002</t>
    <phoneticPr fontId="1" type="noConversion"/>
  </si>
  <si>
    <t>휴먼 스피릿 라이플 003</t>
    <phoneticPr fontId="1" type="noConversion"/>
  </si>
  <si>
    <t>휴먼 스피릿 ARCA 001</t>
    <phoneticPr fontId="1" type="noConversion"/>
  </si>
  <si>
    <t>휴먼 스피릿 ARCA 002</t>
    <phoneticPr fontId="1" type="noConversion"/>
  </si>
  <si>
    <t>휴먼 스피릿 ARCA 003</t>
    <phoneticPr fontId="1" type="noConversion"/>
  </si>
  <si>
    <t>불칸 스피릿 헬멧 002</t>
    <phoneticPr fontId="1" type="noConversion"/>
  </si>
  <si>
    <t>불칸 스피릿 헬멧 003</t>
    <phoneticPr fontId="1" type="noConversion"/>
  </si>
  <si>
    <t>휴먼 스피릿 바이저 001</t>
    <phoneticPr fontId="1" type="noConversion"/>
  </si>
  <si>
    <t>휴먼 스피릿 바이저 002</t>
    <phoneticPr fontId="1" type="noConversion"/>
  </si>
  <si>
    <t>휴먼 스피릿 바이저 003</t>
    <phoneticPr fontId="1" type="noConversion"/>
  </si>
  <si>
    <t>불칸 스피릿 아머 002</t>
    <phoneticPr fontId="1" type="noConversion"/>
  </si>
  <si>
    <t>불칸 스피릿 아머 003</t>
    <phoneticPr fontId="1" type="noConversion"/>
  </si>
  <si>
    <t>휴먼 스피릿 슈트 001</t>
    <phoneticPr fontId="1" type="noConversion"/>
  </si>
  <si>
    <t>휴먼 스피릿 슈트 002</t>
    <phoneticPr fontId="1" type="noConversion"/>
  </si>
  <si>
    <t>휴먼 스피릿 슈트 003</t>
    <phoneticPr fontId="1" type="noConversion"/>
  </si>
  <si>
    <t>불칸 스피릿 쉴드 002</t>
    <phoneticPr fontId="1" type="noConversion"/>
  </si>
  <si>
    <t>불칸 스피릿 쉴드 003</t>
    <phoneticPr fontId="1" type="noConversion"/>
  </si>
  <si>
    <t>불칸 스피릿 언더아머 002</t>
    <phoneticPr fontId="1" type="noConversion"/>
  </si>
  <si>
    <t>불칸 스피릿 언더아머 003</t>
    <phoneticPr fontId="1" type="noConversion"/>
  </si>
  <si>
    <t>휴먼 스피릿 언더슈트 001</t>
    <phoneticPr fontId="1" type="noConversion"/>
  </si>
  <si>
    <t>휴먼 스피릿 언더슈트 002</t>
    <phoneticPr fontId="1" type="noConversion"/>
  </si>
  <si>
    <t>휴먼 스피릿 언더슈트 003</t>
    <phoneticPr fontId="1" type="noConversion"/>
  </si>
  <si>
    <t>불칸 스피릿 부츠 002</t>
    <phoneticPr fontId="1" type="noConversion"/>
  </si>
  <si>
    <t>불칸 스피릿 부츠 003</t>
    <phoneticPr fontId="1" type="noConversion"/>
  </si>
  <si>
    <t>휴먼 스피릿 부츠 001</t>
    <phoneticPr fontId="1" type="noConversion"/>
  </si>
  <si>
    <t>휴먼 스피릿 부츠 002</t>
    <phoneticPr fontId="1" type="noConversion"/>
  </si>
  <si>
    <t>휴먼 스피릿 부츠 003</t>
    <phoneticPr fontId="1" type="noConversion"/>
  </si>
  <si>
    <t>불칸 스피릿 장갑 002</t>
    <phoneticPr fontId="1" type="noConversion"/>
  </si>
  <si>
    <t>불칸 스피릿 장갑 003</t>
    <phoneticPr fontId="1" type="noConversion"/>
  </si>
  <si>
    <t>에이디아 스피릿 링 001</t>
    <phoneticPr fontId="1" type="noConversion"/>
  </si>
  <si>
    <t>에이디아 스피릿 링 002</t>
    <phoneticPr fontId="1" type="noConversion"/>
  </si>
  <si>
    <t>에이디아 스피릿 링 003</t>
    <phoneticPr fontId="1" type="noConversion"/>
  </si>
  <si>
    <t>equip_weapon_main_b_0005</t>
    <phoneticPr fontId="1" type="noConversion"/>
  </si>
  <si>
    <t>equip_weapon_main_b_0006</t>
    <phoneticPr fontId="1" type="noConversion"/>
  </si>
  <si>
    <t>equip_weapon_main_b_0007</t>
    <phoneticPr fontId="1" type="noConversion"/>
  </si>
  <si>
    <t>에이디아 스피릿 플룻 001</t>
  </si>
  <si>
    <t>에이디아 스피릿 플룻 002</t>
  </si>
  <si>
    <t>에이디아 스피릿 플룻 003</t>
  </si>
  <si>
    <t>에이디아 스피릿 캡 001</t>
  </si>
  <si>
    <t>에이디아 스피릿 캡 002</t>
  </si>
  <si>
    <t>에이디아 스피릿 캡 003</t>
  </si>
  <si>
    <t>equip_weapon_main_a_0005</t>
    <phoneticPr fontId="1" type="noConversion"/>
  </si>
  <si>
    <t>equip_weapon_main_a_0006</t>
    <phoneticPr fontId="1" type="noConversion"/>
  </si>
  <si>
    <t>equip_weapon_main_a_0007</t>
    <phoneticPr fontId="1" type="noConversion"/>
  </si>
  <si>
    <t>equip_weapon_sub_a_0005</t>
    <phoneticPr fontId="1" type="noConversion"/>
  </si>
  <si>
    <t>equip_weapon_sub_a_0006</t>
    <phoneticPr fontId="1" type="noConversion"/>
  </si>
  <si>
    <t>equip_weapon_sub_a_0007</t>
    <phoneticPr fontId="1" type="noConversion"/>
  </si>
  <si>
    <t>equip_head_a_0005</t>
    <phoneticPr fontId="1" type="noConversion"/>
  </si>
  <si>
    <t>equip_head_a_0006</t>
    <phoneticPr fontId="1" type="noConversion"/>
  </si>
  <si>
    <t>equip_head_a_0007</t>
    <phoneticPr fontId="1" type="noConversion"/>
  </si>
  <si>
    <t>equip_upper_b_0006</t>
    <phoneticPr fontId="1" type="noConversion"/>
  </si>
  <si>
    <t>equip_upper_b_0007</t>
    <phoneticPr fontId="1" type="noConversion"/>
  </si>
  <si>
    <t>equip_upper_b_0005</t>
    <phoneticPr fontId="1" type="noConversion"/>
  </si>
  <si>
    <t>equip_weapon_sub_b_0005</t>
    <phoneticPr fontId="1" type="noConversion"/>
  </si>
  <si>
    <t>equip_weapon_sub_b_0006</t>
    <phoneticPr fontId="1" type="noConversion"/>
  </si>
  <si>
    <t>equip_weapon_sub_b_0007</t>
    <phoneticPr fontId="1" type="noConversion"/>
  </si>
  <si>
    <t>equip_head_b_0005</t>
    <phoneticPr fontId="1" type="noConversion"/>
  </si>
  <si>
    <t>equip_head_b_0006</t>
    <phoneticPr fontId="1" type="noConversion"/>
  </si>
  <si>
    <t>equip_head_b_0007</t>
    <phoneticPr fontId="1" type="noConversion"/>
  </si>
  <si>
    <t>equip_subarmor_b_0005</t>
    <phoneticPr fontId="1" type="noConversion"/>
  </si>
  <si>
    <t>equip_subarmor_b_0006</t>
    <phoneticPr fontId="1" type="noConversion"/>
  </si>
  <si>
    <t>equip_subarmor_b_0007</t>
    <phoneticPr fontId="1" type="noConversion"/>
  </si>
  <si>
    <t>equip_lower_b_0004</t>
    <phoneticPr fontId="1" type="noConversion"/>
  </si>
  <si>
    <t>equip_lower_b_0005</t>
    <phoneticPr fontId="1" type="noConversion"/>
  </si>
  <si>
    <t>equip_lower_b_0006</t>
    <phoneticPr fontId="1" type="noConversion"/>
  </si>
  <si>
    <t>equip_lower_b_0007</t>
    <phoneticPr fontId="1" type="noConversion"/>
  </si>
  <si>
    <t>equip_boots_b_0005</t>
    <phoneticPr fontId="1" type="noConversion"/>
  </si>
  <si>
    <t>equip_boots_b_0006</t>
    <phoneticPr fontId="1" type="noConversion"/>
  </si>
  <si>
    <t>equip_boots_b_0007</t>
    <phoneticPr fontId="1" type="noConversion"/>
  </si>
  <si>
    <t>equip_glove_b_0005</t>
    <phoneticPr fontId="1" type="noConversion"/>
  </si>
  <si>
    <t>equip_glove_b_0006</t>
    <phoneticPr fontId="1" type="noConversion"/>
  </si>
  <si>
    <t>equip_glove_b_0007</t>
    <phoneticPr fontId="1" type="noConversion"/>
  </si>
  <si>
    <t>equip_upper_a_0005</t>
  </si>
  <si>
    <t>equip_upper_a_0006</t>
  </si>
  <si>
    <t>equip_upper_a_0007</t>
  </si>
  <si>
    <t>에이디아 스피릿 튜닉 001</t>
  </si>
  <si>
    <t>에이디아 스피릿 튜닉 002</t>
  </si>
  <si>
    <t>에이디아 스피릿 튜닉 003</t>
  </si>
  <si>
    <t>에이디아 스피릿 윙 001</t>
  </si>
  <si>
    <t>에이디아 스피릿 윙 002</t>
  </si>
  <si>
    <t>에이디아 스피릿 윙 003</t>
  </si>
  <si>
    <t>equip_subarmor_a_0005</t>
  </si>
  <si>
    <t>equip_subarmor_a_0006</t>
  </si>
  <si>
    <t>equip_subarmor_a_0007</t>
  </si>
  <si>
    <t>equip_lower_a_0005</t>
  </si>
  <si>
    <t>equip_lower_a_0006</t>
  </si>
  <si>
    <t>equip_lower_a_0007</t>
  </si>
  <si>
    <t>에이디아 스피릿 팬츠 001</t>
  </si>
  <si>
    <t>에이디아 스피릿 팬츠 002</t>
  </si>
  <si>
    <t>에이디아 스피릿 팬츠 003</t>
  </si>
  <si>
    <t>에이디아 스피릿 부츠 001</t>
  </si>
  <si>
    <t>에이디아 스피릿 부츠 002</t>
  </si>
  <si>
    <t>에이디아 스피릿 부츠 003</t>
  </si>
  <si>
    <t>equip_boots_a_0005</t>
  </si>
  <si>
    <t>equip_boots_a_0006</t>
  </si>
  <si>
    <t>equip_boots_a_0007</t>
  </si>
  <si>
    <t>equip_glove_a_0005</t>
  </si>
  <si>
    <t>equip_glove_a_0006</t>
  </si>
  <si>
    <t>equip_glove_a_0007</t>
  </si>
  <si>
    <t>에이디아 스피릿 장갑 001</t>
  </si>
  <si>
    <t>에이디아 스피릿 장갑 002</t>
  </si>
  <si>
    <t>에이디아 스피릿 장갑 003</t>
  </si>
  <si>
    <t>카이립톤 스태프 001</t>
    <phoneticPr fontId="1" type="noConversion"/>
  </si>
  <si>
    <t>카이립톤 완드 001</t>
    <phoneticPr fontId="1" type="noConversion"/>
  </si>
  <si>
    <t>카이립톤 후드 001</t>
    <phoneticPr fontId="1" type="noConversion"/>
  </si>
  <si>
    <t>카이립톤 로브 001</t>
    <phoneticPr fontId="1" type="noConversion"/>
  </si>
  <si>
    <t>카이립톤 클록 001</t>
    <phoneticPr fontId="1" type="noConversion"/>
  </si>
  <si>
    <t>카이립톤 팬츠 001</t>
    <phoneticPr fontId="1" type="noConversion"/>
  </si>
  <si>
    <t>카이립톤 부츠 001</t>
    <phoneticPr fontId="1" type="noConversion"/>
  </si>
  <si>
    <t>카이립톤 장갑 001</t>
    <phoneticPr fontId="1" type="noConversion"/>
  </si>
  <si>
    <t>카이립톤 스태프 002</t>
    <phoneticPr fontId="1" type="noConversion"/>
  </si>
  <si>
    <t>카이립톤 스태프 003</t>
    <phoneticPr fontId="1" type="noConversion"/>
  </si>
  <si>
    <t>카이립톤 스태프 004</t>
    <phoneticPr fontId="1" type="noConversion"/>
  </si>
  <si>
    <t>equip_weapon_main_k_0002</t>
    <phoneticPr fontId="1" type="noConversion"/>
  </si>
  <si>
    <t>equip_weapon_main_k_0003</t>
    <phoneticPr fontId="1" type="noConversion"/>
  </si>
  <si>
    <t>equip_weapon_main_k_0004</t>
    <phoneticPr fontId="1" type="noConversion"/>
  </si>
  <si>
    <t>카이립톤 완드 002</t>
  </si>
  <si>
    <t>카이립톤 완드 003</t>
  </si>
  <si>
    <t>카이립톤 완드 004</t>
  </si>
  <si>
    <t>equip_weapon_sub_k_0002</t>
    <phoneticPr fontId="1" type="noConversion"/>
  </si>
  <si>
    <t>equip_weapon_sub_k_0003</t>
    <phoneticPr fontId="1" type="noConversion"/>
  </si>
  <si>
    <t>equip_weapon_sub_k_0004</t>
    <phoneticPr fontId="1" type="noConversion"/>
  </si>
  <si>
    <t>equip_head_b_0004</t>
    <phoneticPr fontId="1" type="noConversion"/>
  </si>
  <si>
    <t>equip_head_h_0004</t>
    <phoneticPr fontId="1" type="noConversion"/>
  </si>
  <si>
    <t>equip_weapon_sub_a_0002</t>
    <phoneticPr fontId="1" type="noConversion"/>
  </si>
  <si>
    <t>equip_weapon_sub_a_0003</t>
    <phoneticPr fontId="1" type="noConversion"/>
  </si>
  <si>
    <t>equip_weapon_sub_a_0004</t>
    <phoneticPr fontId="1" type="noConversion"/>
  </si>
  <si>
    <t>equip_weapon_sub_h_0004</t>
    <phoneticPr fontId="1" type="noConversion"/>
  </si>
  <si>
    <t>equip_weapon_sub_b_0004</t>
    <phoneticPr fontId="1" type="noConversion"/>
  </si>
  <si>
    <t>카이립톤 후드 002</t>
  </si>
  <si>
    <t>카이립톤 후드 003</t>
  </si>
  <si>
    <t>카이립톤 후드 004</t>
  </si>
  <si>
    <t>equip_head_k_0002</t>
    <phoneticPr fontId="1" type="noConversion"/>
  </si>
  <si>
    <t>equip_head_k_0003</t>
    <phoneticPr fontId="1" type="noConversion"/>
  </si>
  <si>
    <t>equip_head_k_0004</t>
    <phoneticPr fontId="1" type="noConversion"/>
  </si>
  <si>
    <t>equip_head_a_0002</t>
    <phoneticPr fontId="1" type="noConversion"/>
  </si>
  <si>
    <t>equip_head_a_0003</t>
    <phoneticPr fontId="1" type="noConversion"/>
  </si>
  <si>
    <t>equip_head_a_0004</t>
    <phoneticPr fontId="1" type="noConversion"/>
  </si>
  <si>
    <t>equip_upper_b_0004</t>
    <phoneticPr fontId="1" type="noConversion"/>
  </si>
  <si>
    <t>equip_upper_h_0004</t>
    <phoneticPr fontId="1" type="noConversion"/>
  </si>
  <si>
    <t>카이립톤 로브 002</t>
  </si>
  <si>
    <t>카이립톤 로브 003</t>
  </si>
  <si>
    <t>카이립톤 로브 004</t>
  </si>
  <si>
    <t>equip_upper_k_0002</t>
    <phoneticPr fontId="1" type="noConversion"/>
  </si>
  <si>
    <t>equip_upper_k_0003</t>
    <phoneticPr fontId="1" type="noConversion"/>
  </si>
  <si>
    <t>equip_upper_k_0004</t>
    <phoneticPr fontId="1" type="noConversion"/>
  </si>
  <si>
    <t>equip_upper_a_0002</t>
    <phoneticPr fontId="1" type="noConversion"/>
  </si>
  <si>
    <t>equip_upper_a_0003</t>
    <phoneticPr fontId="1" type="noConversion"/>
  </si>
  <si>
    <t>equip_upper_a_0004</t>
    <phoneticPr fontId="1" type="noConversion"/>
  </si>
  <si>
    <t>equip_subarmor_b_0004</t>
    <phoneticPr fontId="1" type="noConversion"/>
  </si>
  <si>
    <t>equip_subarmor_h_0004</t>
    <phoneticPr fontId="1" type="noConversion"/>
  </si>
  <si>
    <t>카이립톤 클록 002</t>
  </si>
  <si>
    <t>카이립톤 클록 003</t>
  </si>
  <si>
    <t>카이립톤 클록 004</t>
  </si>
  <si>
    <t>equip_lower_h_0004</t>
    <phoneticPr fontId="1" type="noConversion"/>
  </si>
  <si>
    <t>카이립톤 팬츠 002</t>
    <phoneticPr fontId="1" type="noConversion"/>
  </si>
  <si>
    <t>카이립톤 팬츠 003</t>
    <phoneticPr fontId="1" type="noConversion"/>
  </si>
  <si>
    <t>카이립톤 팬츠 004</t>
    <phoneticPr fontId="1" type="noConversion"/>
  </si>
  <si>
    <t>equip_lower_k_0002</t>
    <phoneticPr fontId="1" type="noConversion"/>
  </si>
  <si>
    <t>equip_lower_k_0003</t>
    <phoneticPr fontId="1" type="noConversion"/>
  </si>
  <si>
    <t>equip_lower_k_0004</t>
    <phoneticPr fontId="1" type="noConversion"/>
  </si>
  <si>
    <t>equip_lower_a_0002</t>
    <phoneticPr fontId="1" type="noConversion"/>
  </si>
  <si>
    <t>equip_lower_a_0003</t>
    <phoneticPr fontId="1" type="noConversion"/>
  </si>
  <si>
    <t>equip_lower_a_0004</t>
    <phoneticPr fontId="1" type="noConversion"/>
  </si>
  <si>
    <t>equip_boots_b_0004</t>
    <phoneticPr fontId="1" type="noConversion"/>
  </si>
  <si>
    <t>equip_boots_h_0004</t>
    <phoneticPr fontId="1" type="noConversion"/>
  </si>
  <si>
    <t>카이립톤 부츠 002</t>
    <phoneticPr fontId="1" type="noConversion"/>
  </si>
  <si>
    <t>카이립톤 부츠 003</t>
    <phoneticPr fontId="1" type="noConversion"/>
  </si>
  <si>
    <t>카이립톤 부츠 004</t>
    <phoneticPr fontId="1" type="noConversion"/>
  </si>
  <si>
    <t>equip_boots_k_0002</t>
    <phoneticPr fontId="1" type="noConversion"/>
  </si>
  <si>
    <t>equip_boots_k_0003</t>
    <phoneticPr fontId="1" type="noConversion"/>
  </si>
  <si>
    <t>equip_boots_k_0004</t>
    <phoneticPr fontId="1" type="noConversion"/>
  </si>
  <si>
    <t>equip_boots_a_0002</t>
    <phoneticPr fontId="1" type="noConversion"/>
  </si>
  <si>
    <t>equip_boots_a_0003</t>
    <phoneticPr fontId="1" type="noConversion"/>
  </si>
  <si>
    <t>equip_boots_a_0004</t>
    <phoneticPr fontId="1" type="noConversion"/>
  </si>
  <si>
    <t>equip_glove_b_0004</t>
    <phoneticPr fontId="1" type="noConversion"/>
  </si>
  <si>
    <t>equip_glove_h_0004</t>
    <phoneticPr fontId="1" type="noConversion"/>
  </si>
  <si>
    <t>카이립톤 장갑 004</t>
    <phoneticPr fontId="1" type="noConversion"/>
  </si>
  <si>
    <t>equip_glove_k_0002</t>
    <phoneticPr fontId="1" type="noConversion"/>
  </si>
  <si>
    <t>equip_glove_k_0003</t>
    <phoneticPr fontId="1" type="noConversion"/>
  </si>
  <si>
    <t>equip_glove_k_0004</t>
    <phoneticPr fontId="1" type="noConversion"/>
  </si>
  <si>
    <t>카이립톤 장갑 002</t>
    <phoneticPr fontId="1" type="noConversion"/>
  </si>
  <si>
    <t>카이립톤 장갑 003</t>
    <phoneticPr fontId="1" type="noConversion"/>
  </si>
  <si>
    <t>equip_glove_a_0002</t>
    <phoneticPr fontId="1" type="noConversion"/>
  </si>
  <si>
    <t>equip_glove_a_0003</t>
    <phoneticPr fontId="1" type="noConversion"/>
  </si>
  <si>
    <t>equip_glove_a_0004</t>
    <phoneticPr fontId="1" type="noConversion"/>
  </si>
  <si>
    <t>카이립톤 스피릿 스태프 001</t>
  </si>
  <si>
    <t>카이립톤 스피릿 스태프 002</t>
  </si>
  <si>
    <t>카이립톤 스피릿 스태프 003</t>
  </si>
  <si>
    <t>equip_weapon_main_k_0005</t>
  </si>
  <si>
    <t>equip_weapon_main_k_0006</t>
  </si>
  <si>
    <t>equip_weapon_main_k_0007</t>
  </si>
  <si>
    <t>drop_weapon_k</t>
    <phoneticPr fontId="1" type="noConversion"/>
  </si>
  <si>
    <t>equip_weapon_sub_k_0005</t>
  </si>
  <si>
    <t>equip_weapon_sub_k_0006</t>
  </si>
  <si>
    <t>equip_weapon_sub_k_0007</t>
  </si>
  <si>
    <t>drop_sub_weapon_k</t>
    <phoneticPr fontId="1" type="noConversion"/>
  </si>
  <si>
    <t>카이립톤 스피릿 완드 001</t>
  </si>
  <si>
    <t>카이립톤 스피릿 완드 002</t>
  </si>
  <si>
    <t>카이립톤 스피릿 완드 003</t>
  </si>
  <si>
    <t>카이립톤 스피릿 후드 001</t>
  </si>
  <si>
    <t>카이립톤 스피릿 후드 002</t>
  </si>
  <si>
    <t>카이립톤 스피릿 후드 003</t>
  </si>
  <si>
    <t>equip_head_k_0005</t>
  </si>
  <si>
    <t>equip_head_k_0006</t>
  </si>
  <si>
    <t>equip_head_k_0007</t>
  </si>
  <si>
    <t>equip_upper_k_0005</t>
  </si>
  <si>
    <t>equip_upper_k_0006</t>
  </si>
  <si>
    <t>equip_upper_k_0007</t>
  </si>
  <si>
    <t>카이립톤 스피릿 로브 001</t>
  </si>
  <si>
    <t>카이립톤 스피릿 로브 002</t>
  </si>
  <si>
    <t>카이립톤 스피릿 로브 003</t>
  </si>
  <si>
    <t>카이립톤 스피릿 클록 001</t>
  </si>
  <si>
    <t>카이립톤 스피릿 클록 002</t>
  </si>
  <si>
    <t>카이립톤 스피릿 클록 003</t>
  </si>
  <si>
    <t>equip_subarmor_k_0005</t>
  </si>
  <si>
    <t>equip_subarmor_k_0006</t>
  </si>
  <si>
    <t>equip_subarmor_k_0007</t>
  </si>
  <si>
    <t>equip_lower_k_0005</t>
  </si>
  <si>
    <t>equip_lower_k_0006</t>
  </si>
  <si>
    <t>equip_lower_k_0007</t>
  </si>
  <si>
    <t>drop_sub_armor_k</t>
    <phoneticPr fontId="1" type="noConversion"/>
  </si>
  <si>
    <t>drop_sub_armor_a</t>
    <phoneticPr fontId="1" type="noConversion"/>
  </si>
  <si>
    <t>카이립톤 스피릿 팬츠 001</t>
  </si>
  <si>
    <t>카이립톤 스피릿 팬츠 002</t>
  </si>
  <si>
    <t>카이립톤 스피릿 팬츠 003</t>
  </si>
  <si>
    <t>카이립톤 스피릿 부츠 001</t>
  </si>
  <si>
    <t>카이립톤 스피릿 부츠 002</t>
  </si>
  <si>
    <t>카이립톤 스피릿 부츠 003</t>
  </si>
  <si>
    <t>equip_boots_k_0005</t>
  </si>
  <si>
    <t>equip_boots_k_0006</t>
  </si>
  <si>
    <t>equip_boots_k_0007</t>
  </si>
  <si>
    <t>카이립톤 스피릿 장갑 001</t>
  </si>
  <si>
    <t>카이립톤 스피릿 장갑 002</t>
  </si>
  <si>
    <t>카이립톤 스피릿 장갑 003</t>
  </si>
  <si>
    <t>equip_glove_k_0005</t>
  </si>
  <si>
    <t>equip_glove_k_0006</t>
  </si>
  <si>
    <t>equip_glove_k_0007</t>
  </si>
  <si>
    <t>불칸 스피릿 반지 001</t>
  </si>
  <si>
    <t>불칸 스피릿 반지 002</t>
  </si>
  <si>
    <t>불칸 스피릿 반지 003</t>
  </si>
  <si>
    <t>휴먼 스피릿 반지 001</t>
  </si>
  <si>
    <t>카이립톤 스피릿 반지 001</t>
  </si>
  <si>
    <t>에이디아 스피릿 반지 001</t>
  </si>
  <si>
    <t>휴먼 스피릿 반지 002</t>
  </si>
  <si>
    <t>휴먼 스피릿 반지 003</t>
  </si>
  <si>
    <t>카이립톤 스피릿 반지 002</t>
  </si>
  <si>
    <t>카이립톤 스피릿 반지 003</t>
  </si>
  <si>
    <t>에이디아 스피릿 반지 002</t>
  </si>
  <si>
    <t>에이디아 스피릿 반지 003</t>
  </si>
  <si>
    <t>불칸 스피릿 목걸이 001</t>
  </si>
  <si>
    <t>불칸 스피릿 목걸이 002</t>
  </si>
  <si>
    <t>불칸 스피릿 목걸이 003</t>
  </si>
  <si>
    <t>휴먼 스피릿 목걸이 001</t>
  </si>
  <si>
    <t>휴먼 스피릿 목걸이 002</t>
  </si>
  <si>
    <t>휴먼 스피릿 목걸이 003</t>
  </si>
  <si>
    <t>카이립톤 스피릿 목걸이 001</t>
  </si>
  <si>
    <t>카이립톤 스피릿 목걸이 002</t>
  </si>
  <si>
    <t>카이립톤 스피릿 목걸이 003</t>
  </si>
  <si>
    <t>에이디아 스피릿 목걸이 001</t>
  </si>
  <si>
    <t>에이디아 스피릿 목걸이 002</t>
  </si>
  <si>
    <t>에이디아 스피릿 목걸이 003</t>
  </si>
  <si>
    <t>equip_necklace_b_0001</t>
    <phoneticPr fontId="1" type="noConversion"/>
  </si>
  <si>
    <t>equip_necklace_b_0002</t>
  </si>
  <si>
    <t>equip_necklace_b_0003</t>
  </si>
  <si>
    <t>equip_necklace_h_0001</t>
  </si>
  <si>
    <t>equip_necklace_h_0002</t>
  </si>
  <si>
    <t>equip_necklace_h_0003</t>
  </si>
  <si>
    <t>equip_necklace_k_0001</t>
  </si>
  <si>
    <t>equip_necklace_k_0002</t>
  </si>
  <si>
    <t>equip_necklace_k_0003</t>
  </si>
  <si>
    <t>equip_necklace_a_0001</t>
  </si>
  <si>
    <t>equip_necklace_a_0002</t>
  </si>
  <si>
    <t>equip_necklace_a_0003</t>
  </si>
  <si>
    <t>equip_ring_b_0001</t>
  </si>
  <si>
    <t>equip_ring_b_0002</t>
  </si>
  <si>
    <t>equip_ring_b_0003</t>
  </si>
  <si>
    <t>equip_ring_h_0001</t>
  </si>
  <si>
    <t>equip_ring_h_0002</t>
  </si>
  <si>
    <t>equip_ring_h_0003</t>
  </si>
  <si>
    <t>equip_ring_k_0001</t>
  </si>
  <si>
    <t>equip_ring_k_0002</t>
  </si>
  <si>
    <t>equip_ring_k_0003</t>
  </si>
  <si>
    <t>equip_ring_a_0001</t>
  </si>
  <si>
    <t>equip_ring_a_0002</t>
  </si>
  <si>
    <t>equip_ring_a_0003</t>
  </si>
  <si>
    <t>장비 등급
1 = 일반 (Common)
2 = 고급 (Uncommon) 
3 = 희귀 (Rare)
4 = 영웅 (Epic)
5 = 전설 (Legendary) 
6 = 신화 (Mythical) 
99 = 스피릿 (Spirit)</t>
    <phoneticPr fontId="1" type="noConversion"/>
  </si>
  <si>
    <t>equip_subarmor_k_0002</t>
  </si>
  <si>
    <t>equip_subarmor_k_0003</t>
  </si>
  <si>
    <t>equip_subarmor_k_0004</t>
  </si>
  <si>
    <t>equip_subarmor_a_0002</t>
  </si>
  <si>
    <t>equip_subarmor_a_0003</t>
  </si>
  <si>
    <t>equip_subarmor_a_0004</t>
  </si>
  <si>
    <t>에이디아 소환 전용 스테이터스</t>
    <phoneticPr fontId="1" type="noConversion"/>
  </si>
  <si>
    <t>스피릿 게이지 추가 획득량</t>
    <phoneticPr fontId="1" type="noConversion"/>
  </si>
  <si>
    <t>힘의 목걸이 002</t>
  </si>
  <si>
    <t>기민성의 목걸이 002</t>
  </si>
  <si>
    <t>지혜의 목걸이 002</t>
  </si>
  <si>
    <t>체질의 목걸이 002</t>
  </si>
  <si>
    <t>통솔력의 목걸이 002</t>
  </si>
  <si>
    <t>체력의 목걸이 002</t>
  </si>
  <si>
    <t>스테미너의 목걸이 002</t>
  </si>
  <si>
    <t>전기력의 목걸이 002</t>
  </si>
  <si>
    <t>마나의 목걸이 002</t>
  </si>
  <si>
    <t>힘의 반지 002</t>
  </si>
  <si>
    <t>기민성의 반지 002</t>
  </si>
  <si>
    <t>지혜의 반지 002</t>
  </si>
  <si>
    <t>체질의 반지 002</t>
  </si>
  <si>
    <t>통솔력의 반지 002</t>
  </si>
  <si>
    <t>체력의 반지 002</t>
  </si>
  <si>
    <t>스테미너의 반지 002</t>
  </si>
  <si>
    <t>전기력의 반지 002</t>
  </si>
  <si>
    <t>마나의 반지 002</t>
  </si>
  <si>
    <t>힘의 목걸이 003</t>
  </si>
  <si>
    <t>기민성의 목걸이 003</t>
  </si>
  <si>
    <t>지혜의 목걸이 003</t>
  </si>
  <si>
    <t>체질의 목걸이 003</t>
  </si>
  <si>
    <t>통솔력의 목걸이 003</t>
  </si>
  <si>
    <t>체력의 목걸이 003</t>
  </si>
  <si>
    <t>스테미너의 목걸이 003</t>
  </si>
  <si>
    <t>전기력의 목걸이 003</t>
  </si>
  <si>
    <t>마나의 목걸이 003</t>
  </si>
  <si>
    <t>힘의 반지 003</t>
  </si>
  <si>
    <t>기민성의 반지 003</t>
  </si>
  <si>
    <t>지혜의 반지 003</t>
  </si>
  <si>
    <t>체질의 반지 003</t>
  </si>
  <si>
    <t>통솔력의 반지 003</t>
  </si>
  <si>
    <t>체력의 반지 003</t>
  </si>
  <si>
    <t>스테미너의 반지 003</t>
  </si>
  <si>
    <t>전기력의 반지 003</t>
  </si>
  <si>
    <t>마나의 반지 003</t>
  </si>
  <si>
    <t>힘의 목걸이 004</t>
  </si>
  <si>
    <t>기민성의 목걸이 004</t>
  </si>
  <si>
    <t>지혜의 목걸이 004</t>
  </si>
  <si>
    <t>체질의 목걸이 004</t>
  </si>
  <si>
    <t>통솔력의 목걸이 004</t>
  </si>
  <si>
    <t>체력의 목걸이 004</t>
  </si>
  <si>
    <t>스테미너의 목걸이 004</t>
  </si>
  <si>
    <t>전기력의 목걸이 004</t>
  </si>
  <si>
    <t>마나의 목걸이 004</t>
  </si>
  <si>
    <t>힘의 반지 004</t>
  </si>
  <si>
    <t>기민성의 반지 004</t>
  </si>
  <si>
    <t>지혜의 반지 004</t>
  </si>
  <si>
    <t>체질의 반지 004</t>
  </si>
  <si>
    <t>통솔력의 반지 004</t>
  </si>
  <si>
    <t>체력의 반지 004</t>
  </si>
  <si>
    <t>스테미너의 반지 004</t>
  </si>
  <si>
    <t>전기력의 반지 004</t>
  </si>
  <si>
    <t>마나의 반지 004</t>
  </si>
  <si>
    <t>소울 부츠</t>
  </si>
  <si>
    <t>소울 글러브</t>
  </si>
  <si>
    <t>메르두크 글러브</t>
  </si>
  <si>
    <t>프란츠 글러브</t>
  </si>
  <si>
    <t>하르세스 글러브</t>
  </si>
  <si>
    <t>루크 글러브</t>
  </si>
  <si>
    <t>블리스 글러브</t>
  </si>
  <si>
    <t>sub_type</t>
  </si>
  <si>
    <t>int</t>
    <phoneticPr fontId="1" type="noConversion"/>
  </si>
  <si>
    <t>희귀</t>
    <phoneticPr fontId="1" type="noConversion"/>
  </si>
  <si>
    <t>영웅</t>
    <phoneticPr fontId="1" type="noConversion"/>
  </si>
  <si>
    <t>전설</t>
    <phoneticPr fontId="1" type="noConversion"/>
  </si>
  <si>
    <t>신화</t>
    <phoneticPr fontId="1" type="noConversion"/>
  </si>
  <si>
    <t>EquipType / SubType</t>
    <phoneticPr fontId="1" type="noConversion"/>
  </si>
  <si>
    <t>sub_type</t>
    <phoneticPr fontId="1" type="noConversion"/>
  </si>
  <si>
    <t>장비 종류</t>
    <phoneticPr fontId="1" type="noConversion"/>
  </si>
  <si>
    <t>부위 종류</t>
    <phoneticPr fontId="1" type="noConversion"/>
  </si>
  <si>
    <t>장갑</t>
  </si>
  <si>
    <t>드롭다운</t>
    <phoneticPr fontId="1" type="noConversion"/>
  </si>
  <si>
    <t>주무기</t>
  </si>
  <si>
    <t>보조무기</t>
  </si>
  <si>
    <t>머리</t>
  </si>
  <si>
    <t>상의</t>
  </si>
  <si>
    <t>보조방어구</t>
  </si>
  <si>
    <t>하의</t>
  </si>
  <si>
    <t>신발</t>
  </si>
  <si>
    <t>목걸이</t>
  </si>
  <si>
    <t>반지</t>
  </si>
  <si>
    <t>부위별 구분</t>
    <phoneticPr fontId="1" type="noConversion"/>
  </si>
  <si>
    <t>인벤 탭 구분
카테고리
1 = 장비</t>
    <phoneticPr fontId="1" type="noConversion"/>
  </si>
  <si>
    <t>동일타입&amp;
동일서브&amp;
동일종족&amp;
동일등급
내 순서
(인덱싱용)</t>
    <phoneticPr fontId="1" type="noConversion"/>
  </si>
  <si>
    <t>수식적용</t>
    <phoneticPr fontId="1" type="noConversion"/>
  </si>
  <si>
    <t>부위별 구분 입력</t>
    <phoneticPr fontId="1" type="noConversion"/>
  </si>
  <si>
    <t>1 = 일반
2 = 스피릿</t>
    <phoneticPr fontId="1" type="noConversion"/>
  </si>
  <si>
    <t>장비 등급</t>
    <phoneticPr fontId="1" type="noConversion"/>
  </si>
  <si>
    <t>아이템 ID
카테고리(1)+종족(0)+서브타입(0)+등급(0)+타입(0)+인덱싱(000)</t>
    <phoneticPr fontId="1" type="noConversion"/>
  </si>
  <si>
    <t>서브 옵션 갱신 시
발생하는 기본비용
(캐쉬재화 only)</t>
    <phoneticPr fontId="1" type="noConversion"/>
  </si>
  <si>
    <t>weight</t>
    <phoneticPr fontId="1" type="noConversion"/>
  </si>
  <si>
    <t>무게가중치</t>
    <phoneticPr fontId="1" type="noConversion"/>
  </si>
  <si>
    <t>총합</t>
    <phoneticPr fontId="1" type="noConversion"/>
  </si>
  <si>
    <t>물약</t>
    <phoneticPr fontId="1" type="noConversion"/>
  </si>
  <si>
    <t>체력</t>
    <phoneticPr fontId="1" type="noConversion"/>
  </si>
  <si>
    <t>보조자원</t>
    <phoneticPr fontId="1" type="noConversion"/>
  </si>
  <si>
    <t>장비등급</t>
    <phoneticPr fontId="1" type="noConversion"/>
  </si>
  <si>
    <t>재료등급</t>
    <phoneticPr fontId="1" type="noConversion"/>
  </si>
  <si>
    <t>보유개수</t>
    <phoneticPr fontId="1" type="noConversion"/>
  </si>
  <si>
    <t>배율</t>
    <phoneticPr fontId="1" type="noConversion"/>
  </si>
  <si>
    <t>무게
1무게=100
#무게관련
시트 참조</t>
    <phoneticPr fontId="1" type="noConversion"/>
  </si>
  <si>
    <t>기본무게</t>
    <phoneticPr fontId="1" type="noConversion"/>
  </si>
  <si>
    <t>min</t>
  </si>
  <si>
    <t>max</t>
  </si>
  <si>
    <t>name_desc</t>
    <phoneticPr fontId="1" type="noConversion"/>
  </si>
  <si>
    <t>적용 공식 설명</t>
    <phoneticPr fontId="1" type="noConversion"/>
  </si>
  <si>
    <t>스탯종류</t>
    <phoneticPr fontId="1" type="noConversion"/>
  </si>
  <si>
    <t>enum</t>
    <phoneticPr fontId="1" type="noConversion"/>
  </si>
  <si>
    <t>Ability</t>
    <phoneticPr fontId="1" type="noConversion"/>
  </si>
  <si>
    <t>이전ID</t>
    <phoneticPr fontId="1" type="noConversion"/>
  </si>
  <si>
    <t>이전이름</t>
    <phoneticPr fontId="1" type="noConversion"/>
  </si>
  <si>
    <t>이전name</t>
    <phoneticPr fontId="1" type="noConversion"/>
  </si>
  <si>
    <t>[type]</t>
    <phoneticPr fontId="1" type="noConversion"/>
  </si>
  <si>
    <t>미사용</t>
    <phoneticPr fontId="1" type="noConversion"/>
  </si>
  <si>
    <t>Status</t>
    <phoneticPr fontId="1" type="noConversion"/>
  </si>
  <si>
    <t>Status_Strength</t>
    <phoneticPr fontId="1" type="noConversion"/>
  </si>
  <si>
    <t>총 스탯수치</t>
    <phoneticPr fontId="1" type="noConversion"/>
  </si>
  <si>
    <t>기본</t>
  </si>
  <si>
    <t>STR</t>
  </si>
  <si>
    <t>Status_Strength</t>
  </si>
  <si>
    <t>Status_Wisdom</t>
    <phoneticPr fontId="1" type="noConversion"/>
  </si>
  <si>
    <t>WIS</t>
  </si>
  <si>
    <t>지혜</t>
  </si>
  <si>
    <t>Status_Wisdom</t>
  </si>
  <si>
    <t>Status_Agile</t>
    <phoneticPr fontId="1" type="noConversion"/>
  </si>
  <si>
    <t>AGI</t>
  </si>
  <si>
    <t>기민성</t>
  </si>
  <si>
    <t>Status_Agile</t>
  </si>
  <si>
    <t>Status_Constitution</t>
    <phoneticPr fontId="1" type="noConversion"/>
  </si>
  <si>
    <t>CON</t>
  </si>
  <si>
    <t>체질</t>
  </si>
  <si>
    <t>Status_Constitution</t>
  </si>
  <si>
    <t>Status_Direction</t>
    <phoneticPr fontId="1" type="noConversion"/>
  </si>
  <si>
    <t>DIR</t>
  </si>
  <si>
    <t>통솔력</t>
  </si>
  <si>
    <t>Status_Direction</t>
  </si>
  <si>
    <t>Status_Hp</t>
    <phoneticPr fontId="1" type="noConversion"/>
  </si>
  <si>
    <t>최대 체력</t>
    <phoneticPr fontId="1" type="noConversion"/>
  </si>
  <si>
    <t>바이탈</t>
  </si>
  <si>
    <t>HP</t>
  </si>
  <si>
    <t>Status_Hp</t>
  </si>
  <si>
    <t>Status_Stamina</t>
    <phoneticPr fontId="1" type="noConversion"/>
  </si>
  <si>
    <t>스태미너</t>
    <phoneticPr fontId="1" type="noConversion"/>
  </si>
  <si>
    <t>STAMINA</t>
  </si>
  <si>
    <t>Status_Stamina</t>
  </si>
  <si>
    <t>Status_Electric</t>
    <phoneticPr fontId="1" type="noConversion"/>
  </si>
  <si>
    <t>ELECTRIC</t>
  </si>
  <si>
    <t>전기력</t>
  </si>
  <si>
    <t>Status_Electric</t>
  </si>
  <si>
    <t>Status_Mana</t>
    <phoneticPr fontId="1" type="noConversion"/>
  </si>
  <si>
    <t>MANA</t>
  </si>
  <si>
    <t>마나</t>
  </si>
  <si>
    <t>Status_Mana</t>
  </si>
  <si>
    <t>Status_Recover_Hp</t>
    <phoneticPr fontId="1" type="noConversion"/>
  </si>
  <si>
    <t>체력 재생 (5초 당 적용)</t>
    <phoneticPr fontId="1" type="noConversion"/>
  </si>
  <si>
    <t>HP_RCV</t>
  </si>
  <si>
    <t>체력 재생(5초당)</t>
  </si>
  <si>
    <t>Status_Recover_Hp</t>
  </si>
  <si>
    <t>Status_Recover_Stamina</t>
    <phoneticPr fontId="1" type="noConversion"/>
  </si>
  <si>
    <t>스태미너 재생 (5초 당 적용)</t>
    <phoneticPr fontId="1" type="noConversion"/>
  </si>
  <si>
    <t>STAMINA_RCV</t>
  </si>
  <si>
    <t>스테미너 재생(5초당)</t>
  </si>
  <si>
    <t>Status_Recover_Stamina</t>
  </si>
  <si>
    <t>Status_Recover_Electic</t>
    <phoneticPr fontId="1" type="noConversion"/>
  </si>
  <si>
    <t>전기력 재생 (5초 당 적용)</t>
    <phoneticPr fontId="1" type="noConversion"/>
  </si>
  <si>
    <t>ELECTRIC_RCV</t>
    <phoneticPr fontId="1" type="noConversion"/>
  </si>
  <si>
    <t>전기력 재생(5초당)</t>
  </si>
  <si>
    <t>Status_Recover_Electic</t>
  </si>
  <si>
    <t>Status_Recover_Mana</t>
    <phoneticPr fontId="1" type="noConversion"/>
  </si>
  <si>
    <t>마나 재생 (5초 당 적용)</t>
    <phoneticPr fontId="1" type="noConversion"/>
  </si>
  <si>
    <t>MANA_RCV</t>
  </si>
  <si>
    <t>마나 재생(5초당)</t>
  </si>
  <si>
    <t>Status_Recover_Mana</t>
  </si>
  <si>
    <t>Status_Skill_Stamina</t>
    <phoneticPr fontId="1" type="noConversion"/>
  </si>
  <si>
    <t>스킬 사용 시 스태미너 소모효율</t>
    <phoneticPr fontId="1" type="noConversion"/>
  </si>
  <si>
    <t>skill_base_info.spend_value * (1 - 총 스탯수치/10000)</t>
    <phoneticPr fontId="1" type="noConversion"/>
  </si>
  <si>
    <t>STAMINA_SKILL</t>
    <phoneticPr fontId="1" type="noConversion"/>
  </si>
  <si>
    <t>-</t>
    <phoneticPr fontId="1" type="noConversion"/>
  </si>
  <si>
    <t>Status_Skill_Electic</t>
    <phoneticPr fontId="1" type="noConversion"/>
  </si>
  <si>
    <t>스킬 사용 시 전기력 소모효율</t>
    <phoneticPr fontId="1" type="noConversion"/>
  </si>
  <si>
    <t>ELECTRIC_SKILL</t>
    <phoneticPr fontId="1" type="noConversion"/>
  </si>
  <si>
    <t>Status_Skill_Mana</t>
    <phoneticPr fontId="1" type="noConversion"/>
  </si>
  <si>
    <t>스킬 사용 시 마나 소모효율</t>
    <phoneticPr fontId="1" type="noConversion"/>
  </si>
  <si>
    <t>MANA_SKILL</t>
    <phoneticPr fontId="1" type="noConversion"/>
  </si>
  <si>
    <t>Status_Damage_Min_P</t>
  </si>
  <si>
    <t>최소 물리 대미지</t>
    <phoneticPr fontId="1" type="noConversion"/>
  </si>
  <si>
    <t>핵심</t>
  </si>
  <si>
    <t>DMG_P_MIN</t>
    <phoneticPr fontId="1" type="noConversion"/>
  </si>
  <si>
    <t>최소 대미지 (물리)</t>
  </si>
  <si>
    <t>Status_Damage_Max_P</t>
  </si>
  <si>
    <t>최대 물리 대미지</t>
    <phoneticPr fontId="1" type="noConversion"/>
  </si>
  <si>
    <t>DMG_P_MAX</t>
    <phoneticPr fontId="1" type="noConversion"/>
  </si>
  <si>
    <t>Status_Damage_Min_M</t>
  </si>
  <si>
    <t>최소 마법 대미지</t>
    <phoneticPr fontId="1" type="noConversion"/>
  </si>
  <si>
    <t>DMG_M_MIN</t>
    <phoneticPr fontId="1" type="noConversion"/>
  </si>
  <si>
    <t>최소 대미지 (마법)</t>
  </si>
  <si>
    <t>Status_Damage_Max_M</t>
  </si>
  <si>
    <t>최대 마법 대미지</t>
    <phoneticPr fontId="1" type="noConversion"/>
  </si>
  <si>
    <t>DMG_M_MAX</t>
    <phoneticPr fontId="1" type="noConversion"/>
  </si>
  <si>
    <t>Status_Damage_Reduce_P</t>
  </si>
  <si>
    <t>물리 대미지 감소</t>
    <phoneticPr fontId="1" type="noConversion"/>
  </si>
  <si>
    <t>물리 대미지 감소</t>
  </si>
  <si>
    <t>DMG_RDU_P</t>
    <phoneticPr fontId="1" type="noConversion"/>
  </si>
  <si>
    <t>방어력 (물리)</t>
  </si>
  <si>
    <t>Status_Defence_P</t>
  </si>
  <si>
    <t>Status_Damage_Reduce_M</t>
    <phoneticPr fontId="1" type="noConversion"/>
  </si>
  <si>
    <t>마법 대미지 감소</t>
    <phoneticPr fontId="1" type="noConversion"/>
  </si>
  <si>
    <t>마법 대미지 감소</t>
  </si>
  <si>
    <t>DMG_RDU_M</t>
    <phoneticPr fontId="1" type="noConversion"/>
  </si>
  <si>
    <t>방어력 (마법)</t>
  </si>
  <si>
    <t>Status_Defence_M</t>
  </si>
  <si>
    <t>Status_Critical</t>
    <phoneticPr fontId="1" type="noConversion"/>
  </si>
  <si>
    <t>CRIT</t>
    <phoneticPr fontId="1" type="noConversion"/>
  </si>
  <si>
    <t>치명타 발생 확률</t>
  </si>
  <si>
    <t>Status_Damage_Critical_Prob</t>
  </si>
  <si>
    <t>Status_Critical_Damage</t>
    <phoneticPr fontId="1" type="noConversion"/>
  </si>
  <si>
    <t>총 대미지수치 * (총 스탯수치/10000)</t>
    <phoneticPr fontId="1" type="noConversion"/>
  </si>
  <si>
    <t>CRIT_DMG</t>
    <phoneticPr fontId="1" type="noConversion"/>
  </si>
  <si>
    <t>치명타 대미지 배율</t>
  </si>
  <si>
    <t>Status_Damage_Critical_Rate</t>
  </si>
  <si>
    <t>Status_Penetrate_P</t>
    <phoneticPr fontId="1" type="noConversion"/>
  </si>
  <si>
    <t>물리 관통률</t>
    <phoneticPr fontId="1" type="noConversion"/>
  </si>
  <si>
    <t>물리 대미지 감소 무효화 확률</t>
    <phoneticPr fontId="1" type="noConversion"/>
  </si>
  <si>
    <t>총 스탯수치 (상대의 물리 대미지 감소 수치를 0으로 환산)</t>
    <phoneticPr fontId="1" type="noConversion"/>
  </si>
  <si>
    <t>PENET_P</t>
    <phoneticPr fontId="1" type="noConversion"/>
  </si>
  <si>
    <t>Status_Penetrate_M</t>
    <phoneticPr fontId="1" type="noConversion"/>
  </si>
  <si>
    <t>마법 관통률</t>
    <phoneticPr fontId="1" type="noConversion"/>
  </si>
  <si>
    <t>마법 대미지 감소 무효화 확률</t>
    <phoneticPr fontId="1" type="noConversion"/>
  </si>
  <si>
    <t>총 스탯수치 (상대의 마법 대미지 감소 수치를 0으로 환산)</t>
    <phoneticPr fontId="1" type="noConversion"/>
  </si>
  <si>
    <t>PENET_M</t>
    <phoneticPr fontId="1" type="noConversion"/>
  </si>
  <si>
    <t>Status_Block_P</t>
    <phoneticPr fontId="1" type="noConversion"/>
  </si>
  <si>
    <t>물리 블락율</t>
    <phoneticPr fontId="1" type="noConversion"/>
  </si>
  <si>
    <t>물리 대미지 무효화 확률</t>
    <phoneticPr fontId="1" type="noConversion"/>
  </si>
  <si>
    <t>총 스탯수치 (내가 피격될 때 물리 대미지를 0으로 환산)</t>
    <phoneticPr fontId="1" type="noConversion"/>
  </si>
  <si>
    <t>BLK_P</t>
    <phoneticPr fontId="1" type="noConversion"/>
  </si>
  <si>
    <t>Status_Block_M</t>
    <phoneticPr fontId="1" type="noConversion"/>
  </si>
  <si>
    <t>마법 블락율</t>
    <phoneticPr fontId="1" type="noConversion"/>
  </si>
  <si>
    <t>마법 대미지 무효화 확률</t>
    <phoneticPr fontId="1" type="noConversion"/>
  </si>
  <si>
    <t>총 스탯수치 (내가 피격될 때 마법 대미지를 0으로 환산)</t>
    <phoneticPr fontId="1" type="noConversion"/>
  </si>
  <si>
    <t>BLK_M</t>
    <phoneticPr fontId="1" type="noConversion"/>
  </si>
  <si>
    <t>Status_Accuracy</t>
    <phoneticPr fontId="1" type="noConversion"/>
  </si>
  <si>
    <t>총 스탯수치 (명중판정 = 나의 명중률 - 상대방의 회피율)</t>
    <phoneticPr fontId="1" type="noConversion"/>
  </si>
  <si>
    <t>ACCRY</t>
    <phoneticPr fontId="1" type="noConversion"/>
  </si>
  <si>
    <t>명중률</t>
  </si>
  <si>
    <t>Status_Accuracy_Rate</t>
  </si>
  <si>
    <t>Status_Evasion</t>
    <phoneticPr fontId="1" type="noConversion"/>
  </si>
  <si>
    <t>회피율</t>
    <phoneticPr fontId="1" type="noConversion"/>
  </si>
  <si>
    <t>EVADE</t>
    <phoneticPr fontId="1" type="noConversion"/>
  </si>
  <si>
    <t>Status_Speed_Attack</t>
    <phoneticPr fontId="1" type="noConversion"/>
  </si>
  <si>
    <t>r10000</t>
  </si>
  <si>
    <t>공격 속도 효율</t>
    <phoneticPr fontId="1" type="noConversion"/>
  </si>
  <si>
    <t>1 + 총 스탯수치/10000</t>
    <phoneticPr fontId="1" type="noConversion"/>
  </si>
  <si>
    <t>SPD_ATK</t>
    <phoneticPr fontId="1" type="noConversion"/>
  </si>
  <si>
    <t>공격 속도</t>
  </si>
  <si>
    <t>Status_Speed_Attack</t>
  </si>
  <si>
    <t>Status_Speed_Casting</t>
    <phoneticPr fontId="1" type="noConversion"/>
  </si>
  <si>
    <t>스킬 쿨타임</t>
    <phoneticPr fontId="1" type="noConversion"/>
  </si>
  <si>
    <t>스킬 쿨타임 효율</t>
    <phoneticPr fontId="1" type="noConversion"/>
  </si>
  <si>
    <t>skill_base_info.cooltime * (1 - 총 스탯수치/10000)</t>
    <phoneticPr fontId="1" type="noConversion"/>
  </si>
  <si>
    <t>SPD_CAST</t>
    <phoneticPr fontId="1" type="noConversion"/>
  </si>
  <si>
    <t>스킬 시전 속도</t>
  </si>
  <si>
    <t>Status_Speed_Casting</t>
  </si>
  <si>
    <t>Status_Speed_Move</t>
    <phoneticPr fontId="1" type="noConversion"/>
  </si>
  <si>
    <t>이동 속도 효율</t>
    <phoneticPr fontId="1" type="noConversion"/>
  </si>
  <si>
    <t>SPD_MOVE</t>
    <phoneticPr fontId="1" type="noConversion"/>
  </si>
  <si>
    <t>이동 속도</t>
  </si>
  <si>
    <t>Status_Speed_Move</t>
  </si>
  <si>
    <t>Status_Speed_Mining</t>
    <phoneticPr fontId="1" type="noConversion"/>
  </si>
  <si>
    <t>채집 속도 효율</t>
    <phoneticPr fontId="1" type="noConversion"/>
  </si>
  <si>
    <t>SPD_MINE</t>
    <phoneticPr fontId="1" type="noConversion"/>
  </si>
  <si>
    <t>채집 속도</t>
  </si>
  <si>
    <t>Status_Speed_Mining</t>
  </si>
  <si>
    <t>Status_Vs_Human</t>
    <phoneticPr fontId="1" type="noConversion"/>
  </si>
  <si>
    <t>인간형 특화 대미지</t>
    <phoneticPr fontId="1" type="noConversion"/>
  </si>
  <si>
    <t>vs인간형 대미지</t>
    <phoneticPr fontId="1" type="noConversion"/>
  </si>
  <si>
    <t>속성/특화</t>
  </si>
  <si>
    <t>VS_HUMAN</t>
    <phoneticPr fontId="1" type="noConversion"/>
  </si>
  <si>
    <t>상성배율_인간형</t>
  </si>
  <si>
    <t>Status_Vs_Human</t>
  </si>
  <si>
    <t>Status_Vs_Demon</t>
    <phoneticPr fontId="1" type="noConversion"/>
  </si>
  <si>
    <t>악마형 특화 대미지</t>
    <phoneticPr fontId="1" type="noConversion"/>
  </si>
  <si>
    <t>vs악마형 대미지</t>
  </si>
  <si>
    <t>VS_DEMON</t>
    <phoneticPr fontId="1" type="noConversion"/>
  </si>
  <si>
    <t>Status_Vs_Devil</t>
  </si>
  <si>
    <t>Status_Vs_Mech</t>
    <phoneticPr fontId="1" type="noConversion"/>
  </si>
  <si>
    <t>기계형 특화 대미지</t>
    <phoneticPr fontId="1" type="noConversion"/>
  </si>
  <si>
    <t>vs기계형 대미지</t>
  </si>
  <si>
    <t>VS_MECH</t>
    <phoneticPr fontId="1" type="noConversion"/>
  </si>
  <si>
    <t>Status_Vs_Mech</t>
  </si>
  <si>
    <t>Status_Vs_Undead</t>
    <phoneticPr fontId="1" type="noConversion"/>
  </si>
  <si>
    <t>언데드형 특화 대미지</t>
    <phoneticPr fontId="1" type="noConversion"/>
  </si>
  <si>
    <t>vs언데드형 대미지</t>
  </si>
  <si>
    <t>VS_UNDEAD</t>
    <phoneticPr fontId="1" type="noConversion"/>
  </si>
  <si>
    <t>Status_Vs_Undead</t>
  </si>
  <si>
    <t>Status_Vs_Beast</t>
    <phoneticPr fontId="1" type="noConversion"/>
  </si>
  <si>
    <t>야수형 특화 대미지</t>
    <phoneticPr fontId="1" type="noConversion"/>
  </si>
  <si>
    <t>vs야수형 대미지</t>
  </si>
  <si>
    <t>VS_BEAST</t>
    <phoneticPr fontId="1" type="noConversion"/>
  </si>
  <si>
    <t>Status_Vs_Animal</t>
  </si>
  <si>
    <t>Status_Reduce_Human</t>
    <phoneticPr fontId="1" type="noConversion"/>
  </si>
  <si>
    <t>인간형 특화 저항</t>
    <phoneticPr fontId="1" type="noConversion"/>
  </si>
  <si>
    <t>vs인간형 특화 저항</t>
    <phoneticPr fontId="1" type="noConversion"/>
  </si>
  <si>
    <t>총 특화대미지 * (1 - 총 스탯수치/10000)</t>
    <phoneticPr fontId="1" type="noConversion"/>
  </si>
  <si>
    <t>RDU_HUMAN</t>
    <phoneticPr fontId="1" type="noConversion"/>
  </si>
  <si>
    <t>Status_Reduce_Demon</t>
    <phoneticPr fontId="1" type="noConversion"/>
  </si>
  <si>
    <t>악마형 특화 저항</t>
    <phoneticPr fontId="1" type="noConversion"/>
  </si>
  <si>
    <t>vs악마형 특화 저항</t>
    <phoneticPr fontId="1" type="noConversion"/>
  </si>
  <si>
    <t>RDU_DEMON</t>
    <phoneticPr fontId="1" type="noConversion"/>
  </si>
  <si>
    <t>Status_Reduce_Mech</t>
    <phoneticPr fontId="1" type="noConversion"/>
  </si>
  <si>
    <t>기계형 특화 저항</t>
    <phoneticPr fontId="1" type="noConversion"/>
  </si>
  <si>
    <t>vs기계형 특화 저항</t>
    <phoneticPr fontId="1" type="noConversion"/>
  </si>
  <si>
    <t>총 특화대미지 * (1 - 총 스탯수치/10000)</t>
  </si>
  <si>
    <t>RDU_MECH</t>
    <phoneticPr fontId="1" type="noConversion"/>
  </si>
  <si>
    <t>Status_Reduce_Undead</t>
    <phoneticPr fontId="1" type="noConversion"/>
  </si>
  <si>
    <t>언데드형 특화 저항</t>
    <phoneticPr fontId="1" type="noConversion"/>
  </si>
  <si>
    <t>vs언데드형 특화 저항</t>
    <phoneticPr fontId="1" type="noConversion"/>
  </si>
  <si>
    <t>RDU_UNDEAD</t>
    <phoneticPr fontId="1" type="noConversion"/>
  </si>
  <si>
    <t>Status_Reduce_Beast</t>
    <phoneticPr fontId="1" type="noConversion"/>
  </si>
  <si>
    <t>야수형 특화 저항</t>
    <phoneticPr fontId="1" type="noConversion"/>
  </si>
  <si>
    <t>vs야수형 특화 저항</t>
    <phoneticPr fontId="1" type="noConversion"/>
  </si>
  <si>
    <t>RDU_BEAST</t>
    <phoneticPr fontId="1" type="noConversion"/>
  </si>
  <si>
    <t>Status_Attribute_Fire</t>
  </si>
  <si>
    <t>파이어 속성 대미지</t>
    <phoneticPr fontId="1" type="noConversion"/>
  </si>
  <si>
    <t>ATR_FIRE</t>
    <phoneticPr fontId="1" type="noConversion"/>
  </si>
  <si>
    <t>Status_Attribute_Ice</t>
  </si>
  <si>
    <t>아이스 속성 대미지</t>
    <phoneticPr fontId="1" type="noConversion"/>
  </si>
  <si>
    <t>ATR_ICE</t>
    <phoneticPr fontId="1" type="noConversion"/>
  </si>
  <si>
    <t>Status_Attribute_Wind</t>
  </si>
  <si>
    <t>윈드 속성 대미지</t>
    <phoneticPr fontId="1" type="noConversion"/>
  </si>
  <si>
    <t>ATR_WIND</t>
    <phoneticPr fontId="1" type="noConversion"/>
  </si>
  <si>
    <t>Status_Attribute_Stone</t>
    <phoneticPr fontId="1" type="noConversion"/>
  </si>
  <si>
    <t>스톤 속성 대미지</t>
    <phoneticPr fontId="1" type="noConversion"/>
  </si>
  <si>
    <t>ATR_STONE</t>
    <phoneticPr fontId="1" type="noConversion"/>
  </si>
  <si>
    <t>Status_Attribute_Earth</t>
  </si>
  <si>
    <t>Status_Reduce_Fire</t>
    <phoneticPr fontId="1" type="noConversion"/>
  </si>
  <si>
    <t>파이어 속성 저항</t>
    <phoneticPr fontId="1" type="noConversion"/>
  </si>
  <si>
    <t>총 속성대미지 * (1 - 총 스탯수치/10000)</t>
    <phoneticPr fontId="1" type="noConversion"/>
  </si>
  <si>
    <t>RDU_FIRE</t>
    <phoneticPr fontId="1" type="noConversion"/>
  </si>
  <si>
    <t>Status_Attribute_Fire_Resist</t>
  </si>
  <si>
    <t>Status_Reduce_Ice</t>
    <phoneticPr fontId="1" type="noConversion"/>
  </si>
  <si>
    <t>아이스 속성 저항</t>
    <phoneticPr fontId="1" type="noConversion"/>
  </si>
  <si>
    <t>RDU_ICE</t>
    <phoneticPr fontId="1" type="noConversion"/>
  </si>
  <si>
    <t>Status_Attribute_Ice_Resist</t>
  </si>
  <si>
    <t>Status_Reduce_Wind</t>
    <phoneticPr fontId="1" type="noConversion"/>
  </si>
  <si>
    <t>윈드 속성 저항</t>
    <phoneticPr fontId="1" type="noConversion"/>
  </si>
  <si>
    <t>총 속성대미지 * (1 - 총 스탯수치/10000)</t>
  </si>
  <si>
    <t>RDU_WIND</t>
    <phoneticPr fontId="1" type="noConversion"/>
  </si>
  <si>
    <t>Status_Attribute_Wind_Resist</t>
  </si>
  <si>
    <t>Status_Reduce_Stone</t>
    <phoneticPr fontId="1" type="noConversion"/>
  </si>
  <si>
    <t>스톤 속성 저항</t>
    <phoneticPr fontId="1" type="noConversion"/>
  </si>
  <si>
    <t>RDU_STONE</t>
    <phoneticPr fontId="1" type="noConversion"/>
  </si>
  <si>
    <t>Status_Attribute_Earth_Resist</t>
  </si>
  <si>
    <t>Status_Resist_Stun</t>
    <phoneticPr fontId="1" type="noConversion"/>
  </si>
  <si>
    <t>기절 저항</t>
  </si>
  <si>
    <t>상태이상 '기절' 적용 확률 감소</t>
  </si>
  <si>
    <t>총 스탯수치 (각 상태이상 적용 확률 만분율값 합연산)</t>
    <phoneticPr fontId="1" type="noConversion"/>
  </si>
  <si>
    <t>상태이상</t>
  </si>
  <si>
    <t>CDT_STUN_RES</t>
    <phoneticPr fontId="1" type="noConversion"/>
  </si>
  <si>
    <t>Status_Condition_Stun_Resist</t>
  </si>
  <si>
    <t>Status_Resist_Fear</t>
    <phoneticPr fontId="1" type="noConversion"/>
  </si>
  <si>
    <t>공포 저항</t>
  </si>
  <si>
    <t>상태이상 '공포' 적용 확률 감소</t>
  </si>
  <si>
    <t>CDT_FEAR_RES</t>
    <phoneticPr fontId="1" type="noConversion"/>
  </si>
  <si>
    <t>Status_Condition_Fear_Resist</t>
  </si>
  <si>
    <t>Status_Resist_Chaos</t>
    <phoneticPr fontId="1" type="noConversion"/>
  </si>
  <si>
    <t>혼란 저항</t>
  </si>
  <si>
    <t>상태이상 '혼란' 적용 확률 감소</t>
  </si>
  <si>
    <t>CDT_CHAOS_RES</t>
    <phoneticPr fontId="1" type="noConversion"/>
  </si>
  <si>
    <t>Status_Condition_Chaos_Resist</t>
  </si>
  <si>
    <t>Status_Resist_Poison</t>
    <phoneticPr fontId="1" type="noConversion"/>
  </si>
  <si>
    <t>중독 저항</t>
  </si>
  <si>
    <t>상태이상 '중독' 적용 확률 감소</t>
  </si>
  <si>
    <t>CDT_POISON_RES</t>
    <phoneticPr fontId="1" type="noConversion"/>
  </si>
  <si>
    <t>Status_Resist_Silence</t>
    <phoneticPr fontId="1" type="noConversion"/>
  </si>
  <si>
    <t>침묵 저항</t>
  </si>
  <si>
    <t>상태이상 '침묵' 적용 확률 감소</t>
  </si>
  <si>
    <t>CDT_SILENCE_RES</t>
    <phoneticPr fontId="1" type="noConversion"/>
  </si>
  <si>
    <t>Status_Condition_Silence_Resist</t>
  </si>
  <si>
    <t>Status_Resist_Slow</t>
    <phoneticPr fontId="1" type="noConversion"/>
  </si>
  <si>
    <t>둔화 저항</t>
  </si>
  <si>
    <t>상태이상 '둔화' 적용 확률 감소</t>
  </si>
  <si>
    <t>CDT_SLOW_RES</t>
    <phoneticPr fontId="1" type="noConversion"/>
  </si>
  <si>
    <t>Status_Condition_Slow_Resist</t>
  </si>
  <si>
    <t>Status_Resist_Bleed</t>
    <phoneticPr fontId="1" type="noConversion"/>
  </si>
  <si>
    <t>출혈 저항</t>
  </si>
  <si>
    <t>상태이상 '출혈' 적용 확률 감소</t>
  </si>
  <si>
    <t>CDT_BLEED_RES</t>
    <phoneticPr fontId="1" type="noConversion"/>
  </si>
  <si>
    <t>Status_Condition_Bleed_Resist</t>
  </si>
  <si>
    <t>Status_Resist_Provoke</t>
  </si>
  <si>
    <t>도발 저항</t>
  </si>
  <si>
    <t>상태이상 '도발' 적용 확률 감소</t>
  </si>
  <si>
    <t>CDT_PROVOKE_RES</t>
  </si>
  <si>
    <t>Ability_Resist_Provoke</t>
  </si>
  <si>
    <t>Status_Spirit_Gauge_Rate</t>
    <phoneticPr fontId="1" type="noConversion"/>
  </si>
  <si>
    <t>스피릿 게이지 획득량</t>
  </si>
  <si>
    <t>스피릿 게이지 획득량 증가</t>
  </si>
  <si>
    <t>monster_base_info.spirit_point * (1 + 총 스탯수치/10000)</t>
    <phoneticPr fontId="1" type="noConversion"/>
  </si>
  <si>
    <t>스피릿</t>
  </si>
  <si>
    <t>SPIRIT_GAUGE_RATE</t>
    <phoneticPr fontId="1" type="noConversion"/>
  </si>
  <si>
    <t>스피릿(스피릿 게이지) 추가 획득량</t>
  </si>
  <si>
    <t>Status_Result_Spirit_Add</t>
  </si>
  <si>
    <t>Status_Spirit_Time_Rate</t>
    <phoneticPr fontId="1" type="noConversion"/>
  </si>
  <si>
    <t>스피릿 모드 발동시간</t>
  </si>
  <si>
    <t>스피릿 모드 발동시간 증가</t>
  </si>
  <si>
    <t>기본 발동시간 * (1 + 총 스탯수치/10000)</t>
    <phoneticPr fontId="1" type="noConversion"/>
  </si>
  <si>
    <t>SPIRIT_TIME_RATE</t>
    <phoneticPr fontId="1" type="noConversion"/>
  </si>
  <si>
    <t>Status_Spirit_Orb_Prob</t>
    <phoneticPr fontId="1" type="noConversion"/>
  </si>
  <si>
    <t>마블 획득확률</t>
  </si>
  <si>
    <t>스피릿 모드 중 마블 획득확률 증가</t>
  </si>
  <si>
    <t>기본 획득확률 * (1 + 총 스탯수치/10000)</t>
    <phoneticPr fontId="1" type="noConversion"/>
  </si>
  <si>
    <t>SPIRIT_ORB_RATE</t>
    <phoneticPr fontId="1" type="noConversion"/>
  </si>
  <si>
    <t>정수(스피릿 구슬) 획득 확률</t>
  </si>
  <si>
    <t>Status_Result_Soul_Prob</t>
  </si>
  <si>
    <t>Status_Spirit_Orb_Bonus</t>
    <phoneticPr fontId="1" type="noConversion"/>
  </si>
  <si>
    <t>마블 추가 획득확률</t>
  </si>
  <si>
    <t>스피릿 모드 중 마블 추가획득확률 증가</t>
  </si>
  <si>
    <t>기본 추가획득확률 * (1 + 총 스탯수치/10000)</t>
    <phoneticPr fontId="1" type="noConversion"/>
  </si>
  <si>
    <t>SPIRIT_ORB_BONUS</t>
    <phoneticPr fontId="1" type="noConversion"/>
  </si>
  <si>
    <t>Status_Result_Exp_Rate</t>
    <phoneticPr fontId="1" type="noConversion"/>
  </si>
  <si>
    <t>경험치 획득량</t>
  </si>
  <si>
    <t>획득 경험치 배율 증가</t>
    <phoneticPr fontId="1" type="noConversion"/>
  </si>
  <si>
    <t>경험치획득 MIN-MAX 판정값 * (1 + 총 스탯수치/10000)</t>
    <phoneticPr fontId="1" type="noConversion"/>
  </si>
  <si>
    <t>기타</t>
  </si>
  <si>
    <t>EXP_RATE</t>
    <phoneticPr fontId="1" type="noConversion"/>
  </si>
  <si>
    <t>획득 경험치 배율</t>
  </si>
  <si>
    <t>Status_Result_Exp_Rate</t>
  </si>
  <si>
    <t>Status_Result_Gold_Rate</t>
    <phoneticPr fontId="1" type="noConversion"/>
  </si>
  <si>
    <t>라임 획득량</t>
  </si>
  <si>
    <t>획득 라임(골드) 배율 증가</t>
    <phoneticPr fontId="1" type="noConversion"/>
  </si>
  <si>
    <t>골드획득 MIN-MAX 판정값 * (1 + 총 스탯수치/10000)</t>
    <phoneticPr fontId="1" type="noConversion"/>
  </si>
  <si>
    <t>GOLD_RATE</t>
    <phoneticPr fontId="1" type="noConversion"/>
  </si>
  <si>
    <t>Status_Result_Gold_Rate</t>
  </si>
  <si>
    <t>Status_Result_Item_Prob</t>
    <phoneticPr fontId="1" type="noConversion"/>
  </si>
  <si>
    <t>아이템 획득확률</t>
  </si>
  <si>
    <t>아이템 드랍률 배율 증가</t>
    <phoneticPr fontId="1" type="noConversion"/>
  </si>
  <si>
    <t>monster_reward.pickup_rate * (1 + 총 스탯수치/10000)</t>
    <phoneticPr fontId="1" type="noConversion"/>
  </si>
  <si>
    <t>ITEM_PROB</t>
    <phoneticPr fontId="1" type="noConversion"/>
  </si>
  <si>
    <t>아이템 획득 확률</t>
  </si>
  <si>
    <t>Status_Result_Item_Prob</t>
  </si>
  <si>
    <t>Status_Result_Extra_Mining_Prob</t>
    <phoneticPr fontId="1" type="noConversion"/>
  </si>
  <si>
    <t>채집자원 추가 획득확률</t>
  </si>
  <si>
    <t>채집자원 획득 시 추가 획득확률 증가</t>
    <phoneticPr fontId="1" type="noConversion"/>
  </si>
  <si>
    <t>MINING_PROB</t>
    <phoneticPr fontId="1" type="noConversion"/>
  </si>
  <si>
    <t>채집 자원 추가 획득확률</t>
  </si>
  <si>
    <t>Status_Result_Extra_Mining_Prob</t>
  </si>
  <si>
    <t>총 스탯수치 (PvP 한정 적용)</t>
    <phoneticPr fontId="1" type="noConversion"/>
  </si>
  <si>
    <t>PvP</t>
  </si>
  <si>
    <t>PvP시 물리 대미지 감소</t>
    <phoneticPr fontId="1" type="noConversion"/>
  </si>
  <si>
    <t>DMG_RDU_P_PVP</t>
    <phoneticPr fontId="1" type="noConversion"/>
  </si>
  <si>
    <t>PvP시 마법 대미지 감소</t>
    <phoneticPr fontId="1" type="noConversion"/>
  </si>
  <si>
    <t>DMG_RDU_M_PVP</t>
    <phoneticPr fontId="1" type="noConversion"/>
  </si>
  <si>
    <t>PvP시 물리 대미지 무효화 확률</t>
    <phoneticPr fontId="1" type="noConversion"/>
  </si>
  <si>
    <t>PvP시 마법 대미지 무효화 확률</t>
    <phoneticPr fontId="1" type="noConversion"/>
  </si>
  <si>
    <t>Status_Item_Lost_PvP</t>
    <phoneticPr fontId="1" type="noConversion"/>
  </si>
  <si>
    <t>PvP 아이템 드롭방지확률</t>
  </si>
  <si>
    <t>PvP시 아이템 드랍 방지 확률</t>
    <phoneticPr fontId="1" type="noConversion"/>
  </si>
  <si>
    <t>ITEM_LOST_PVP</t>
    <phoneticPr fontId="1" type="noConversion"/>
  </si>
  <si>
    <t>PK 당할경우 아이템 드랍 방지 확률</t>
  </si>
  <si>
    <t>Status_Pk_Prevention_Itemdrop_Prob</t>
  </si>
  <si>
    <t>Status_Inventory_Weight</t>
    <phoneticPr fontId="1" type="noConversion"/>
  </si>
  <si>
    <t>최대 무게</t>
    <phoneticPr fontId="1" type="noConversion"/>
  </si>
  <si>
    <t>인벤토리 최대 소지 무게</t>
  </si>
  <si>
    <t>총 스탯수치 (character_base_lvup_status)</t>
  </si>
  <si>
    <t>INVEN_WEIGHT</t>
  </si>
  <si>
    <t>Status_Condition_Time_Rate</t>
    <phoneticPr fontId="1" type="noConversion"/>
  </si>
  <si>
    <t>모든 상태이상 시간 증감율</t>
    <phoneticPr fontId="1" type="noConversion"/>
  </si>
  <si>
    <t>상태이상 적용시간 비율 증감</t>
    <phoneticPr fontId="1" type="noConversion"/>
  </si>
  <si>
    <t>상태이상 최종시간 * (1 - 총 스탯수치/10000)</t>
    <phoneticPr fontId="1" type="noConversion"/>
  </si>
  <si>
    <t>기타</t>
    <phoneticPr fontId="1" type="noConversion"/>
  </si>
  <si>
    <t>CDT_TIME_RATE</t>
    <phoneticPr fontId="1" type="noConversion"/>
  </si>
  <si>
    <t>Status_Summon_Aidia</t>
    <phoneticPr fontId="1" type="noConversion"/>
  </si>
  <si>
    <t>소환수 소환</t>
    <phoneticPr fontId="1" type="noConversion"/>
  </si>
  <si>
    <t>SUMMON</t>
    <phoneticPr fontId="1" type="noConversion"/>
  </si>
  <si>
    <t>에이디아 소환 전용 스테이터스</t>
  </si>
  <si>
    <t>Status_Summon_Aidia</t>
  </si>
  <si>
    <t>1레벨</t>
    <phoneticPr fontId="1" type="noConversion"/>
  </si>
  <si>
    <t>150레벨</t>
    <phoneticPr fontId="1" type="noConversion"/>
  </si>
  <si>
    <t>120레벨</t>
    <phoneticPr fontId="1" type="noConversion"/>
  </si>
  <si>
    <t>캐릭터</t>
    <phoneticPr fontId="1" type="noConversion"/>
  </si>
  <si>
    <t>탈것</t>
    <phoneticPr fontId="1" type="noConversion"/>
  </si>
  <si>
    <t>합</t>
    <phoneticPr fontId="1" type="noConversion"/>
  </si>
  <si>
    <t>5분 쿨</t>
    <phoneticPr fontId="1" type="noConversion"/>
  </si>
  <si>
    <t>1시간</t>
    <phoneticPr fontId="1" type="noConversion"/>
  </si>
  <si>
    <t>12개</t>
    <phoneticPr fontId="1" type="noConversion"/>
  </si>
  <si>
    <t>6시간</t>
    <phoneticPr fontId="1" type="noConversion"/>
  </si>
  <si>
    <t>72개</t>
    <phoneticPr fontId="1" type="noConversion"/>
  </si>
  <si>
    <t xml:space="preserve"> + a 시간당 포션</t>
    <phoneticPr fontId="1" type="noConversion"/>
  </si>
  <si>
    <t>2시간</t>
    <phoneticPr fontId="1" type="noConversion"/>
  </si>
  <si>
    <t>24개</t>
    <phoneticPr fontId="1" type="noConversion"/>
  </si>
  <si>
    <t>포션</t>
    <phoneticPr fontId="1" type="noConversion"/>
  </si>
  <si>
    <t>버프</t>
    <phoneticPr fontId="1" type="noConversion"/>
  </si>
  <si>
    <t xml:space="preserve">2000 베이스 </t>
    <phoneticPr fontId="1" type="noConversion"/>
  </si>
  <si>
    <t>4000 Max</t>
    <phoneticPr fontId="1" type="noConversion"/>
  </si>
  <si>
    <t>1500 장비</t>
    <phoneticPr fontId="1" type="noConversion"/>
  </si>
  <si>
    <t>500 포션</t>
    <phoneticPr fontId="1" type="noConversion"/>
  </si>
  <si>
    <t>기준</t>
    <phoneticPr fontId="1" type="noConversion"/>
  </si>
  <si>
    <t>3배수 + 포션 + 보조 + 잡템 + 퀘템 &gt; 추후 체크</t>
    <phoneticPr fontId="1" type="noConversion"/>
  </si>
  <si>
    <t>기존: 95</t>
    <phoneticPr fontId="1" type="noConversion"/>
  </si>
  <si>
    <t>엠</t>
    <phoneticPr fontId="1" type="noConversion"/>
  </si>
  <si>
    <t>합계</t>
    <phoneticPr fontId="1" type="noConversion"/>
  </si>
  <si>
    <t>보조</t>
    <phoneticPr fontId="1" type="noConversion"/>
  </si>
  <si>
    <t>HP 회복약 (소) - 회복량 35 고정</t>
    <phoneticPr fontId="1" type="noConversion"/>
  </si>
  <si>
    <t>마방2</t>
    <phoneticPr fontId="1" type="noConversion"/>
  </si>
  <si>
    <t>물방1</t>
    <phoneticPr fontId="1" type="noConversion"/>
  </si>
  <si>
    <t>마방1</t>
    <phoneticPr fontId="1" type="noConversion"/>
  </si>
  <si>
    <t>물방2</t>
    <phoneticPr fontId="1" type="noConversion"/>
  </si>
  <si>
    <t>마방3</t>
    <phoneticPr fontId="1" type="noConversion"/>
  </si>
  <si>
    <t>물방3</t>
    <phoneticPr fontId="1" type="noConversion"/>
  </si>
  <si>
    <t>enchant_stat_group</t>
    <phoneticPr fontId="1" type="noConversion"/>
  </si>
  <si>
    <t>체력 재생(5초 당 전체수치 대비 회복율)</t>
    <phoneticPr fontId="1" type="noConversion"/>
  </si>
  <si>
    <t>스태미너 재생(5초 당 전체수치 대비 회복율)</t>
    <phoneticPr fontId="1" type="noConversion"/>
  </si>
  <si>
    <t>전기력 재생(5초 당 전체수치 대비 회복율)</t>
    <phoneticPr fontId="1" type="noConversion"/>
  </si>
  <si>
    <t>마나 재생(5초 당 전체수치 대비 회복율)</t>
    <phoneticPr fontId="1" type="noConversion"/>
  </si>
  <si>
    <t>스태미너 소모효율(스킬쓸때 MP소모량 비율증감)</t>
    <phoneticPr fontId="1" type="noConversion"/>
  </si>
  <si>
    <t>전기력 소모효율(스킬쓸때 MP소모량 비율증감)</t>
    <phoneticPr fontId="1" type="noConversion"/>
  </si>
  <si>
    <t>마나 소모효율(스킬쓸때 MP소모량 비율증감)</t>
    <phoneticPr fontId="1" type="noConversion"/>
  </si>
  <si>
    <t>.</t>
    <phoneticPr fontId="1" type="noConversion"/>
  </si>
  <si>
    <t>Status_Damage_Min_P_PvP</t>
    <phoneticPr fontId="1" type="noConversion"/>
  </si>
  <si>
    <t>PvP 물리 최소대미지</t>
    <phoneticPr fontId="1" type="noConversion"/>
  </si>
  <si>
    <t>PvP시 최소 물리 대미지 감소</t>
    <phoneticPr fontId="1" type="noConversion"/>
  </si>
  <si>
    <t>DMG_P_MIN_PVP</t>
    <phoneticPr fontId="1" type="noConversion"/>
  </si>
  <si>
    <t>Status_Damage_Max_P_PvP</t>
    <phoneticPr fontId="1" type="noConversion"/>
  </si>
  <si>
    <t>PvP 물리 최대대미지</t>
    <phoneticPr fontId="1" type="noConversion"/>
  </si>
  <si>
    <t>PvP시 최대 물리 대미지 감소</t>
    <phoneticPr fontId="1" type="noConversion"/>
  </si>
  <si>
    <t>DMG_P_MAX_PVP</t>
    <phoneticPr fontId="1" type="noConversion"/>
  </si>
  <si>
    <t>Status_Damage_Min_M_PvP</t>
    <phoneticPr fontId="1" type="noConversion"/>
  </si>
  <si>
    <t>PvP 마법 최소대미지</t>
    <phoneticPr fontId="1" type="noConversion"/>
  </si>
  <si>
    <t>PvP시 최소 마법 대미지 감소</t>
    <phoneticPr fontId="1" type="noConversion"/>
  </si>
  <si>
    <t>DMG_M_MIN_PVP</t>
    <phoneticPr fontId="1" type="noConversion"/>
  </si>
  <si>
    <t>Status_Damage_Max_M_PvP</t>
    <phoneticPr fontId="1" type="noConversion"/>
  </si>
  <si>
    <t>PvP 마법 최대대미지</t>
    <phoneticPr fontId="1" type="noConversion"/>
  </si>
  <si>
    <t>PvP시 최대 마법 대미지 감소</t>
    <phoneticPr fontId="1" type="noConversion"/>
  </si>
  <si>
    <t>DMG_M_MAX_PVP</t>
    <phoneticPr fontId="1" type="noConversion"/>
  </si>
  <si>
    <t>Status_Damage_Reduce_P_PvP</t>
    <phoneticPr fontId="1" type="noConversion"/>
  </si>
  <si>
    <t>PvP 물리 대미지감소</t>
    <phoneticPr fontId="1" type="noConversion"/>
  </si>
  <si>
    <t>Status_Damage_Reduce_M_PvP</t>
    <phoneticPr fontId="1" type="noConversion"/>
  </si>
  <si>
    <t>PvP 마법 대미지감소</t>
    <phoneticPr fontId="1" type="noConversion"/>
  </si>
  <si>
    <t>Status_Accuracy_PvP</t>
    <phoneticPr fontId="1" type="noConversion"/>
  </si>
  <si>
    <t>PvP 명중률</t>
    <phoneticPr fontId="1" type="noConversion"/>
  </si>
  <si>
    <t>ACCRY_PVP</t>
    <phoneticPr fontId="1" type="noConversion"/>
  </si>
  <si>
    <t>Status_Evasion_PvP</t>
    <phoneticPr fontId="1" type="noConversion"/>
  </si>
  <si>
    <t>PvP 회피율</t>
    <phoneticPr fontId="1" type="noConversion"/>
  </si>
  <si>
    <t>EVADE_PVP</t>
    <phoneticPr fontId="1" type="noConversion"/>
  </si>
  <si>
    <t>Status_Mp</t>
    <phoneticPr fontId="1" type="noConversion"/>
  </si>
  <si>
    <t>보조자원 (스태미너/전기력/마나 통합)</t>
    <phoneticPr fontId="1" type="noConversion"/>
  </si>
  <si>
    <t>최대 보조자원</t>
    <phoneticPr fontId="1" type="noConversion"/>
  </si>
  <si>
    <t>총 스탯수치</t>
  </si>
  <si>
    <t>MP</t>
  </si>
  <si>
    <t>Ability_Mp</t>
  </si>
  <si>
    <t>Status_Recover_Mp</t>
    <phoneticPr fontId="1" type="noConversion"/>
  </si>
  <si>
    <t>보조자원 재생율 (스태미너/전기력/마나 통합)</t>
    <phoneticPr fontId="1" type="noConversion"/>
  </si>
  <si>
    <t>전기력 재생 (5초 당 적용)</t>
  </si>
  <si>
    <t>MP_RCV</t>
  </si>
  <si>
    <t>Ability_Recover_Mp</t>
  </si>
  <si>
    <t>Status_Skill_Mp</t>
    <phoneticPr fontId="1" type="noConversion"/>
  </si>
  <si>
    <t>보조자원 소모효율 (스태미너/전기력/마나 통합)</t>
    <phoneticPr fontId="1" type="noConversion"/>
  </si>
  <si>
    <t>MP_SKILL</t>
    <phoneticPr fontId="1" type="noConversion"/>
  </si>
  <si>
    <t>Ability_Skill_Mp</t>
    <phoneticPr fontId="1" type="noConversion"/>
  </si>
  <si>
    <t>..</t>
    <phoneticPr fontId="1" type="noConversion"/>
  </si>
  <si>
    <t>Status_Hp_Potion_Benefit</t>
    <phoneticPr fontId="1" type="noConversion"/>
  </si>
  <si>
    <t>HP물약 회복효율</t>
    <phoneticPr fontId="1" type="noConversion"/>
  </si>
  <si>
    <t>HP 물약 사용 시 회복 수치 증감</t>
    <phoneticPr fontId="1" type="noConversion"/>
  </si>
  <si>
    <t>POT_HP_ADD</t>
    <phoneticPr fontId="1" type="noConversion"/>
  </si>
  <si>
    <t>Status_Mp_Potion_Benefit</t>
    <phoneticPr fontId="1" type="noConversion"/>
  </si>
  <si>
    <t>MP물약 회복효율 (스태미너/전기력/마나 통합)</t>
    <phoneticPr fontId="1" type="noConversion"/>
  </si>
  <si>
    <t>보조자원 물약 사용 시 회복 수치 증감</t>
    <phoneticPr fontId="1" type="noConversion"/>
  </si>
  <si>
    <t>POT_MP_ADD</t>
    <phoneticPr fontId="1" type="noConversion"/>
  </si>
  <si>
    <t>Status_Critical_Reduce</t>
    <phoneticPr fontId="1" type="noConversion"/>
  </si>
  <si>
    <t>치명타 대미지 감소율</t>
    <phoneticPr fontId="1" type="noConversion"/>
  </si>
  <si>
    <t>치명타 대미지에 대한 비율 감소</t>
    <phoneticPr fontId="1" type="noConversion"/>
  </si>
  <si>
    <t>정산된 치명타 피해량 * (1 - 총 스탯수치/10000)</t>
    <phoneticPr fontId="1" type="noConversion"/>
  </si>
  <si>
    <t>CRIT_RDU</t>
    <phoneticPr fontId="1" type="noConversion"/>
  </si>
  <si>
    <t>Status_Damage_Min_P_Boss</t>
    <phoneticPr fontId="1" type="noConversion"/>
  </si>
  <si>
    <t>vs보스 물리 최소대미지</t>
    <phoneticPr fontId="1" type="noConversion"/>
  </si>
  <si>
    <t>Boss</t>
    <phoneticPr fontId="1" type="noConversion"/>
  </si>
  <si>
    <t>DMG_P_MIN_BOSS</t>
    <phoneticPr fontId="1" type="noConversion"/>
  </si>
  <si>
    <t>Status_Damage_Max_P_Boss</t>
    <phoneticPr fontId="1" type="noConversion"/>
  </si>
  <si>
    <t>vs보스 물리 최대대미지</t>
    <phoneticPr fontId="1" type="noConversion"/>
  </si>
  <si>
    <t>DMG_P_MAX_BOSS</t>
    <phoneticPr fontId="1" type="noConversion"/>
  </si>
  <si>
    <t>Status_Damage_Min_M_Boss</t>
    <phoneticPr fontId="1" type="noConversion"/>
  </si>
  <si>
    <t>vs보스 마법 최소대미지</t>
    <phoneticPr fontId="1" type="noConversion"/>
  </si>
  <si>
    <t>DMG_M_MIN_BOSS</t>
    <phoneticPr fontId="1" type="noConversion"/>
  </si>
  <si>
    <t>Status_Damage_Max_M_Boss</t>
    <phoneticPr fontId="1" type="noConversion"/>
  </si>
  <si>
    <t>vs보스 마법 최대대미지</t>
    <phoneticPr fontId="1" type="noConversion"/>
  </si>
  <si>
    <t>DMG_M_MAX_BOSS</t>
    <phoneticPr fontId="1" type="noConversion"/>
  </si>
  <si>
    <t>Status_Damage_Reduce_P_Boss</t>
    <phoneticPr fontId="1" type="noConversion"/>
  </si>
  <si>
    <t>vs보스 물리 대미지감소</t>
    <phoneticPr fontId="1" type="noConversion"/>
  </si>
  <si>
    <t>DMG_RDU_P_BOSS</t>
    <phoneticPr fontId="1" type="noConversion"/>
  </si>
  <si>
    <t>Status_Damage_Reduce_M_Boss</t>
    <phoneticPr fontId="1" type="noConversion"/>
  </si>
  <si>
    <t>vs보스 마법 대미지감소</t>
    <phoneticPr fontId="1" type="noConversion"/>
  </si>
  <si>
    <t>DMG_RDU_M_BOSS</t>
    <phoneticPr fontId="1" type="noConversion"/>
  </si>
  <si>
    <t>Status_Accuracy_Boss</t>
    <phoneticPr fontId="1" type="noConversion"/>
  </si>
  <si>
    <t>vs보스 명중률</t>
    <phoneticPr fontId="1" type="noConversion"/>
  </si>
  <si>
    <t>ACCRY_BOSS</t>
    <phoneticPr fontId="1" type="noConversion"/>
  </si>
  <si>
    <t>Status_Evasion_Boss</t>
    <phoneticPr fontId="1" type="noConversion"/>
  </si>
  <si>
    <t>vs보스 회피율</t>
    <phoneticPr fontId="1" type="noConversion"/>
  </si>
  <si>
    <t>EVADE_BOSS</t>
    <phoneticPr fontId="1" type="noConversion"/>
  </si>
  <si>
    <t>재빠른 힘의 반지 I</t>
  </si>
  <si>
    <t>재빠른 힘의 반지 II</t>
  </si>
  <si>
    <t>재빠른 힘의 반지 III</t>
  </si>
  <si>
    <t>재빠른 지혜의 반지 I</t>
  </si>
  <si>
    <t>재빠른 지혜의 반지 II</t>
  </si>
  <si>
    <t>재빠른 지혜의 반지 III</t>
  </si>
  <si>
    <t>재빠른 힘의 목걸이 I</t>
    <phoneticPr fontId="1" type="noConversion"/>
  </si>
  <si>
    <t>재빠른 힘의 목걸이 II</t>
    <phoneticPr fontId="1" type="noConversion"/>
  </si>
  <si>
    <t>재빠른 힘의 목걸이 III</t>
    <phoneticPr fontId="1" type="noConversion"/>
  </si>
  <si>
    <t>재빠른 지혜의 목걸이 I</t>
    <phoneticPr fontId="1" type="noConversion"/>
  </si>
  <si>
    <t>재빠른 지혜의 목걸이 II</t>
    <phoneticPr fontId="1" type="noConversion"/>
  </si>
  <si>
    <t>재빠른 지혜의 목걸이 III</t>
    <phoneticPr fontId="1" type="noConversion"/>
  </si>
  <si>
    <t>재빠른 기민성의 목걸이 I</t>
    <phoneticPr fontId="1" type="noConversion"/>
  </si>
  <si>
    <t>재빠른 기민성의 목걸이 II</t>
    <phoneticPr fontId="1" type="noConversion"/>
  </si>
  <si>
    <t>재빠른 기민성의 목걸이 III</t>
    <phoneticPr fontId="1" type="noConversion"/>
  </si>
  <si>
    <t>재빠른 체질의 목걸이 I</t>
    <phoneticPr fontId="1" type="noConversion"/>
  </si>
  <si>
    <t>재빠른 체질의 목걸이 II</t>
    <phoneticPr fontId="1" type="noConversion"/>
  </si>
  <si>
    <t>재빠른 체질의 목걸이 III</t>
    <phoneticPr fontId="1" type="noConversion"/>
  </si>
  <si>
    <t>재빠른 통솔력의 목걸이 I</t>
    <phoneticPr fontId="1" type="noConversion"/>
  </si>
  <si>
    <t>재빠른 통솔력의 목걸이 II</t>
    <phoneticPr fontId="1" type="noConversion"/>
  </si>
  <si>
    <t>재빠른 통솔력의 목걸이 III</t>
    <phoneticPr fontId="1" type="noConversion"/>
  </si>
  <si>
    <t>치명적인 힘의 목걸이 I</t>
  </si>
  <si>
    <t>치명적인 힘의 목걸이 II</t>
  </si>
  <si>
    <t>치명적인 힘의 목걸이 III</t>
  </si>
  <si>
    <t>치명적인 지혜의 목걸이 I</t>
  </si>
  <si>
    <t>치명적인 지혜의 목걸이 II</t>
  </si>
  <si>
    <t>치명적인 지혜의 목걸이 III</t>
  </si>
  <si>
    <t>치명적인 기민성의 목걸이 I</t>
  </si>
  <si>
    <t>치명적인 기민성의 목걸이 II</t>
  </si>
  <si>
    <t>치명적인 기민성의 목걸이 III</t>
  </si>
  <si>
    <t>치명적인 체질의 목걸이 I</t>
  </si>
  <si>
    <t>치명적인 체질의 목걸이 II</t>
  </si>
  <si>
    <t>치명적인 체질의 목걸이 III</t>
  </si>
  <si>
    <t>치명적인 통솔력의 목걸이 I</t>
  </si>
  <si>
    <t>치명적인 통솔력의 목걸이 II</t>
  </si>
  <si>
    <t>치명적인 통솔력의 목걸이 III</t>
  </si>
  <si>
    <t>재빠른 기민성의 반지 I</t>
  </si>
  <si>
    <t>재빠른 기민성의 반지 II</t>
  </si>
  <si>
    <t>재빠른 기민성의 반지 III</t>
  </si>
  <si>
    <t>재빠른 체질의 반지 I</t>
  </si>
  <si>
    <t>재빠른 체질의 반지 II</t>
  </si>
  <si>
    <t>재빠른 체질의 반지 III</t>
  </si>
  <si>
    <t>재빠른 통솔력의 반지 I</t>
  </si>
  <si>
    <t>재빠른 통솔력의 반지 II</t>
  </si>
  <si>
    <t>재빠른 통솔력의 반지 III</t>
  </si>
  <si>
    <t>치명적인 힘의 반지 I</t>
  </si>
  <si>
    <t>치명적인 힘의 반지 II</t>
  </si>
  <si>
    <t>치명적인 힘의 반지 III</t>
  </si>
  <si>
    <t>치명적인 지혜의 반지 I</t>
  </si>
  <si>
    <t>치명적인 지혜의 반지 II</t>
  </si>
  <si>
    <t>치명적인 지혜의 반지 III</t>
  </si>
  <si>
    <t>치명적인 기민성의 반지 I</t>
  </si>
  <si>
    <t>치명적인 기민성의 반지 II</t>
  </si>
  <si>
    <t>치명적인 기민성의 반지 III</t>
  </si>
  <si>
    <t>치명적인 체질의 반지 I</t>
  </si>
  <si>
    <t>치명적인 체질의 반지 II</t>
  </si>
  <si>
    <t>치명적인 체질의 반지 III</t>
  </si>
  <si>
    <t>치명적인 통솔력의 반지 I</t>
  </si>
  <si>
    <t>치명적인 통솔력의 반지 II</t>
  </si>
  <si>
    <t>치명적인 통솔력의 반지 III</t>
  </si>
  <si>
    <t>disassemble_contents_gid</t>
    <phoneticPr fontId="1" type="noConversion"/>
  </si>
  <si>
    <t>80100101</t>
  </si>
  <si>
    <t>80101101</t>
  </si>
  <si>
    <t>80103101</t>
  </si>
  <si>
    <t>80103201</t>
  </si>
  <si>
    <t>80103301</t>
  </si>
  <si>
    <t>장비 해체 시 획득물 그룹 id
( reward_group_contents 참조 )</t>
    <phoneticPr fontId="1" type="noConversion"/>
  </si>
  <si>
    <t>어썰트 라이플</t>
  </si>
  <si>
    <t>바이오닉 라이플</t>
  </si>
  <si>
    <t>어썰트 핸드건</t>
  </si>
  <si>
    <t>바이오닉 핸드건</t>
  </si>
  <si>
    <t>어썰트 바이저</t>
  </si>
  <si>
    <t>바이오닉 바이저</t>
  </si>
  <si>
    <t>어썰트 슈트</t>
  </si>
  <si>
    <t>바이오닉 슈트</t>
  </si>
  <si>
    <t>어썰트 디펜더</t>
  </si>
  <si>
    <t>바이오닉 디펜더</t>
  </si>
  <si>
    <t>어썰트 언더슈트</t>
  </si>
  <si>
    <t>바이오닉 언더슈트</t>
  </si>
  <si>
    <t>어썰트 부츠</t>
  </si>
  <si>
    <t>바이오닉 부츠</t>
  </si>
  <si>
    <t>어썰트 글러브</t>
  </si>
  <si>
    <t>바이오닉 글러브</t>
  </si>
  <si>
    <t>소울 팬츠</t>
  </si>
  <si>
    <t>거래소 색인용
아이템 그룹 설정</t>
    <phoneticPr fontId="1" type="noConversion"/>
  </si>
  <si>
    <t>제노 액스</t>
  </si>
  <si>
    <t>브리노 액스</t>
  </si>
  <si>
    <t>메탈 액스</t>
  </si>
  <si>
    <t>파워메탈 액스</t>
  </si>
  <si>
    <t>블러드 액스</t>
  </si>
  <si>
    <t>파황 액스</t>
  </si>
  <si>
    <t>메르두크 액스</t>
  </si>
  <si>
    <t>프란츠 액스</t>
  </si>
  <si>
    <t>인페르니움 액스</t>
  </si>
  <si>
    <t>마린 라이플</t>
  </si>
  <si>
    <t>스카우트 라이플</t>
  </si>
  <si>
    <t>택티컬 라이플</t>
  </si>
  <si>
    <t>아쿠아마린 라이플</t>
  </si>
  <si>
    <t>하르세스 라이플</t>
  </si>
  <si>
    <t>위하르 라이플</t>
  </si>
  <si>
    <t>아카트 라이플</t>
  </si>
  <si>
    <t>윈드스톰 스태프</t>
  </si>
  <si>
    <t>클라우드 스태프</t>
  </si>
  <si>
    <t>사일런스 스태프</t>
  </si>
  <si>
    <t>플레임 스태프</t>
  </si>
  <si>
    <t>소울 스태프</t>
  </si>
  <si>
    <t>스펠 스태프</t>
  </si>
  <si>
    <t>루크 스태프</t>
  </si>
  <si>
    <t>블리자드 스태프</t>
  </si>
  <si>
    <t>컨쥬어 스태프</t>
  </si>
  <si>
    <t>자비 링</t>
  </si>
  <si>
    <t>풍요 링</t>
  </si>
  <si>
    <t>블리스 링</t>
  </si>
  <si>
    <t>패션 링</t>
  </si>
  <si>
    <t>레오파드 링</t>
  </si>
  <si>
    <t>퓨어 링</t>
  </si>
  <si>
    <t>이글 링</t>
  </si>
  <si>
    <t>이시스 링</t>
  </si>
  <si>
    <t>프레어리 링</t>
  </si>
  <si>
    <t>제노 소드</t>
  </si>
  <si>
    <t>브리노 소드</t>
  </si>
  <si>
    <t>메탈 소드</t>
  </si>
  <si>
    <t>파워메탈 소드</t>
  </si>
  <si>
    <t>블러드 소드</t>
  </si>
  <si>
    <t>파황 소드</t>
  </si>
  <si>
    <t>메르두크 소드</t>
  </si>
  <si>
    <t>프란츠 소드</t>
  </si>
  <si>
    <t>인페르니움 소드</t>
  </si>
  <si>
    <t>마린 핸드건</t>
  </si>
  <si>
    <t>스카우트 핸드건</t>
  </si>
  <si>
    <t>택티컬 핸드건</t>
  </si>
  <si>
    <t>아쿠아마린 핸드건</t>
  </si>
  <si>
    <t>하르세스 핸드건</t>
  </si>
  <si>
    <t>위하르 핸드건</t>
  </si>
  <si>
    <t>아카트 핸드건</t>
  </si>
  <si>
    <t>윈드스톰 완드</t>
  </si>
  <si>
    <t>클라우드 완드</t>
  </si>
  <si>
    <t>사일런스 완드</t>
  </si>
  <si>
    <t>플레임 완드</t>
  </si>
  <si>
    <t>소울 완드</t>
  </si>
  <si>
    <t>스펠 완드</t>
  </si>
  <si>
    <t>루크 완드</t>
  </si>
  <si>
    <t>블리자드 완드</t>
  </si>
  <si>
    <t>컨쥬어 완드</t>
  </si>
  <si>
    <t>자비 플루트</t>
  </si>
  <si>
    <t>풍요 플루트</t>
  </si>
  <si>
    <t>블리스 플루트</t>
  </si>
  <si>
    <t>패션 플루트</t>
  </si>
  <si>
    <t>레오파드 플루트</t>
  </si>
  <si>
    <t>퓨어 플루트</t>
  </si>
  <si>
    <t>이글 플루트</t>
  </si>
  <si>
    <t>이시스 플루트</t>
  </si>
  <si>
    <t>프레어리 플루트</t>
  </si>
  <si>
    <t>제노 헬멧</t>
  </si>
  <si>
    <t>브리노 헬멧</t>
  </si>
  <si>
    <t>메탈 헬멧</t>
  </si>
  <si>
    <t>파워메탈 헬멧</t>
  </si>
  <si>
    <t>블러드 헬멧</t>
  </si>
  <si>
    <t>파황 헬멧</t>
  </si>
  <si>
    <t>메르두크 헬멧</t>
  </si>
  <si>
    <t>프란츠 헬멧</t>
  </si>
  <si>
    <t>인페르니움 헬멧</t>
  </si>
  <si>
    <t>마린 바이저</t>
  </si>
  <si>
    <t>스카우트 바이저</t>
  </si>
  <si>
    <t>택티컬 바이저</t>
  </si>
  <si>
    <t>아쿠아마린 바이저</t>
  </si>
  <si>
    <t>하르세스 바이저</t>
  </si>
  <si>
    <t>위하르 바이저</t>
  </si>
  <si>
    <t>아카트 바이저</t>
  </si>
  <si>
    <t>윈드스톰 후드</t>
  </si>
  <si>
    <t>클라우드 후드</t>
  </si>
  <si>
    <t>사일런스 후드</t>
  </si>
  <si>
    <t>플레임 후드</t>
  </si>
  <si>
    <t>소울 후드</t>
  </si>
  <si>
    <t>스펠 후드</t>
  </si>
  <si>
    <t>루크 후드</t>
  </si>
  <si>
    <t>블리자드 후드</t>
  </si>
  <si>
    <t>컨쥬어 후드</t>
  </si>
  <si>
    <t>자비 캡</t>
  </si>
  <si>
    <t>풍요 캡</t>
  </si>
  <si>
    <t>블리스 캡</t>
  </si>
  <si>
    <t>패션 캡</t>
  </si>
  <si>
    <t>레오파드 캡</t>
  </si>
  <si>
    <t>퓨어 캡</t>
  </si>
  <si>
    <t>이글 캡</t>
  </si>
  <si>
    <t>이시스 캡</t>
  </si>
  <si>
    <t>프레어리 캡</t>
  </si>
  <si>
    <t>제노 아머</t>
  </si>
  <si>
    <t>브리노 아머</t>
  </si>
  <si>
    <t>메탈 아머</t>
  </si>
  <si>
    <t>파워메탈 아머</t>
  </si>
  <si>
    <t>블러드 아머</t>
  </si>
  <si>
    <t>파황 아머</t>
  </si>
  <si>
    <t>메르두크 아머</t>
  </si>
  <si>
    <t>프란츠 아머</t>
  </si>
  <si>
    <t>인페르니움 아머</t>
  </si>
  <si>
    <t>마린 슈트</t>
  </si>
  <si>
    <t>스카우트 슈트</t>
  </si>
  <si>
    <t>택티컬 슈트</t>
  </si>
  <si>
    <t>아쿠아마린 슈트</t>
  </si>
  <si>
    <t>하르세스 슈트</t>
  </si>
  <si>
    <t>위하르 슈트</t>
  </si>
  <si>
    <t>아카트 슈트</t>
  </si>
  <si>
    <t>윈드스톰 로브</t>
  </si>
  <si>
    <t>클라우드 로브</t>
  </si>
  <si>
    <t>사일런스 로브</t>
  </si>
  <si>
    <t>플레임 로브</t>
  </si>
  <si>
    <t>소울 로브</t>
  </si>
  <si>
    <t>스펠 로브</t>
  </si>
  <si>
    <t>루크 로브</t>
  </si>
  <si>
    <t>블리자드 로브</t>
  </si>
  <si>
    <t>컨쥬어 로브</t>
  </si>
  <si>
    <t>자비 튜닉</t>
  </si>
  <si>
    <t>풍요 튜닉</t>
  </si>
  <si>
    <t>블리스 튜닉</t>
  </si>
  <si>
    <t>패션 튜닉</t>
  </si>
  <si>
    <t>레오파드 튜닉</t>
  </si>
  <si>
    <t>퓨어 튜닉</t>
  </si>
  <si>
    <t>이글 튜닉</t>
  </si>
  <si>
    <t>이시스 튜닉</t>
  </si>
  <si>
    <t>프레어리 튜닉</t>
  </si>
  <si>
    <t>제노 쉴드</t>
  </si>
  <si>
    <t>브리노 쉴드</t>
  </si>
  <si>
    <t>메탈 쉴드</t>
  </si>
  <si>
    <t>파워메탈 쉴드</t>
  </si>
  <si>
    <t>블러드 쉴드</t>
  </si>
  <si>
    <t>파황 쉴드</t>
  </si>
  <si>
    <t>메르두크 쉴드</t>
  </si>
  <si>
    <t>프란츠 쉴드</t>
  </si>
  <si>
    <t>인페르니움 쉴드</t>
  </si>
  <si>
    <t>마린 디펜더</t>
  </si>
  <si>
    <t>스카우트 디펜더</t>
  </si>
  <si>
    <t>택티컬 디펜더</t>
  </si>
  <si>
    <t>아쿠아마린 디펜더</t>
  </si>
  <si>
    <t>하르세스 디펜더</t>
  </si>
  <si>
    <t>위하르 디펜더</t>
  </si>
  <si>
    <t>아카트 디펜더</t>
  </si>
  <si>
    <t>윈드스톰 클록</t>
  </si>
  <si>
    <t>클라우드 클록</t>
  </si>
  <si>
    <t>사일런스 클록</t>
  </si>
  <si>
    <t>플레임 클록</t>
  </si>
  <si>
    <t>소울 클록</t>
  </si>
  <si>
    <t>스펠 클록</t>
  </si>
  <si>
    <t>루크 클록</t>
  </si>
  <si>
    <t>블리자드 클록</t>
  </si>
  <si>
    <t>컨쥬어 클록</t>
  </si>
  <si>
    <t>자비 윙</t>
  </si>
  <si>
    <t>풍요 윙</t>
  </si>
  <si>
    <t>블리스 윙</t>
  </si>
  <si>
    <t>패션 윙</t>
  </si>
  <si>
    <t>레오파드 윙</t>
  </si>
  <si>
    <t>퓨어 윙</t>
  </si>
  <si>
    <t>이글 윙</t>
  </si>
  <si>
    <t>이시스 윙</t>
  </si>
  <si>
    <t>프레어리 윙</t>
  </si>
  <si>
    <t>제노 언더아머</t>
  </si>
  <si>
    <t>브리노 언더아머</t>
  </si>
  <si>
    <t>메탈 언더아머</t>
  </si>
  <si>
    <t>파워메탈 언더아머</t>
  </si>
  <si>
    <t>블러드 언더아머</t>
  </si>
  <si>
    <t>파황 언더아머</t>
  </si>
  <si>
    <t>메르두크 언더아머</t>
  </si>
  <si>
    <t>프란츠 언더아머</t>
  </si>
  <si>
    <t>인페르니움 언더아머</t>
  </si>
  <si>
    <t>마린 언더슈트</t>
  </si>
  <si>
    <t>스카우트 언더슈트</t>
  </si>
  <si>
    <t>택티컬 언더슈트</t>
  </si>
  <si>
    <t>아쿠아마린 언더슈트</t>
  </si>
  <si>
    <t>하르세스 언더슈트</t>
  </si>
  <si>
    <t>위하르 언더슈트</t>
  </si>
  <si>
    <t>아카트 언더슈트</t>
  </si>
  <si>
    <t>윈드스톰 팬츠</t>
  </si>
  <si>
    <t>클라우드 팬츠</t>
  </si>
  <si>
    <t>사일런스 팬츠</t>
  </si>
  <si>
    <t>플레임 팬츠</t>
  </si>
  <si>
    <t>스펠 팬츠</t>
  </si>
  <si>
    <t>루크 팬츠</t>
  </si>
  <si>
    <t>블리자드 팬츠</t>
  </si>
  <si>
    <t>컨쥬어 팬츠</t>
  </si>
  <si>
    <t>자비 팬츠</t>
  </si>
  <si>
    <t>풍요 팬츠</t>
  </si>
  <si>
    <t>블리스 팬츠</t>
  </si>
  <si>
    <t>패션 팬츠</t>
  </si>
  <si>
    <t>레오파드 팬츠</t>
  </si>
  <si>
    <t>퓨어 팬츠</t>
  </si>
  <si>
    <t>이글 팬츠</t>
  </si>
  <si>
    <t>이시스 팬츠</t>
  </si>
  <si>
    <t>프레어리 팬츠</t>
  </si>
  <si>
    <t>제노 부츠</t>
  </si>
  <si>
    <t>브리노 부츠</t>
  </si>
  <si>
    <t>메탈 부츠</t>
  </si>
  <si>
    <t>파워메탈 부츠</t>
  </si>
  <si>
    <t>블러드 부츠</t>
  </si>
  <si>
    <t>파황 부츠</t>
  </si>
  <si>
    <t>메르두크 부츠</t>
  </si>
  <si>
    <t>프란츠 부츠</t>
  </si>
  <si>
    <t>인페르니움 부츠</t>
  </si>
  <si>
    <t>마린 부츠</t>
  </si>
  <si>
    <t>스카우트 부츠</t>
  </si>
  <si>
    <t>택티컬 부츠</t>
  </si>
  <si>
    <t>아쿠아마린 부츠</t>
  </si>
  <si>
    <t>하르세스 부츠</t>
  </si>
  <si>
    <t>위하르 부츠</t>
  </si>
  <si>
    <t>아카트 부츠</t>
  </si>
  <si>
    <t>윈드스톰 부츠</t>
  </si>
  <si>
    <t>클라우드 부츠</t>
  </si>
  <si>
    <t>사일런스 부츠</t>
  </si>
  <si>
    <t>플레임 부츠</t>
  </si>
  <si>
    <t>스펠 부츠</t>
  </si>
  <si>
    <t>루크 부츠</t>
  </si>
  <si>
    <t>블리자드 부츠</t>
  </si>
  <si>
    <t>컨쥬어 부츠</t>
  </si>
  <si>
    <t>자비 부츠</t>
  </si>
  <si>
    <t>풍요 부츠</t>
  </si>
  <si>
    <t>블리스 부츠</t>
  </si>
  <si>
    <t>패션 부츠</t>
  </si>
  <si>
    <t>레오파드 부츠</t>
  </si>
  <si>
    <t>퓨어 부츠</t>
  </si>
  <si>
    <t>이글 부츠</t>
  </si>
  <si>
    <t>이시스 부츠</t>
  </si>
  <si>
    <t>프레어리 부츠</t>
  </si>
  <si>
    <t>제노 글러브</t>
  </si>
  <si>
    <t>브리노 글러브</t>
  </si>
  <si>
    <t>메탈 글러브</t>
  </si>
  <si>
    <t>파워메탈 글러브</t>
  </si>
  <si>
    <t>블러드 글러브</t>
  </si>
  <si>
    <t>파황 글러브</t>
  </si>
  <si>
    <t>인페르니움 글러브</t>
  </si>
  <si>
    <t>마린 글러브</t>
  </si>
  <si>
    <t>스카우트 글러브</t>
  </si>
  <si>
    <t>택티컬 글러브</t>
  </si>
  <si>
    <t>아쿠아마린 글러브</t>
  </si>
  <si>
    <t>위하르 글러브</t>
  </si>
  <si>
    <t>아카트 글러브</t>
  </si>
  <si>
    <t>윈드스톰 글러브</t>
  </si>
  <si>
    <t>클라우드 글러브</t>
  </si>
  <si>
    <t>사일런스 글러브</t>
  </si>
  <si>
    <t>플레임 글러브</t>
  </si>
  <si>
    <t>스펠 글러브</t>
  </si>
  <si>
    <t>블리자드 글러브</t>
  </si>
  <si>
    <t>컨쥬어 글러브</t>
  </si>
  <si>
    <t>자비 글러브</t>
  </si>
  <si>
    <t>풍요 글러브</t>
  </si>
  <si>
    <t>패션 글러브</t>
  </si>
  <si>
    <t>레오파드 글러브</t>
  </si>
  <si>
    <t>퓨어 글러브</t>
  </si>
  <si>
    <t>이글 글러브</t>
  </si>
  <si>
    <t>이시스 글러브</t>
  </si>
  <si>
    <t>프레어리 글러브</t>
  </si>
  <si>
    <t>identify_slot_group</t>
    <phoneticPr fontId="1" type="noConversion"/>
  </si>
  <si>
    <t>장비 감정 시
슬롯의 개수를 결정하는
그룹
(item_equip_identify_slot 참조)</t>
    <phoneticPr fontId="1" type="noConversion"/>
  </si>
  <si>
    <t>identify_ability_group</t>
    <phoneticPr fontId="1" type="noConversion"/>
  </si>
  <si>
    <t>장비 감정 시
슬롯의 개수만큼
효과를 결정하는 그룹
(item_equip_identify_option 참조)</t>
    <phoneticPr fontId="1" type="noConversion"/>
  </si>
  <si>
    <t>등급</t>
    <phoneticPr fontId="1" type="noConversion"/>
  </si>
  <si>
    <t>부위</t>
    <phoneticPr fontId="1" type="noConversion"/>
  </si>
  <si>
    <t>등급 + 부위</t>
    <phoneticPr fontId="1" type="noConversion"/>
  </si>
  <si>
    <t>감정 슬롯 그룹</t>
    <phoneticPr fontId="1" type="noConversion"/>
  </si>
  <si>
    <t>감정 옵션 그룹</t>
  </si>
  <si>
    <t>장비강화 상태별
스탯 변동 그룹 정의</t>
    <phoneticPr fontId="1" type="noConversion"/>
  </si>
  <si>
    <t>장비 획득 시
채팅창 알림 여부
0 = 안함
1 = 알림</t>
    <phoneticPr fontId="1" type="noConversion"/>
  </si>
  <si>
    <t>item_delete</t>
    <phoneticPr fontId="1" type="noConversion"/>
  </si>
  <si>
    <t>그룹별
삭제 가능 여부</t>
    <phoneticPr fontId="1" type="noConversion"/>
  </si>
  <si>
    <t>직접 입력
삭제 가능 여부</t>
    <phoneticPr fontId="1" type="noConversion"/>
  </si>
  <si>
    <t>삭제여부</t>
    <phoneticPr fontId="1" type="noConversion"/>
  </si>
  <si>
    <t>아이템 삭제
가능 여부</t>
    <phoneticPr fontId="1" type="noConversion"/>
  </si>
  <si>
    <t>main_weapon_0001</t>
  </si>
  <si>
    <t>main_weapon_0002</t>
  </si>
  <si>
    <t>main_weapon_0003</t>
  </si>
  <si>
    <t>main_weapon_0004</t>
  </si>
  <si>
    <t>main_weapon_0005</t>
  </si>
  <si>
    <t>sub_weapon_0001</t>
  </si>
  <si>
    <t>sub_weapon_0002</t>
  </si>
  <si>
    <t>sub_weapon_0003</t>
  </si>
  <si>
    <t>sub_weapon_0004</t>
  </si>
  <si>
    <t>sub_weapon_0005</t>
  </si>
  <si>
    <t>head_0001</t>
  </si>
  <si>
    <t>head_0002</t>
  </si>
  <si>
    <t>head_0003</t>
  </si>
  <si>
    <t>head_0004</t>
  </si>
  <si>
    <t>head_0005</t>
  </si>
  <si>
    <t>upper_0001</t>
  </si>
  <si>
    <t>upper_0002</t>
  </si>
  <si>
    <t>upper_0003</t>
  </si>
  <si>
    <t>upper_0004</t>
  </si>
  <si>
    <t>upper_0005</t>
  </si>
  <si>
    <t>sub_armor_0001</t>
  </si>
  <si>
    <t>sub_armor_0002</t>
  </si>
  <si>
    <t>sub_armor_0003</t>
  </si>
  <si>
    <t>sub_armor_0004</t>
  </si>
  <si>
    <t>sub_armor_0005</t>
  </si>
  <si>
    <t>lower_0001</t>
  </si>
  <si>
    <t>lower_0002</t>
  </si>
  <si>
    <t>lower_0003</t>
  </si>
  <si>
    <t>lower_0004</t>
  </si>
  <si>
    <t>lower_0005</t>
  </si>
  <si>
    <t>boots_0001</t>
  </si>
  <si>
    <t>boots_0002</t>
  </si>
  <si>
    <t>boots_0003</t>
  </si>
  <si>
    <t>boots_0004</t>
  </si>
  <si>
    <t>boots_0005</t>
  </si>
  <si>
    <t>glove_0001</t>
  </si>
  <si>
    <t>glove_0002</t>
  </si>
  <si>
    <t>glove_0003</t>
  </si>
  <si>
    <t>glove_0004</t>
  </si>
  <si>
    <t>glove_0005</t>
  </si>
  <si>
    <t>necklace_0001</t>
  </si>
  <si>
    <t>necklace_0002</t>
  </si>
  <si>
    <t>necklace_0003</t>
  </si>
  <si>
    <t>ring_0001</t>
  </si>
  <si>
    <t>ring_0002</t>
  </si>
  <si>
    <t>ring_0003</t>
  </si>
  <si>
    <t>jewel_slot_group</t>
    <phoneticPr fontId="1" type="noConversion"/>
  </si>
  <si>
    <t>int</t>
    <phoneticPr fontId="1" type="noConversion"/>
  </si>
  <si>
    <t>보석 슬롯 수 및 장착할 수 있는 보석 슬롯 계열을 지정</t>
    <phoneticPr fontId="1" type="noConversion"/>
  </si>
  <si>
    <t>팔찌</t>
    <phoneticPr fontId="1" type="noConversion"/>
  </si>
  <si>
    <t>귀걸이</t>
    <phoneticPr fontId="1" type="noConversion"/>
  </si>
  <si>
    <t>신전 마도사의 팔찌</t>
    <phoneticPr fontId="1" type="noConversion"/>
  </si>
  <si>
    <t>신전 소환사의 팔찌</t>
    <phoneticPr fontId="1" type="noConversion"/>
  </si>
  <si>
    <t>신전 수비대의 팔찌</t>
    <phoneticPr fontId="1" type="noConversion"/>
  </si>
  <si>
    <t>신전 전사장의 귀걸이</t>
  </si>
  <si>
    <t>신전 수비대의 귀걸이</t>
  </si>
  <si>
    <t>신전 마도사의 귀걸이</t>
  </si>
  <si>
    <t>bracelet_0001</t>
  </si>
  <si>
    <t>bracelet_0002</t>
  </si>
  <si>
    <t>bracelet_0003</t>
  </si>
  <si>
    <t>bracelet_0004</t>
  </si>
  <si>
    <t>drop_accessory_earring</t>
  </si>
  <si>
    <t>earring_0004</t>
    <phoneticPr fontId="1" type="noConversion"/>
  </si>
  <si>
    <t>earring_0003</t>
    <phoneticPr fontId="1" type="noConversion"/>
  </si>
  <si>
    <t>earring_0002</t>
    <phoneticPr fontId="1" type="noConversion"/>
  </si>
  <si>
    <t>earring_0001</t>
    <phoneticPr fontId="1" type="noConversion"/>
  </si>
  <si>
    <t>찬란한 태양 팔찌</t>
    <phoneticPr fontId="1" type="noConversion"/>
  </si>
  <si>
    <t>싸늘한 달빛 귀걸이</t>
    <phoneticPr fontId="1" type="noConversion"/>
  </si>
  <si>
    <t>11110002</t>
  </si>
  <si>
    <t>체질의 반지</t>
    <phoneticPr fontId="1" type="noConversion"/>
  </si>
  <si>
    <t>item_bg_grade_01</t>
    <phoneticPr fontId="1" type="noConversion"/>
  </si>
  <si>
    <t>warehouse_use</t>
    <phoneticPr fontId="1" type="noConversion"/>
  </si>
  <si>
    <t>공용창고
보관 여부
0 = 불가능
1 = 가능</t>
    <phoneticPr fontId="1" type="noConversion"/>
  </si>
  <si>
    <t xml:space="preserve">상점용 제노 액스 </t>
  </si>
  <si>
    <t xml:space="preserve">상점용 마린 라이플 </t>
  </si>
  <si>
    <t xml:space="preserve">상점용 윈드스톰 스태프 </t>
  </si>
  <si>
    <t xml:space="preserve">상점용 자비 링 </t>
  </si>
  <si>
    <t xml:space="preserve">상점용 제노 소드 </t>
  </si>
  <si>
    <t xml:space="preserve">상점용 마린 핸드건 </t>
  </si>
  <si>
    <t xml:space="preserve">상점용 윈드스톰 완드 </t>
  </si>
  <si>
    <t xml:space="preserve">상점용 자비 플루트 </t>
  </si>
  <si>
    <t xml:space="preserve">상점용 제노 헬멧 </t>
  </si>
  <si>
    <t xml:space="preserve">상점용 마린 바이저 </t>
  </si>
  <si>
    <t xml:space="preserve">상점용 윈드스톰 후드 </t>
  </si>
  <si>
    <t xml:space="preserve">상점용 자비 캡 </t>
  </si>
  <si>
    <t xml:space="preserve">상점용 제노 아머 </t>
  </si>
  <si>
    <t xml:space="preserve">상점용 마린 슈트 </t>
  </si>
  <si>
    <t xml:space="preserve">상점용 윈드스톰 로브 </t>
  </si>
  <si>
    <t xml:space="preserve">상점용 자비 튜닉 </t>
  </si>
  <si>
    <t xml:space="preserve">상점용 제노 쉴드 </t>
  </si>
  <si>
    <t xml:space="preserve">상점용 마린 디펜더 </t>
  </si>
  <si>
    <t xml:space="preserve">상점용 윈드스톰 클록 </t>
  </si>
  <si>
    <t xml:space="preserve">상점용 자비 윙 </t>
  </si>
  <si>
    <t xml:space="preserve">상점용 제노 언더아머 </t>
  </si>
  <si>
    <t xml:space="preserve">상점용 마린 언더슈트 </t>
  </si>
  <si>
    <t xml:space="preserve">상점용 윈드스톰 팬츠 </t>
  </si>
  <si>
    <t xml:space="preserve">상점용 자비 팬츠 </t>
  </si>
  <si>
    <t xml:space="preserve">상점용 제노 부츠 </t>
  </si>
  <si>
    <t xml:space="preserve">상점용 마린 부츠 </t>
  </si>
  <si>
    <t xml:space="preserve">상점용 윈드스톰 부츠 </t>
  </si>
  <si>
    <t xml:space="preserve">상점용 자비 부츠 </t>
  </si>
  <si>
    <t xml:space="preserve">상점용 제노 글러브 </t>
  </si>
  <si>
    <t xml:space="preserve">상점용 마린 글러브 </t>
  </si>
  <si>
    <t xml:space="preserve">상점용 윈드스톰 글러브 </t>
  </si>
  <si>
    <t xml:space="preserve">상점용 자비 글러브 </t>
  </si>
  <si>
    <t>판매 가능 여부
0 = 판매 불가
1 = 판매 가능</t>
    <phoneticPr fontId="1" type="noConversion"/>
  </si>
  <si>
    <t>sell_type</t>
    <phoneticPr fontId="1" type="noConversion"/>
  </si>
  <si>
    <t>미스틱 루크 스태프</t>
  </si>
  <si>
    <t>미스틱 루크 완드</t>
  </si>
  <si>
    <t>미스틱 루크 후드</t>
  </si>
  <si>
    <t>미스틱 루크 로브</t>
  </si>
  <si>
    <t>미스틱 루크 클록</t>
  </si>
  <si>
    <t>미스틱 루크 팬츠</t>
  </si>
  <si>
    <t>미스틱 루크 부츠</t>
  </si>
  <si>
    <t>미스틱 루크 글러브</t>
  </si>
  <si>
    <t>버닝 프란츠 액스</t>
  </si>
  <si>
    <t>버닝 프란츠 소드</t>
  </si>
  <si>
    <t>버닝 프란츠 헬멧</t>
  </si>
  <si>
    <t>버닝 프란츠 아머</t>
  </si>
  <si>
    <t>버닝 프란츠 쉴드</t>
  </si>
  <si>
    <t>버닝 프란츠 언더아머</t>
  </si>
  <si>
    <t>버닝 프란츠 부츠</t>
  </si>
  <si>
    <t>버닝 프란츠 글러브</t>
  </si>
  <si>
    <t>크림슨 나이트 액스</t>
  </si>
  <si>
    <t>크림슨 나이트 소드</t>
  </si>
  <si>
    <t>크림슨 나이트 헬멧</t>
  </si>
  <si>
    <t>크림슨 나이트 아머</t>
  </si>
  <si>
    <t>크림슨 나이트 쉴드</t>
  </si>
  <si>
    <t>크림슨 나이트 언더아머</t>
  </si>
  <si>
    <t>크림슨 나이트 부츠</t>
  </si>
  <si>
    <t>크림슨 나이트 글러브</t>
  </si>
  <si>
    <t>코발트 나이트 라이플</t>
  </si>
  <si>
    <t>코발트 나이트 핸드건</t>
  </si>
  <si>
    <t>코발트 나이트 바이저</t>
  </si>
  <si>
    <t>코발트 나이트 슈트</t>
  </si>
  <si>
    <t>코발트 나이트 디펜더</t>
  </si>
  <si>
    <t>코발트 나이트 언더슈트</t>
  </si>
  <si>
    <t>코발트 나이트 부츠</t>
  </si>
  <si>
    <t>코발트 나이트 글러브</t>
  </si>
  <si>
    <t>이리듐 스태프</t>
  </si>
  <si>
    <t>이리듐 완드</t>
  </si>
  <si>
    <t>이리듐 후드</t>
  </si>
  <si>
    <t>이리듐 로브</t>
  </si>
  <si>
    <t>이리듐 클록</t>
  </si>
  <si>
    <t>이리듐 팬츠</t>
  </si>
  <si>
    <t>이리듐 부츠</t>
  </si>
  <si>
    <t>이리듐 글러브</t>
  </si>
  <si>
    <t>팔라듐 라이플</t>
  </si>
  <si>
    <t>팔라듐 핸드건</t>
  </si>
  <si>
    <t>팔라듐 바이저</t>
  </si>
  <si>
    <t>팔라듐 슈트</t>
  </si>
  <si>
    <t>팔라듐 디펜더</t>
  </si>
  <si>
    <t>팔라듐 언더슈트</t>
  </si>
  <si>
    <t>팔라듐 부츠</t>
  </si>
  <si>
    <t>팔라듐 글러브</t>
  </si>
  <si>
    <t>플래티늄 액스</t>
  </si>
  <si>
    <t>플래티늄 소드</t>
  </si>
  <si>
    <t>플래티늄 헬멧</t>
  </si>
  <si>
    <t>플래티늄 아머</t>
  </si>
  <si>
    <t>플래티늄 쉴드</t>
  </si>
  <si>
    <t>플래티늄 언더아머</t>
  </si>
  <si>
    <t>플래티늄 부츠</t>
  </si>
  <si>
    <t>플래티늄 글러브</t>
  </si>
  <si>
    <t>오레올린 나이트 스태프</t>
  </si>
  <si>
    <t>오레올린 나이트 완드</t>
  </si>
  <si>
    <t>오레올린 나이트 후드</t>
  </si>
  <si>
    <t>오레올린 나이트 로브</t>
  </si>
  <si>
    <t>오레올린 나이트 클록</t>
  </si>
  <si>
    <t>오레올린 나이트 팬츠</t>
  </si>
  <si>
    <t>오레올린 나이트 부츠</t>
  </si>
  <si>
    <t>오레올린 나이트 글러브</t>
  </si>
  <si>
    <t>프러시안 나이트 링</t>
  </si>
  <si>
    <t>프러시안 나이트 플루트</t>
  </si>
  <si>
    <t>프러시안 나이트 튜닉</t>
  </si>
  <si>
    <t>프러시안 나이트 윙</t>
  </si>
  <si>
    <t>프러시안 나이트 팬츠</t>
  </si>
  <si>
    <t>프러시안 나이트 부츠</t>
  </si>
  <si>
    <t>프러시안 나이트 글러브</t>
  </si>
  <si>
    <t>제노 메탈 액스</t>
  </si>
  <si>
    <t>매틱 액스</t>
  </si>
  <si>
    <t>듀크 액스</t>
  </si>
  <si>
    <t>테우르츠 액스</t>
  </si>
  <si>
    <t>코닉플레임 액스</t>
  </si>
  <si>
    <t>크리거 액스</t>
  </si>
  <si>
    <t>스커미셔 라이플</t>
  </si>
  <si>
    <t>인팬트리 라이플</t>
  </si>
  <si>
    <t>불릿프루프 라이플</t>
  </si>
  <si>
    <t>셀베이션 라이플</t>
  </si>
  <si>
    <t>파이어마린 라이플</t>
  </si>
  <si>
    <t>이지스 라이플</t>
  </si>
  <si>
    <t>뱅퀴쉬 라이플</t>
  </si>
  <si>
    <t>마그네틱 스태프</t>
  </si>
  <si>
    <t>마쉬 스태프</t>
  </si>
  <si>
    <t>스타라이트 스태프</t>
  </si>
  <si>
    <t>마그마 스태프</t>
  </si>
  <si>
    <t>마나인플런스 스태프</t>
  </si>
  <si>
    <t>블레이즈 스태프</t>
  </si>
  <si>
    <t>크리스탈 링</t>
  </si>
  <si>
    <t>호프 링</t>
  </si>
  <si>
    <t>섀도우 링</t>
  </si>
  <si>
    <t>오로라 링</t>
  </si>
  <si>
    <t>세인트 링</t>
  </si>
  <si>
    <t>로듐 링</t>
  </si>
  <si>
    <t>선샤인 링</t>
  </si>
  <si>
    <t>라이프가디언 링</t>
  </si>
  <si>
    <t>제노 메탈 소드</t>
  </si>
  <si>
    <t>매틱 소드</t>
  </si>
  <si>
    <t>듀크 소드</t>
  </si>
  <si>
    <t>테우르츠 소드</t>
  </si>
  <si>
    <t>코닉플레임 소드</t>
  </si>
  <si>
    <t>크리거 소드</t>
  </si>
  <si>
    <t>스커미셔 핸드건</t>
  </si>
  <si>
    <t>인팬트리 핸드건</t>
  </si>
  <si>
    <t>불릿프루프 핸드건</t>
  </si>
  <si>
    <t>셀베이션 핸드건</t>
  </si>
  <si>
    <t>파이어마린 핸드건</t>
  </si>
  <si>
    <t>이지스 핸드건</t>
  </si>
  <si>
    <t>뱅퀴쉬 핸드건</t>
  </si>
  <si>
    <t>마그네틱 완드</t>
  </si>
  <si>
    <t>마쉬 완드</t>
  </si>
  <si>
    <t>스타라이트 완드</t>
  </si>
  <si>
    <t>마그마 완드</t>
  </si>
  <si>
    <t>마나인플런스 완드</t>
  </si>
  <si>
    <t>블레이즈 완드</t>
  </si>
  <si>
    <t>크리스탈 플루트</t>
  </si>
  <si>
    <t>호프 플루트</t>
  </si>
  <si>
    <t>섀도우 플루트</t>
  </si>
  <si>
    <t>오로라 플루트</t>
  </si>
  <si>
    <t>세인트 플루트</t>
  </si>
  <si>
    <t>로듐 플루트</t>
  </si>
  <si>
    <t>선샤인 플루트</t>
  </si>
  <si>
    <t>라이프가디언 플루트</t>
  </si>
  <si>
    <t>제노 메탈 헬멧</t>
  </si>
  <si>
    <t>매틱 헬멧</t>
  </si>
  <si>
    <t>듀크 헬멧</t>
  </si>
  <si>
    <t>테우르츠 헬멧</t>
  </si>
  <si>
    <t>코닉플레임 헬멧</t>
  </si>
  <si>
    <t>크리거 헬멧</t>
  </si>
  <si>
    <t>스커미셔 바이저</t>
  </si>
  <si>
    <t>인팬트리 바이저</t>
  </si>
  <si>
    <t>불릿프루프 바이저</t>
  </si>
  <si>
    <t>셀베이션 바이저</t>
  </si>
  <si>
    <t>파이어마린 바이저</t>
  </si>
  <si>
    <t>이지스 바이저</t>
  </si>
  <si>
    <t>뱅퀴쉬 바이저</t>
  </si>
  <si>
    <t>마그네틱 후드</t>
  </si>
  <si>
    <t>마쉬 후드</t>
  </si>
  <si>
    <t>스타라이트 후드</t>
  </si>
  <si>
    <t>마그마 후드</t>
  </si>
  <si>
    <t>마나인플런스 후드</t>
  </si>
  <si>
    <t>블레이즈 후드</t>
  </si>
  <si>
    <t>크리스탈 캡</t>
  </si>
  <si>
    <t>호프 캡</t>
  </si>
  <si>
    <t>프러시안 나이트 캡</t>
  </si>
  <si>
    <t>섀도우 캡</t>
  </si>
  <si>
    <t>오로라 캡</t>
  </si>
  <si>
    <t>세인트 캡</t>
  </si>
  <si>
    <t>로듐 캡</t>
  </si>
  <si>
    <t>선샤인 캡</t>
  </si>
  <si>
    <t>라이프가디언 캡</t>
  </si>
  <si>
    <t>제노 메탈 아머</t>
  </si>
  <si>
    <t>매틱 아머</t>
  </si>
  <si>
    <t>듀크 아머</t>
  </si>
  <si>
    <t>테우르츠 아머</t>
  </si>
  <si>
    <t>코닉플레임 아머</t>
  </si>
  <si>
    <t>크리거 아머</t>
  </si>
  <si>
    <t>스커미셔 슈트</t>
  </si>
  <si>
    <t>인팬트리 슈트</t>
  </si>
  <si>
    <t>불릿프루프 슈트</t>
  </si>
  <si>
    <t>셀베이션 슈트</t>
  </si>
  <si>
    <t>파이어마린 슈트</t>
  </si>
  <si>
    <t>이지스 슈트</t>
  </si>
  <si>
    <t>뱅퀴쉬 슈트</t>
  </si>
  <si>
    <t>마그네틱 로브</t>
  </si>
  <si>
    <t>마쉬 로브</t>
  </si>
  <si>
    <t>스타라이트 로브</t>
  </si>
  <si>
    <t>마그마 로브</t>
  </si>
  <si>
    <t>마나인플런스 로브</t>
  </si>
  <si>
    <t>블레이즈 로브</t>
  </si>
  <si>
    <t>크리스탈 튜닉</t>
  </si>
  <si>
    <t>호프 튜닉</t>
  </si>
  <si>
    <t>섀도우 튜닉</t>
  </si>
  <si>
    <t>오로라 튜닉</t>
  </si>
  <si>
    <t>세인트 튜닉</t>
  </si>
  <si>
    <t>로듐 튜닉</t>
  </si>
  <si>
    <t>선샤인 튜닉</t>
  </si>
  <si>
    <t>라이프가디언 튜닉</t>
  </si>
  <si>
    <t>제노 메탈 쉴드</t>
  </si>
  <si>
    <t>매틱 쉴드</t>
  </si>
  <si>
    <t>듀크 쉴드</t>
  </si>
  <si>
    <t>테우르츠 쉴드</t>
  </si>
  <si>
    <t>코닉플레임 쉴드</t>
  </si>
  <si>
    <t>크리거 쉴드</t>
  </si>
  <si>
    <t>스커미셔 디펜더</t>
  </si>
  <si>
    <t>인팬트리 디펜더</t>
  </si>
  <si>
    <t>불릿프루프 디펜더</t>
  </si>
  <si>
    <t>셀베이션 디펜더</t>
  </si>
  <si>
    <t>파이어마린 디펜더</t>
  </si>
  <si>
    <t>이지스 디펜더</t>
  </si>
  <si>
    <t>뱅퀴쉬 디펜더</t>
  </si>
  <si>
    <t>마그네틱 클록</t>
  </si>
  <si>
    <t>마쉬 클록</t>
  </si>
  <si>
    <t>스타라이트 클록</t>
  </si>
  <si>
    <t>마그마 클록</t>
  </si>
  <si>
    <t>마나인플런스 클록</t>
  </si>
  <si>
    <t>블레이즈 클록</t>
  </si>
  <si>
    <t>크리스탈 윙</t>
  </si>
  <si>
    <t>호프 윙</t>
  </si>
  <si>
    <t>섀도우 윙</t>
  </si>
  <si>
    <t>오로라 윙</t>
  </si>
  <si>
    <t>세인트 윙</t>
  </si>
  <si>
    <t>로듐 윙</t>
  </si>
  <si>
    <t>선샤인 윙</t>
  </si>
  <si>
    <t>라이프가디언 윙</t>
  </si>
  <si>
    <t>제노 메탈 언더아머</t>
  </si>
  <si>
    <t>매틱 언더아머</t>
  </si>
  <si>
    <t>듀크 언더아머</t>
  </si>
  <si>
    <t>테우르츠 언더아머</t>
  </si>
  <si>
    <t>코닉플레임 언더아머</t>
  </si>
  <si>
    <t>크리거 언더아머</t>
  </si>
  <si>
    <t>스커미셔 언더슈트</t>
  </si>
  <si>
    <t>인팬트리 언더슈트</t>
  </si>
  <si>
    <t>불릿프루프 언더슈트</t>
  </si>
  <si>
    <t>셀베이션 언더슈트</t>
  </si>
  <si>
    <t>파이어마린 언더슈트</t>
  </si>
  <si>
    <t>이지스 언더슈트</t>
  </si>
  <si>
    <t>뱅퀴쉬 언더슈트</t>
  </si>
  <si>
    <t>마그네틱 팬츠</t>
  </si>
  <si>
    <t>마쉬 팬츠</t>
  </si>
  <si>
    <t>스타라이트 팬츠</t>
  </si>
  <si>
    <t>마그마 팬츠</t>
  </si>
  <si>
    <t>마나인플런스 팬츠</t>
  </si>
  <si>
    <t>블레이즈 팬츠</t>
  </si>
  <si>
    <t>크리스탈 팬츠</t>
  </si>
  <si>
    <t>호프 팬츠</t>
  </si>
  <si>
    <t>섀도우 팬츠</t>
  </si>
  <si>
    <t>오로라 팬츠</t>
  </si>
  <si>
    <t>세인트 팬츠</t>
  </si>
  <si>
    <t>로듐 팬츠</t>
  </si>
  <si>
    <t>선샤인 팬츠</t>
  </si>
  <si>
    <t>라이프가디언 팬츠</t>
  </si>
  <si>
    <t>제노 메탈 부츠</t>
  </si>
  <si>
    <t>매틱 부츠</t>
  </si>
  <si>
    <t>듀크 부츠</t>
  </si>
  <si>
    <t>테우르츠 부츠</t>
  </si>
  <si>
    <t>코닉플레임 부츠</t>
  </si>
  <si>
    <t>크리거 부츠</t>
  </si>
  <si>
    <t>스커미셔 부츠</t>
  </si>
  <si>
    <t>인팬트리 부츠</t>
  </si>
  <si>
    <t>불릿프루프 부츠</t>
  </si>
  <si>
    <t>셀베이션 부츠</t>
  </si>
  <si>
    <t>파이어마린 부츠</t>
  </si>
  <si>
    <t>이지스 부츠</t>
  </si>
  <si>
    <t>뱅퀴쉬 부츠</t>
  </si>
  <si>
    <t>마그네틱 부츠</t>
  </si>
  <si>
    <t>마쉬 부츠</t>
  </si>
  <si>
    <t>스타라이트 부츠</t>
  </si>
  <si>
    <t>마그마 부츠</t>
  </si>
  <si>
    <t>마나인플런스 부츠</t>
  </si>
  <si>
    <t>블레이즈 부츠</t>
  </si>
  <si>
    <t>크리스탈 부츠</t>
  </si>
  <si>
    <t>호프 부츠</t>
  </si>
  <si>
    <t>섀도우 부츠</t>
  </si>
  <si>
    <t>오로라 부츠</t>
  </si>
  <si>
    <t>세인트 부츠</t>
  </si>
  <si>
    <t>로듐 부츠</t>
  </si>
  <si>
    <t>선샤인 부츠</t>
  </si>
  <si>
    <t>라이프가디언 부츠</t>
  </si>
  <si>
    <t>제노 메탈 글러브</t>
  </si>
  <si>
    <t>매틱 글러브</t>
  </si>
  <si>
    <t>듀크 글러브</t>
  </si>
  <si>
    <t>테우르츠 글러브</t>
  </si>
  <si>
    <t>코닉플레임 글러브</t>
  </si>
  <si>
    <t>크리거 글러브</t>
  </si>
  <si>
    <t>스커미셔 글러브</t>
  </si>
  <si>
    <t>인팬트리 글러브</t>
  </si>
  <si>
    <t>불릿프루프 글러브</t>
  </si>
  <si>
    <t>셀베이션 글러브</t>
  </si>
  <si>
    <t>파이어마린 글러브</t>
  </si>
  <si>
    <t>이지스 글러브</t>
  </si>
  <si>
    <t>뱅퀴쉬 글러브</t>
  </si>
  <si>
    <t>마그네틱 글러브</t>
  </si>
  <si>
    <t>마쉬 글러브</t>
  </si>
  <si>
    <t>스타라이트 글러브</t>
  </si>
  <si>
    <t>마그마 글러브</t>
  </si>
  <si>
    <t>마나인플런스 글러브</t>
  </si>
  <si>
    <t>블레이즈 글러브</t>
  </si>
  <si>
    <t>크리스탈 글러브</t>
  </si>
  <si>
    <t>호프 글러브</t>
  </si>
  <si>
    <t>섀도우 글러브</t>
  </si>
  <si>
    <t>오로라 글러브</t>
  </si>
  <si>
    <t>세인트 글러브</t>
  </si>
  <si>
    <t>로듐 글러브</t>
  </si>
  <si>
    <t>선샤인 글러브</t>
  </si>
  <si>
    <t>라이프가디언 글러브</t>
  </si>
  <si>
    <t>#</t>
    <phoneticPr fontId="1" type="noConversion"/>
  </si>
  <si>
    <t>제노 액스 2</t>
  </si>
  <si>
    <t>제노 액스 3</t>
  </si>
  <si>
    <t>브리노 액스 2</t>
  </si>
  <si>
    <t>브리노 액스 3</t>
  </si>
  <si>
    <t>메탈 액스 2</t>
  </si>
  <si>
    <t>메탈 액스 3</t>
  </si>
  <si>
    <t>블러드 액스 2</t>
  </si>
  <si>
    <t>블러드 액스 3</t>
  </si>
  <si>
    <t>메르두크 액스 2</t>
  </si>
  <si>
    <t>메르두크 액스 3</t>
  </si>
  <si>
    <t>인페르니움 액스 2</t>
  </si>
  <si>
    <t>인페르니움 액스 3</t>
  </si>
  <si>
    <t>마린 라이플 2</t>
  </si>
  <si>
    <t>마린 라이플 3</t>
  </si>
  <si>
    <t>스카우트 라이플 2</t>
  </si>
  <si>
    <t>스카우트 라이플 3</t>
  </si>
  <si>
    <t>어썰트 라이플 2</t>
  </si>
  <si>
    <t>어썰트 라이플 3</t>
  </si>
  <si>
    <t>바이오닉 라이플 2</t>
  </si>
  <si>
    <t>바이오닉 라이플 3</t>
  </si>
  <si>
    <t>하르세스 라이플 2</t>
  </si>
  <si>
    <t>하르세스 라이플 3</t>
  </si>
  <si>
    <t>아카트 라이플 2</t>
  </si>
  <si>
    <t>아카트 라이플 3</t>
  </si>
  <si>
    <t>윈드스톰 스태프 2</t>
  </si>
  <si>
    <t>윈드스톰 스태프 3</t>
  </si>
  <si>
    <t>클라우드 스태프 2</t>
  </si>
  <si>
    <t>클라우드 스태프 3</t>
  </si>
  <si>
    <t>사일런스 스태프 2</t>
  </si>
  <si>
    <t>사일런스 스태프 3</t>
  </si>
  <si>
    <t>소울 스태프 2</t>
  </si>
  <si>
    <t>소울 스태프 3</t>
  </si>
  <si>
    <t>루크 스태프 2</t>
  </si>
  <si>
    <t>루크 스태프 3</t>
  </si>
  <si>
    <t>컨쥬어 스태프 2</t>
  </si>
  <si>
    <t>컨쥬어 스태프 3</t>
  </si>
  <si>
    <t>자비 링 2</t>
  </si>
  <si>
    <t>자비 링 3</t>
  </si>
  <si>
    <t>풍요 링 2</t>
  </si>
  <si>
    <t>풍요 링 3</t>
  </si>
  <si>
    <t>블리스 링 2</t>
  </si>
  <si>
    <t>블리스 링 3</t>
  </si>
  <si>
    <t>레오파드 링 2</t>
  </si>
  <si>
    <t>레오파드 링 3</t>
  </si>
  <si>
    <t>이글 링 2</t>
  </si>
  <si>
    <t>이글 링 3</t>
  </si>
  <si>
    <t>프레어리 링 2</t>
  </si>
  <si>
    <t>프레어리 링 3</t>
  </si>
  <si>
    <t>제노 소드 2</t>
  </si>
  <si>
    <t>제노 소드 3</t>
  </si>
  <si>
    <t>브리노 소드 2</t>
  </si>
  <si>
    <t>브리노 소드 3</t>
  </si>
  <si>
    <t>메탈 소드 2</t>
  </si>
  <si>
    <t>메탈 소드 3</t>
  </si>
  <si>
    <t>블러드 소드 2</t>
  </si>
  <si>
    <t>블러드 소드 3</t>
  </si>
  <si>
    <t>메르두크 소드 2</t>
  </si>
  <si>
    <t>메르두크 소드 3</t>
  </si>
  <si>
    <t>인페르니움 소드 2</t>
  </si>
  <si>
    <t>인페르니움 소드 3</t>
  </si>
  <si>
    <t>마린 핸드건 2</t>
  </si>
  <si>
    <t>마린 핸드건 3</t>
  </si>
  <si>
    <t>스카우트 핸드건 2</t>
  </si>
  <si>
    <t>스카우트 핸드건 3</t>
  </si>
  <si>
    <t>어썰트 핸드건 2</t>
  </si>
  <si>
    <t>어썰트 핸드건 3</t>
  </si>
  <si>
    <t>바이오닉 핸드건 2</t>
  </si>
  <si>
    <t>바이오닉 핸드건 3</t>
  </si>
  <si>
    <t>하르세스 핸드건 2</t>
  </si>
  <si>
    <t>하르세스 핸드건 3</t>
  </si>
  <si>
    <t>아카트 핸드건 2</t>
  </si>
  <si>
    <t>아카트 핸드건 3</t>
  </si>
  <si>
    <t>윈드스톰 완드 2</t>
  </si>
  <si>
    <t>윈드스톰 완드 3</t>
  </si>
  <si>
    <t>클라우드 완드 2</t>
  </si>
  <si>
    <t>클라우드 완드 3</t>
  </si>
  <si>
    <t>사일런스 완드 2</t>
  </si>
  <si>
    <t>사일런스 완드 3</t>
  </si>
  <si>
    <t>소울 완드 2</t>
  </si>
  <si>
    <t>소울 완드 3</t>
  </si>
  <si>
    <t>루크 완드 2</t>
  </si>
  <si>
    <t>루크 완드 3</t>
  </si>
  <si>
    <t>컨쥬어 완드 2</t>
  </si>
  <si>
    <t>컨쥬어 완드 3</t>
  </si>
  <si>
    <t>자비 플루트 2</t>
  </si>
  <si>
    <t>자비 플루트 3</t>
  </si>
  <si>
    <t>풍요 플루트 2</t>
  </si>
  <si>
    <t>풍요 플루트 3</t>
  </si>
  <si>
    <t>블리스 플루트 2</t>
  </si>
  <si>
    <t>블리스 플루트 3</t>
  </si>
  <si>
    <t>레오파드 플루트 2</t>
  </si>
  <si>
    <t>레오파드 플루트 3</t>
  </si>
  <si>
    <t>이글 플루트 2</t>
  </si>
  <si>
    <t>이글 플루트 3</t>
  </si>
  <si>
    <t>프레어리 플루트 2</t>
  </si>
  <si>
    <t>프레어리 플루트 3</t>
  </si>
  <si>
    <t>제노 헬멧 2</t>
  </si>
  <si>
    <t>제노 헬멧 3</t>
  </si>
  <si>
    <t>브리노 헬멧 2</t>
  </si>
  <si>
    <t>브리노 헬멧 3</t>
  </si>
  <si>
    <t>메탈 헬멧 2</t>
  </si>
  <si>
    <t>메탈 헬멧 3</t>
  </si>
  <si>
    <t>블러드 헬멧 2</t>
  </si>
  <si>
    <t>블러드 헬멧 3</t>
  </si>
  <si>
    <t>메르두크 헬멧 2</t>
  </si>
  <si>
    <t>메르두크 헬멧 3</t>
  </si>
  <si>
    <t>인페르니움 헬멧 2</t>
  </si>
  <si>
    <t>인페르니움 헬멧 3</t>
  </si>
  <si>
    <t>마린 바이저 2</t>
  </si>
  <si>
    <t>마린 바이저 3</t>
  </si>
  <si>
    <t>스카우트 바이저 2</t>
  </si>
  <si>
    <t>스카우트 바이저 3</t>
  </si>
  <si>
    <t>어썰트 바이저 2</t>
  </si>
  <si>
    <t>어썰트 바이저 3</t>
  </si>
  <si>
    <t>바이오닉 바이저 2</t>
  </si>
  <si>
    <t>바이오닉 바이저 3</t>
  </si>
  <si>
    <t>하르세스 바이저 2</t>
  </si>
  <si>
    <t>하르세스 바이저 3</t>
  </si>
  <si>
    <t>아카트 바이저 2</t>
  </si>
  <si>
    <t>아카트 바이저 3</t>
  </si>
  <si>
    <t>윈드스톰 후드 2</t>
  </si>
  <si>
    <t>윈드스톰 후드 3</t>
  </si>
  <si>
    <t>클라우드 후드 2</t>
  </si>
  <si>
    <t>클라우드 후드 3</t>
  </si>
  <si>
    <t>사일런스 후드 2</t>
  </si>
  <si>
    <t>사일런스 후드 3</t>
  </si>
  <si>
    <t>소울 후드 2</t>
  </si>
  <si>
    <t>소울 후드 3</t>
  </si>
  <si>
    <t>루크 후드 2</t>
  </si>
  <si>
    <t>루크 후드 3</t>
  </si>
  <si>
    <t>컨쥬어 후드 2</t>
  </si>
  <si>
    <t>컨쥬어 후드 3</t>
  </si>
  <si>
    <t>자비 캡 2</t>
  </si>
  <si>
    <t>자비 캡 3</t>
  </si>
  <si>
    <t>풍요 캡 2</t>
  </si>
  <si>
    <t>풍요 캡 3</t>
  </si>
  <si>
    <t>블리스 캡 2</t>
  </si>
  <si>
    <t>블리스 캡 3</t>
  </si>
  <si>
    <t>레오파드 캡 2</t>
  </si>
  <si>
    <t>레오파드 캡 3</t>
  </si>
  <si>
    <t>이글 캡 2</t>
  </si>
  <si>
    <t>이글 캡 3</t>
  </si>
  <si>
    <t>프레어리 캡 2</t>
  </si>
  <si>
    <t>프레어리 캡 3</t>
  </si>
  <si>
    <t>제노 아머 2</t>
  </si>
  <si>
    <t>제노 아머 3</t>
  </si>
  <si>
    <t>브리노 아머 2</t>
  </si>
  <si>
    <t>브리노 아머 3</t>
  </si>
  <si>
    <t>메탈 아머 2</t>
  </si>
  <si>
    <t>메탈 아머 3</t>
  </si>
  <si>
    <t>블러드 아머 2</t>
  </si>
  <si>
    <t>블러드 아머 3</t>
  </si>
  <si>
    <t>메르두크 아머 2</t>
  </si>
  <si>
    <t>메르두크 아머 3</t>
  </si>
  <si>
    <t>인페르니움 아머 2</t>
  </si>
  <si>
    <t>인페르니움 아머 3</t>
  </si>
  <si>
    <t>마린 슈트 2</t>
  </si>
  <si>
    <t>마린 슈트 3</t>
  </si>
  <si>
    <t>스카우트 슈트 2</t>
  </si>
  <si>
    <t>스카우트 슈트 3</t>
  </si>
  <si>
    <t>어썰트 슈트 2</t>
  </si>
  <si>
    <t>어썰트 슈트 3</t>
  </si>
  <si>
    <t>바이오닉 슈트 2</t>
  </si>
  <si>
    <t>바이오닉 슈트 3</t>
  </si>
  <si>
    <t>하르세스 슈트 2</t>
  </si>
  <si>
    <t>하르세스 슈트 3</t>
  </si>
  <si>
    <t>아카트 슈트 2</t>
  </si>
  <si>
    <t>아카트 슈트 3</t>
  </si>
  <si>
    <t>윈드스톰 로브 2</t>
  </si>
  <si>
    <t>윈드스톰 로브 3</t>
  </si>
  <si>
    <t>클라우드 로브 2</t>
  </si>
  <si>
    <t>클라우드 로브 3</t>
  </si>
  <si>
    <t>사일런스 로브 2</t>
  </si>
  <si>
    <t>사일런스 로브 3</t>
  </si>
  <si>
    <t>소울 로브 2</t>
  </si>
  <si>
    <t>소울 로브 3</t>
  </si>
  <si>
    <t>루크 로브 2</t>
  </si>
  <si>
    <t>루크 로브 3</t>
  </si>
  <si>
    <t>컨쥬어 로브 2</t>
  </si>
  <si>
    <t>컨쥬어 로브 3</t>
  </si>
  <si>
    <t>자비 튜닉 2</t>
  </si>
  <si>
    <t>자비 튜닉 3</t>
  </si>
  <si>
    <t>풍요 튜닉 2</t>
  </si>
  <si>
    <t>풍요 튜닉 3</t>
  </si>
  <si>
    <t>블리스 튜닉 2</t>
  </si>
  <si>
    <t>블리스 튜닉 3</t>
  </si>
  <si>
    <t>레오파드 튜닉 2</t>
  </si>
  <si>
    <t>레오파드 튜닉 3</t>
  </si>
  <si>
    <t>이글 튜닉 2</t>
  </si>
  <si>
    <t>이글 튜닉 3</t>
  </si>
  <si>
    <t>프레어리 튜닉 2</t>
  </si>
  <si>
    <t>프레어리 튜닉 3</t>
  </si>
  <si>
    <t>제노 쉴드 2</t>
  </si>
  <si>
    <t>제노 쉴드 3</t>
  </si>
  <si>
    <t>브리노 쉴드 2</t>
  </si>
  <si>
    <t>브리노 쉴드 3</t>
  </si>
  <si>
    <t>메탈 쉴드 2</t>
  </si>
  <si>
    <t>메탈 쉴드 3</t>
  </si>
  <si>
    <t>블러드 쉴드 2</t>
  </si>
  <si>
    <t>블러드 쉴드 3</t>
  </si>
  <si>
    <t>메르두크 쉴드 2</t>
  </si>
  <si>
    <t>메르두크 쉴드 3</t>
  </si>
  <si>
    <t>인페르니움 쉴드 2</t>
  </si>
  <si>
    <t>인페르니움 쉴드 3</t>
  </si>
  <si>
    <t>마린 디펜더 2</t>
  </si>
  <si>
    <t>마린 디펜더 3</t>
  </si>
  <si>
    <t>스카우트 디펜더 2</t>
  </si>
  <si>
    <t>스카우트 디펜더 3</t>
  </si>
  <si>
    <t>어썰트 디펜더 2</t>
  </si>
  <si>
    <t>어썰트 디펜더 3</t>
  </si>
  <si>
    <t>바이오닉 디펜더 2</t>
  </si>
  <si>
    <t>바이오닉 디펜더 3</t>
  </si>
  <si>
    <t>하르세스 디펜더 2</t>
  </si>
  <si>
    <t>하르세스 디펜더 3</t>
  </si>
  <si>
    <t>아카트 디펜더 2</t>
  </si>
  <si>
    <t>아카트 디펜더 3</t>
  </si>
  <si>
    <t>윈드스톰 클록 2</t>
  </si>
  <si>
    <t>윈드스톰 클록 3</t>
  </si>
  <si>
    <t>클라우드 클록 2</t>
  </si>
  <si>
    <t>클라우드 클록 3</t>
  </si>
  <si>
    <t>사일런스 클록 2</t>
  </si>
  <si>
    <t>사일런스 클록 3</t>
  </si>
  <si>
    <t>소울 클록 2</t>
  </si>
  <si>
    <t>소울 클록 3</t>
  </si>
  <si>
    <t>루크 클록 2</t>
  </si>
  <si>
    <t>루크 클록 3</t>
  </si>
  <si>
    <t>컨쥬어 클록 2</t>
  </si>
  <si>
    <t>컨쥬어 클록 3</t>
  </si>
  <si>
    <t>자비 윙 2</t>
  </si>
  <si>
    <t>자비 윙 3</t>
  </si>
  <si>
    <t>풍요 윙 2</t>
  </si>
  <si>
    <t>풍요 윙 3</t>
  </si>
  <si>
    <t>블리스 윙 2</t>
  </si>
  <si>
    <t>블리스 윙 3</t>
  </si>
  <si>
    <t>레오파드 윙 2</t>
  </si>
  <si>
    <t>레오파드 윙 3</t>
  </si>
  <si>
    <t>이글 윙 2</t>
  </si>
  <si>
    <t>이글 윙 3</t>
  </si>
  <si>
    <t>프레어리 윙 2</t>
  </si>
  <si>
    <t>프레어리 윙 3</t>
  </si>
  <si>
    <t>제노 언더아머 2</t>
  </si>
  <si>
    <t>제노 언더아머 3</t>
  </si>
  <si>
    <t>브리노 언더아머 2</t>
  </si>
  <si>
    <t>브리노 언더아머 3</t>
  </si>
  <si>
    <t>메탈 언더아머 2</t>
  </si>
  <si>
    <t>메탈 언더아머 3</t>
  </si>
  <si>
    <t>블러드 언더아머 2</t>
  </si>
  <si>
    <t>블러드 언더아머 3</t>
  </si>
  <si>
    <t>메르두크 언더아머 2</t>
  </si>
  <si>
    <t>메르두크 언더아머 3</t>
  </si>
  <si>
    <t>인페르니움 언더아머 2</t>
  </si>
  <si>
    <t>인페르니움 언더아머 3</t>
  </si>
  <si>
    <t>마린 언더슈트 2</t>
  </si>
  <si>
    <t>마린 언더슈트 3</t>
  </si>
  <si>
    <t>스카우트 언더슈트 2</t>
  </si>
  <si>
    <t>스카우트 언더슈트 3</t>
  </si>
  <si>
    <t>어썰트 언더슈트 2</t>
  </si>
  <si>
    <t>어썰트 언더슈트 3</t>
  </si>
  <si>
    <t>바이오닉 언더슈트 2</t>
  </si>
  <si>
    <t>바이오닉 언더슈트 3</t>
  </si>
  <si>
    <t>하르세스 언더슈트 2</t>
  </si>
  <si>
    <t>하르세스 언더슈트 3</t>
  </si>
  <si>
    <t>아카트 언더슈트 2</t>
  </si>
  <si>
    <t>아카트 언더슈트 3</t>
  </si>
  <si>
    <t>윈드스톰 팬츠 2</t>
  </si>
  <si>
    <t>윈드스톰 팬츠 3</t>
  </si>
  <si>
    <t>클라우드 팬츠 2</t>
  </si>
  <si>
    <t>클라우드 팬츠 3</t>
  </si>
  <si>
    <t>사일런스 팬츠 2</t>
  </si>
  <si>
    <t>사일런스 팬츠 3</t>
  </si>
  <si>
    <t>소울 팬츠 2</t>
  </si>
  <si>
    <t>소울 팬츠 3</t>
  </si>
  <si>
    <t>루크 팬츠 2</t>
  </si>
  <si>
    <t>루크 팬츠 3</t>
  </si>
  <si>
    <t>컨쥬어 팬츠 2</t>
  </si>
  <si>
    <t>컨쥬어 팬츠 3</t>
  </si>
  <si>
    <t>자비 팬츠 2</t>
  </si>
  <si>
    <t>자비 팬츠 3</t>
  </si>
  <si>
    <t>풍요 팬츠 2</t>
  </si>
  <si>
    <t>풍요 팬츠 3</t>
  </si>
  <si>
    <t>블리스 팬츠 2</t>
  </si>
  <si>
    <t>블리스 팬츠 3</t>
  </si>
  <si>
    <t>레오파드 팬츠 2</t>
  </si>
  <si>
    <t>레오파드 팬츠 3</t>
  </si>
  <si>
    <t>이글 팬츠 2</t>
  </si>
  <si>
    <t>이글 팬츠 3</t>
  </si>
  <si>
    <t>프레어리 팬츠 2</t>
  </si>
  <si>
    <t>프레어리 팬츠 3</t>
  </si>
  <si>
    <t>제노 부츠 2</t>
  </si>
  <si>
    <t>제노 부츠 3</t>
  </si>
  <si>
    <t>브리노 부츠 2</t>
  </si>
  <si>
    <t>브리노 부츠 3</t>
  </si>
  <si>
    <t>메탈 부츠 2</t>
  </si>
  <si>
    <t>메탈 부츠 3</t>
  </si>
  <si>
    <t>블러드 부츠 2</t>
  </si>
  <si>
    <t>블러드 부츠 3</t>
  </si>
  <si>
    <t>메르두크 부츠 2</t>
  </si>
  <si>
    <t>메르두크 부츠 3</t>
  </si>
  <si>
    <t>인페르니움 부츠 2</t>
  </si>
  <si>
    <t>인페르니움 부츠 3</t>
  </si>
  <si>
    <t>마린 부츠 2</t>
  </si>
  <si>
    <t>마린 부츠 3</t>
  </si>
  <si>
    <t>스카우트 부츠 2</t>
  </si>
  <si>
    <t>스카우트 부츠 3</t>
  </si>
  <si>
    <t>어썰트 부츠 2</t>
  </si>
  <si>
    <t>어썰트 부츠 3</t>
  </si>
  <si>
    <t>바이오닉 부츠 2</t>
  </si>
  <si>
    <t>바이오닉 부츠 3</t>
  </si>
  <si>
    <t>하르세스 부츠 2</t>
  </si>
  <si>
    <t>하르세스 부츠 3</t>
  </si>
  <si>
    <t>아카트 부츠 2</t>
  </si>
  <si>
    <t>아카트 부츠 3</t>
  </si>
  <si>
    <t>윈드스톰 부츠 2</t>
  </si>
  <si>
    <t>윈드스톰 부츠 3</t>
  </si>
  <si>
    <t>클라우드 부츠 2</t>
  </si>
  <si>
    <t>클라우드 부츠 3</t>
  </si>
  <si>
    <t>사일런스 부츠 2</t>
  </si>
  <si>
    <t>사일런스 부츠 3</t>
  </si>
  <si>
    <t>소울 부츠 2</t>
  </si>
  <si>
    <t>소울 부츠 3</t>
  </si>
  <si>
    <t>루크 부츠 2</t>
  </si>
  <si>
    <t>루크 부츠 3</t>
  </si>
  <si>
    <t>컨쥬어 부츠 2</t>
  </si>
  <si>
    <t>컨쥬어 부츠 3</t>
  </si>
  <si>
    <t>자비 부츠 2</t>
  </si>
  <si>
    <t>자비 부츠 3</t>
  </si>
  <si>
    <t>풍요 부츠 2</t>
  </si>
  <si>
    <t>풍요 부츠 3</t>
  </si>
  <si>
    <t>블리스 부츠 2</t>
  </si>
  <si>
    <t>블리스 부츠 3</t>
  </si>
  <si>
    <t>레오파드 부츠 2</t>
  </si>
  <si>
    <t>레오파드 부츠 3</t>
  </si>
  <si>
    <t>이글 부츠 2</t>
  </si>
  <si>
    <t>이글 부츠 3</t>
  </si>
  <si>
    <t>프레어리 부츠 2</t>
  </si>
  <si>
    <t>프레어리 부츠 3</t>
  </si>
  <si>
    <t>제노 글러브 2</t>
  </si>
  <si>
    <t>제노 글러브 3</t>
  </si>
  <si>
    <t>브리노 글러브 2</t>
  </si>
  <si>
    <t>브리노 글러브 3</t>
  </si>
  <si>
    <t>메탈 글러브 2</t>
  </si>
  <si>
    <t>메탈 글러브 3</t>
  </si>
  <si>
    <t>블러드 글러브 2</t>
  </si>
  <si>
    <t>블러드 글러브 3</t>
  </si>
  <si>
    <t>메르두크 글러브 2</t>
  </si>
  <si>
    <t>메르두크 글러브 3</t>
  </si>
  <si>
    <t>인페르니움 글러브 2</t>
  </si>
  <si>
    <t>인페르니움 글러브 3</t>
  </si>
  <si>
    <t>마린 글러브 2</t>
  </si>
  <si>
    <t>마린 글러브 3</t>
  </si>
  <si>
    <t>스카우트 글러브 2</t>
  </si>
  <si>
    <t>스카우트 글러브 3</t>
  </si>
  <si>
    <t>어썰트 글러브 2</t>
  </si>
  <si>
    <t>어썰트 글러브 3</t>
  </si>
  <si>
    <t>바이오닉 글러브 2</t>
  </si>
  <si>
    <t>바이오닉 글러브 3</t>
  </si>
  <si>
    <t>하르세스 글러브 2</t>
  </si>
  <si>
    <t>하르세스 글러브 3</t>
  </si>
  <si>
    <t>아카트 글러브 2</t>
  </si>
  <si>
    <t>아카트 글러브 3</t>
  </si>
  <si>
    <t>윈드스톰 글러브 2</t>
  </si>
  <si>
    <t>윈드스톰 글러브 3</t>
  </si>
  <si>
    <t>클라우드 글러브 2</t>
  </si>
  <si>
    <t>클라우드 글러브 3</t>
  </si>
  <si>
    <t>사일런스 글러브 2</t>
  </si>
  <si>
    <t>사일런스 글러브 3</t>
  </si>
  <si>
    <t>소울 글러브 2</t>
  </si>
  <si>
    <t>소울 글러브 3</t>
  </si>
  <si>
    <t>루크 글러브 2</t>
  </si>
  <si>
    <t>루크 글러브 3</t>
  </si>
  <si>
    <t>컨쥬어 글러브 2</t>
  </si>
  <si>
    <t>컨쥬어 글러브 3</t>
  </si>
  <si>
    <t>자비 글러브 2</t>
  </si>
  <si>
    <t>자비 글러브 3</t>
  </si>
  <si>
    <t>풍요 글러브 2</t>
  </si>
  <si>
    <t>풍요 글러브 3</t>
  </si>
  <si>
    <t>블리스 글러브 2</t>
  </si>
  <si>
    <t>블리스 글러브 3</t>
  </si>
  <si>
    <t>레오파드 글러브 2</t>
  </si>
  <si>
    <t>레오파드 글러브 3</t>
  </si>
  <si>
    <t>이글 글러브 2</t>
  </si>
  <si>
    <t>이글 글러브 3</t>
  </si>
  <si>
    <t>프레어리 글러브 2</t>
  </si>
  <si>
    <t>프레어리 글러브 3</t>
  </si>
  <si>
    <t>기존 장비 이름</t>
    <phoneticPr fontId="1" type="noConversion"/>
  </si>
  <si>
    <t>기존 장비 ID</t>
    <phoneticPr fontId="1" type="noConversion"/>
  </si>
  <si>
    <t>연성가능여부
0=불가
1=가능</t>
    <phoneticPr fontId="1" type="noConversion"/>
  </si>
  <si>
    <t>fusion</t>
    <phoneticPr fontId="1" type="noConversion"/>
  </si>
  <si>
    <t>bool</t>
    <phoneticPr fontId="1" type="noConversion"/>
  </si>
  <si>
    <t>※ 테이블 명세</t>
    <phoneticPr fontId="1" type="noConversion"/>
  </si>
  <si>
    <t>칼럼명</t>
  </si>
  <si>
    <t>설명</t>
  </si>
  <si>
    <t>입력값 상세</t>
  </si>
  <si>
    <t>비고</t>
  </si>
  <si>
    <t>item_equip_base</t>
    <phoneticPr fontId="1" type="noConversion"/>
  </si>
  <si>
    <t>item_category</t>
    <phoneticPr fontId="1" type="noConversion"/>
  </si>
  <si>
    <t>job</t>
    <phoneticPr fontId="1" type="noConversion"/>
  </si>
  <si>
    <t>Item_Group</t>
    <phoneticPr fontId="1" type="noConversion"/>
  </si>
  <si>
    <t>enchant_max</t>
    <phoneticPr fontId="1" type="noConversion"/>
  </si>
  <si>
    <t>sell_price</t>
    <phoneticPr fontId="1" type="noConversion"/>
  </si>
  <si>
    <t>sealed_type</t>
    <phoneticPr fontId="1" type="noConversion"/>
  </si>
  <si>
    <t>drop_resource_icon</t>
    <phoneticPr fontId="1" type="noConversion"/>
  </si>
  <si>
    <t>drop_resource_prefab</t>
    <phoneticPr fontId="1" type="noConversion"/>
  </si>
  <si>
    <t>option_group_id_1</t>
    <phoneticPr fontId="1" type="noConversion"/>
  </si>
  <si>
    <t>option_group_id_2</t>
    <phoneticPr fontId="1" type="noConversion"/>
  </si>
  <si>
    <t>setgroup_id</t>
    <phoneticPr fontId="1" type="noConversion"/>
  </si>
  <si>
    <t>randoption_cost</t>
    <phoneticPr fontId="1" type="noConversion"/>
  </si>
  <si>
    <t>Message_Notification</t>
    <phoneticPr fontId="1" type="noConversion"/>
  </si>
  <si>
    <t>diassemble_contents_gid</t>
    <phoneticPr fontId="1" type="noConversion"/>
  </si>
  <si>
    <t>아이템 ID</t>
    <phoneticPr fontId="1" type="noConversion"/>
  </si>
  <si>
    <t>인벤토리 탭 구분</t>
    <phoneticPr fontId="1" type="noConversion"/>
  </si>
  <si>
    <t>장비 부위별 구분</t>
    <phoneticPr fontId="1" type="noConversion"/>
  </si>
  <si>
    <t>종족 구분</t>
    <phoneticPr fontId="1" type="noConversion"/>
  </si>
  <si>
    <t>무게</t>
    <phoneticPr fontId="1" type="noConversion"/>
  </si>
  <si>
    <t>거래소 색인용 아이템 그룹</t>
    <phoneticPr fontId="1" type="noConversion"/>
  </si>
  <si>
    <t>장비 강화 단계 최대값</t>
    <phoneticPr fontId="1" type="noConversion"/>
  </si>
  <si>
    <t>NPC 상점에 판매 가능 여부</t>
    <phoneticPr fontId="1" type="noConversion"/>
  </si>
  <si>
    <t>NPC 상점에 판매 시 판매가</t>
    <phoneticPr fontId="1" type="noConversion"/>
  </si>
  <si>
    <t>각인 여부</t>
    <phoneticPr fontId="1" type="noConversion"/>
  </si>
  <si>
    <t>장비 그래픽 리소스 이름</t>
    <phoneticPr fontId="1" type="noConversion"/>
  </si>
  <si>
    <t>드랍 오브젝트 아이콘 이름</t>
    <phoneticPr fontId="1" type="noConversion"/>
  </si>
  <si>
    <t>드랍 오브젝트 프리팹 이름</t>
    <phoneticPr fontId="1" type="noConversion"/>
  </si>
  <si>
    <t>서브 옵션 갱신 시 발생하는 기본 비용</t>
    <phoneticPr fontId="1" type="noConversion"/>
  </si>
  <si>
    <t>강화 단계에 다른 스탯 변동 그룹</t>
    <phoneticPr fontId="1" type="noConversion"/>
  </si>
  <si>
    <t>장비 획득 시 채팅창 알림 여부</t>
    <phoneticPr fontId="1" type="noConversion"/>
  </si>
  <si>
    <t>장비 분해 시 획득물 그룹</t>
    <phoneticPr fontId="1" type="noConversion"/>
  </si>
  <si>
    <t>감정 시 슬롯 개수 결정 그룹</t>
    <phoneticPr fontId="1" type="noConversion"/>
  </si>
  <si>
    <t>감정 시 슬롯 효과 결정 그룹</t>
    <phoneticPr fontId="1" type="noConversion"/>
  </si>
  <si>
    <t>보석 슬롯 개수 및 장착 가능 계열 지정 그룹</t>
    <phoneticPr fontId="1" type="noConversion"/>
  </si>
  <si>
    <t>창고 보관 가능 여부</t>
    <phoneticPr fontId="1" type="noConversion"/>
  </si>
  <si>
    <t>삭제 가능 여부</t>
    <phoneticPr fontId="1" type="noConversion"/>
  </si>
  <si>
    <t>연성공학 사용 가능 여부</t>
    <phoneticPr fontId="1" type="noConversion"/>
  </si>
  <si>
    <t>서브 타입</t>
    <phoneticPr fontId="1" type="noConversion"/>
  </si>
  <si>
    <t>1 = 장비</t>
    <phoneticPr fontId="1" type="noConversion"/>
  </si>
  <si>
    <t>1 고정</t>
    <phoneticPr fontId="1" type="noConversion"/>
  </si>
  <si>
    <t>0 = 공용
10101001 = 불칸
10102001 = 휴먼
10103001 = 카이립톤
10104001 = 에이디아</t>
    <phoneticPr fontId="1" type="noConversion"/>
  </si>
  <si>
    <t>trade 참조</t>
    <phoneticPr fontId="1" type="noConversion"/>
  </si>
  <si>
    <t>0일 시 강화 불가능</t>
    <phoneticPr fontId="1" type="noConversion"/>
  </si>
  <si>
    <t>0 = 판매 불가
1 = 판매 가능</t>
    <phoneticPr fontId="1" type="noConversion"/>
  </si>
  <si>
    <t>0 = 비귀속
1 = 획득 시 각인(귀속)
2 = 착용 시 각인(귀속)</t>
    <phoneticPr fontId="1" type="noConversion"/>
  </si>
  <si>
    <t>캐시 재화만 사용</t>
    <phoneticPr fontId="1" type="noConversion"/>
  </si>
  <si>
    <t>enchant_stat_group 참조</t>
    <phoneticPr fontId="1" type="noConversion"/>
  </si>
  <si>
    <t>0 = 없음
1 = 알림 출력</t>
    <phoneticPr fontId="1" type="noConversion"/>
  </si>
  <si>
    <t>disassemble_define 참조</t>
    <phoneticPr fontId="1" type="noConversion"/>
  </si>
  <si>
    <t>item_equip_identify_slot 참조</t>
    <phoneticPr fontId="1" type="noConversion"/>
  </si>
  <si>
    <t>item_equip_identify_option 참조</t>
    <phoneticPr fontId="1" type="noConversion"/>
  </si>
  <si>
    <t>jewel_ability_group 참조</t>
    <phoneticPr fontId="1" type="noConversion"/>
  </si>
  <si>
    <t>0 = 불가능
1 = 가능</t>
    <phoneticPr fontId="1" type="noConversion"/>
  </si>
  <si>
    <t>1 = 일반
2 = 고급
3 = 희귀
4 = 영웅
5 = 전설
6 = 신화
99 = 캐시 아이템</t>
    <phoneticPr fontId="1" type="noConversion"/>
  </si>
  <si>
    <t>99번 캐시 아이템은 파괴 방지 아이템을 사용하지 못하게 처리되어있다.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</si>
</sst>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_);[Red]\(0\)"/>
  </numFmts>
  <fonts count="3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9"/>
      <color theme="1"/>
      <name val="맑은 고딕"/>
      <family val="3"/>
      <charset val="129"/>
      <scheme val="major"/>
    </font>
    <font>
      <b/>
      <sz val="9"/>
      <color theme="1"/>
      <name val="맑은 고딕"/>
      <family val="3"/>
      <charset val="129"/>
      <scheme val="major"/>
    </font>
    <font>
      <sz val="9"/>
      <color rgb="FF7030A0"/>
      <name val="맑은 고딕"/>
      <family val="3"/>
      <charset val="129"/>
      <scheme val="major"/>
    </font>
    <font>
      <sz val="9"/>
      <color rgb="FF000000"/>
      <name val="맑은 고딕"/>
      <family val="3"/>
      <charset val="129"/>
      <scheme val="major"/>
    </font>
    <font>
      <b/>
      <sz val="9"/>
      <color rgb="FF000000"/>
      <name val="맑은 고딕"/>
      <family val="3"/>
      <charset val="129"/>
      <scheme val="major"/>
    </font>
    <font>
      <sz val="9"/>
      <color rgb="FFD0CECE"/>
      <name val="맑은 고딕"/>
      <family val="3"/>
      <charset val="129"/>
      <scheme val="major"/>
    </font>
    <font>
      <b/>
      <sz val="9"/>
      <color rgb="FFD0CECE"/>
      <name val="맑은 고딕"/>
      <family val="3"/>
      <charset val="129"/>
      <scheme val="major"/>
    </font>
    <font>
      <b/>
      <sz val="9"/>
      <color rgb="FF7030A0"/>
      <name val="맑은 고딕"/>
      <family val="3"/>
      <charset val="129"/>
      <scheme val="major"/>
    </font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rgb="FFFF0000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ajor"/>
    </font>
    <font>
      <sz val="9"/>
      <color theme="1"/>
      <name val="맑은 고딕"/>
      <family val="2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ajor"/>
    </font>
    <font>
      <sz val="11"/>
      <color theme="0"/>
      <name val="맑은 고딕"/>
      <family val="2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7CAAC"/>
        <bgColor indexed="64"/>
      </patternFill>
    </fill>
    <fill>
      <patternFill patternType="solid">
        <f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053343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FFF681"/>
        <bgColor indexed="64"/>
      </patternFill>
    </fill>
    <fill>
      <patternFill patternType="solid">
        <fgColor theme="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rgb="FFFF0000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/>
      <right/>
      <top/>
      <bottom style="thin">
        <color theme="0" tint="-0.34998626667073579"/>
      </bottom>
      <diagonal/>
    </border>
  </borders>
  <cellStyleXfs count="3">
    <xf numFmtId="0" fontId="0" fillId="0" borderId="0">
      <alignment vertical="center"/>
    </xf>
    <xf numFmtId="0" fontId="17" fillId="6" borderId="18" applyNumberFormat="0" applyFont="0" applyAlignment="0" applyProtection="0">
      <alignment vertical="center"/>
    </xf>
    <xf numFmtId="0" fontId="27" fillId="15" borderId="0" applyNumberFormat="0" applyBorder="0" applyAlignment="0" applyProtection="0">
      <alignment vertical="center"/>
    </xf>
  </cellStyleXfs>
  <cellXfs count="155">
    <xf numFmtId="0" fontId="0" fillId="0" borderId="0" xfId="0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176" fontId="5" fillId="0" borderId="1" xfId="0" applyNumberFormat="1" applyFont="1" applyBorder="1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0" fontId="6" fillId="0" borderId="11" xfId="0" applyFont="1" applyBorder="1" applyAlignment="1">
      <alignment horizontal="center" vertical="center"/>
    </xf>
    <xf numFmtId="0" fontId="5" fillId="0" borderId="0" xfId="0" quotePrefix="1" applyFo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0" xfId="0" applyFont="1">
      <alignment vertical="center"/>
    </xf>
    <xf numFmtId="0" fontId="9" fillId="4" borderId="1" xfId="0" applyFont="1" applyFill="1" applyBorder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0" fontId="14" fillId="4" borderId="1" xfId="0" applyFont="1" applyFill="1" applyBorder="1" applyAlignment="1">
      <alignment horizontal="center" vertical="center" wrapText="1"/>
    </xf>
    <xf numFmtId="0" fontId="9" fillId="0" borderId="0" xfId="0" applyFont="1" applyProtection="1">
      <alignment vertical="center"/>
      <protection locked="0"/>
    </xf>
    <xf numFmtId="0" fontId="9" fillId="0" borderId="0" xfId="0" applyFont="1" applyAlignment="1">
      <alignment horizontal="center" vertical="center"/>
    </xf>
    <xf numFmtId="0" fontId="9" fillId="0" borderId="15" xfId="0" applyFont="1" applyBorder="1" applyAlignment="1">
      <alignment vertical="center" wrapText="1"/>
    </xf>
    <xf numFmtId="0" fontId="9" fillId="0" borderId="16" xfId="0" applyFont="1" applyBorder="1" applyAlignment="1">
      <alignment vertical="center" wrapText="1"/>
    </xf>
    <xf numFmtId="0" fontId="9" fillId="2" borderId="16" xfId="0" applyFont="1" applyFill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10" fillId="5" borderId="16" xfId="0" applyFont="1" applyFill="1" applyBorder="1" applyAlignment="1">
      <alignment horizontal="center" vertical="center" wrapText="1"/>
    </xf>
    <xf numFmtId="0" fontId="9" fillId="4" borderId="16" xfId="0" applyFont="1" applyFill="1" applyBorder="1" applyAlignment="1">
      <alignment horizontal="center" vertical="center" wrapText="1"/>
    </xf>
    <xf numFmtId="0" fontId="9" fillId="0" borderId="17" xfId="0" applyFont="1" applyBorder="1">
      <alignment vertical="center"/>
    </xf>
    <xf numFmtId="0" fontId="12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6" fillId="0" borderId="0" xfId="0" applyFont="1">
      <alignment vertical="center"/>
    </xf>
    <xf numFmtId="177" fontId="5" fillId="0" borderId="1" xfId="0" applyNumberFormat="1" applyFont="1" applyBorder="1">
      <alignment vertical="center"/>
    </xf>
    <xf numFmtId="0" fontId="10" fillId="0" borderId="15" xfId="0" applyFont="1" applyBorder="1" applyAlignment="1">
      <alignment horizontal="center" vertical="center" wrapText="1"/>
    </xf>
    <xf numFmtId="0" fontId="16" fillId="0" borderId="15" xfId="0" applyFont="1" applyBorder="1" applyAlignment="1">
      <alignment horizontal="center" vertical="center" wrapText="1"/>
    </xf>
    <xf numFmtId="0" fontId="9" fillId="0" borderId="1" xfId="0" applyFont="1" applyBorder="1">
      <alignment vertical="center"/>
    </xf>
    <xf numFmtId="0" fontId="6" fillId="6" borderId="18" xfId="1" applyFont="1" applyAlignment="1">
      <alignment horizontal="center" vertical="center"/>
    </xf>
    <xf numFmtId="0" fontId="5" fillId="6" borderId="18" xfId="1" applyFont="1">
      <alignment vertical="center"/>
    </xf>
    <xf numFmtId="0" fontId="5" fillId="6" borderId="18" xfId="1" applyFont="1" applyAlignment="1">
      <alignment horizontal="center" vertical="center" wrapText="1"/>
    </xf>
    <xf numFmtId="0" fontId="5" fillId="6" borderId="18" xfId="1" applyFont="1" applyAlignment="1">
      <alignment horizontal="center" vertical="center"/>
    </xf>
    <xf numFmtId="0" fontId="9" fillId="6" borderId="18" xfId="1" applyFont="1" applyAlignment="1">
      <alignment horizontal="center" vertical="center" wrapText="1"/>
    </xf>
    <xf numFmtId="0" fontId="9" fillId="6" borderId="18" xfId="1" applyFont="1">
      <alignment vertical="center"/>
    </xf>
    <xf numFmtId="0" fontId="5" fillId="7" borderId="18" xfId="1" applyFont="1" applyFill="1">
      <alignment vertical="center"/>
    </xf>
    <xf numFmtId="0" fontId="5" fillId="7" borderId="18" xfId="1" applyFont="1" applyFill="1" applyAlignment="1">
      <alignment horizontal="center" vertical="center" wrapText="1"/>
    </xf>
    <xf numFmtId="0" fontId="5" fillId="7" borderId="18" xfId="1" applyFont="1" applyFill="1" applyAlignment="1">
      <alignment horizontal="center" vertical="center"/>
    </xf>
    <xf numFmtId="0" fontId="6" fillId="7" borderId="18" xfId="1" applyFont="1" applyFill="1" applyAlignment="1">
      <alignment horizontal="center" vertical="center"/>
    </xf>
    <xf numFmtId="0" fontId="9" fillId="7" borderId="18" xfId="1" applyFont="1" applyFill="1" applyAlignment="1">
      <alignment horizontal="center" vertical="center" wrapText="1"/>
    </xf>
    <xf numFmtId="0" fontId="9" fillId="7" borderId="18" xfId="1" applyFont="1" applyFill="1">
      <alignment vertical="center"/>
    </xf>
    <xf numFmtId="0" fontId="9" fillId="2" borderId="1" xfId="0" applyFont="1" applyFill="1" applyBorder="1" applyAlignment="1">
      <alignment horizontal="center" vertical="center" wrapText="1"/>
    </xf>
    <xf numFmtId="0" fontId="9" fillId="2" borderId="15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18" fillId="0" borderId="1" xfId="0" applyFont="1" applyBorder="1">
      <alignment vertical="center"/>
    </xf>
    <xf numFmtId="177" fontId="18" fillId="0" borderId="1" xfId="0" applyNumberFormat="1" applyFont="1" applyBorder="1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10" fillId="0" borderId="16" xfId="0" applyFont="1" applyBorder="1" applyAlignment="1">
      <alignment horizontal="center" vertical="center" wrapText="1"/>
    </xf>
    <xf numFmtId="0" fontId="19" fillId="0" borderId="1" xfId="0" applyFont="1" applyBorder="1" applyAlignment="1">
      <alignment vertical="center" wrapText="1"/>
    </xf>
    <xf numFmtId="0" fontId="19" fillId="0" borderId="1" xfId="0" applyFont="1" applyBorder="1" applyAlignment="1">
      <alignment horizontal="center" vertical="center" wrapText="1"/>
    </xf>
    <xf numFmtId="0" fontId="19" fillId="0" borderId="16" xfId="0" applyFont="1" applyBorder="1" applyAlignment="1">
      <alignment horizontal="center" vertical="center" wrapText="1"/>
    </xf>
    <xf numFmtId="0" fontId="19" fillId="0" borderId="0" xfId="0" applyFont="1">
      <alignment vertical="center"/>
    </xf>
    <xf numFmtId="0" fontId="20" fillId="0" borderId="1" xfId="0" applyFont="1" applyBorder="1" applyAlignment="1">
      <alignment vertical="center" wrapText="1"/>
    </xf>
    <xf numFmtId="0" fontId="20" fillId="0" borderId="1" xfId="0" applyFont="1" applyBorder="1" applyAlignment="1">
      <alignment horizontal="center" vertical="center" wrapText="1"/>
    </xf>
    <xf numFmtId="0" fontId="20" fillId="0" borderId="0" xfId="0" applyFont="1">
      <alignment vertical="center"/>
    </xf>
    <xf numFmtId="0" fontId="0" fillId="2" borderId="0" xfId="0" applyFill="1">
      <alignment vertical="center"/>
    </xf>
    <xf numFmtId="0" fontId="21" fillId="2" borderId="0" xfId="0" applyFont="1" applyFill="1">
      <alignment vertical="center"/>
    </xf>
    <xf numFmtId="0" fontId="5" fillId="2" borderId="0" xfId="0" applyFont="1" applyFill="1" applyAlignment="1">
      <alignment horizontal="center" vertical="center"/>
    </xf>
    <xf numFmtId="0" fontId="18" fillId="0" borderId="0" xfId="0" applyFont="1">
      <alignment vertical="center"/>
    </xf>
    <xf numFmtId="0" fontId="5" fillId="0" borderId="0" xfId="0" applyFont="1" applyAlignment="1">
      <alignment horizontal="left" vertical="center"/>
    </xf>
    <xf numFmtId="0" fontId="18" fillId="8" borderId="0" xfId="0" applyFont="1" applyFill="1" applyAlignment="1">
      <alignment horizontal="left" vertical="center"/>
    </xf>
    <xf numFmtId="0" fontId="18" fillId="9" borderId="0" xfId="0" applyFont="1" applyFill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18" fillId="8" borderId="1" xfId="0" applyFont="1" applyFill="1" applyBorder="1" applyAlignment="1">
      <alignment horizontal="left" vertical="center"/>
    </xf>
    <xf numFmtId="0" fontId="18" fillId="9" borderId="1" xfId="0" applyFont="1" applyFill="1" applyBorder="1">
      <alignment vertical="center"/>
    </xf>
    <xf numFmtId="176" fontId="18" fillId="0" borderId="1" xfId="0" applyNumberFormat="1" applyFont="1" applyBorder="1">
      <alignment vertical="center"/>
    </xf>
    <xf numFmtId="0" fontId="18" fillId="9" borderId="1" xfId="0" applyFont="1" applyFill="1" applyBorder="1" applyAlignment="1">
      <alignment horizontal="left" vertical="center"/>
    </xf>
    <xf numFmtId="0" fontId="5" fillId="8" borderId="1" xfId="0" applyFont="1" applyFill="1" applyBorder="1" applyAlignment="1">
      <alignment horizontal="left" vertical="center"/>
    </xf>
    <xf numFmtId="0" fontId="18" fillId="8" borderId="1" xfId="0" applyFont="1" applyFill="1" applyBorder="1">
      <alignment vertical="center"/>
    </xf>
    <xf numFmtId="0" fontId="18" fillId="8" borderId="0" xfId="0" applyFont="1" applyFill="1">
      <alignment vertical="center"/>
    </xf>
    <xf numFmtId="0" fontId="18" fillId="9" borderId="0" xfId="0" applyFont="1" applyFill="1">
      <alignment vertical="center"/>
    </xf>
    <xf numFmtId="0" fontId="21" fillId="0" borderId="0" xfId="0" applyFont="1">
      <alignment vertical="center"/>
    </xf>
    <xf numFmtId="9" fontId="0" fillId="0" borderId="0" xfId="0" applyNumberFormat="1">
      <alignment vertical="center"/>
    </xf>
    <xf numFmtId="0" fontId="9" fillId="0" borderId="1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5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6" fillId="10" borderId="18" xfId="1" applyFont="1" applyFill="1" applyAlignment="1">
      <alignment horizontal="center" vertical="center" wrapText="1"/>
    </xf>
    <xf numFmtId="0" fontId="26" fillId="10" borderId="18" xfId="1" applyNumberFormat="1" applyFont="1" applyFill="1" applyAlignment="1">
      <alignment horizontal="center" vertical="center" wrapText="1"/>
    </xf>
    <xf numFmtId="0" fontId="9" fillId="0" borderId="18" xfId="1" applyFont="1" applyFill="1" applyAlignment="1">
      <alignment horizontal="center" vertical="center" wrapText="1"/>
    </xf>
    <xf numFmtId="0" fontId="9" fillId="0" borderId="18" xfId="1" applyFont="1" applyFill="1">
      <alignment vertical="center"/>
    </xf>
    <xf numFmtId="0" fontId="26" fillId="12" borderId="1" xfId="0" applyFont="1" applyFill="1" applyBorder="1" applyAlignment="1">
      <alignment horizontal="center" vertical="center" wrapText="1"/>
    </xf>
    <xf numFmtId="0" fontId="26" fillId="10" borderId="1" xfId="0" applyFont="1" applyFill="1" applyBorder="1" applyAlignment="1">
      <alignment horizontal="center" vertical="center" wrapText="1"/>
    </xf>
    <xf numFmtId="0" fontId="9" fillId="13" borderId="1" xfId="0" applyFont="1" applyFill="1" applyBorder="1" applyAlignment="1">
      <alignment horizontal="center" vertical="center" wrapText="1"/>
    </xf>
    <xf numFmtId="0" fontId="19" fillId="11" borderId="1" xfId="0" applyFont="1" applyFill="1" applyBorder="1" applyAlignment="1">
      <alignment horizontal="center" vertical="center" wrapText="1"/>
    </xf>
    <xf numFmtId="0" fontId="20" fillId="11" borderId="1" xfId="0" applyFont="1" applyFill="1" applyBorder="1" applyAlignment="1">
      <alignment horizontal="center" vertical="center" wrapText="1"/>
    </xf>
    <xf numFmtId="0" fontId="9" fillId="11" borderId="1" xfId="0" applyFont="1" applyFill="1" applyBorder="1" applyAlignment="1">
      <alignment horizontal="center" vertical="center" wrapText="1"/>
    </xf>
    <xf numFmtId="0" fontId="9" fillId="14" borderId="1" xfId="0" applyFont="1" applyFill="1" applyBorder="1" applyAlignment="1">
      <alignment horizontal="center" vertical="center" wrapText="1"/>
    </xf>
    <xf numFmtId="0" fontId="19" fillId="14" borderId="1" xfId="0" applyFont="1" applyFill="1" applyBorder="1" applyAlignment="1">
      <alignment horizontal="center" vertical="center" wrapText="1"/>
    </xf>
    <xf numFmtId="0" fontId="19" fillId="11" borderId="16" xfId="0" applyFont="1" applyFill="1" applyBorder="1" applyAlignment="1">
      <alignment horizontal="center" vertical="center" wrapText="1"/>
    </xf>
    <xf numFmtId="0" fontId="20" fillId="11" borderId="16" xfId="0" applyFont="1" applyFill="1" applyBorder="1" applyAlignment="1">
      <alignment horizontal="center" vertical="center" wrapText="1"/>
    </xf>
    <xf numFmtId="0" fontId="5" fillId="0" borderId="18" xfId="1" applyFont="1" applyFill="1">
      <alignment vertical="center"/>
    </xf>
    <xf numFmtId="0" fontId="5" fillId="0" borderId="18" xfId="1" applyFont="1" applyFill="1" applyAlignment="1">
      <alignment horizontal="center" vertical="center" wrapText="1"/>
    </xf>
    <xf numFmtId="0" fontId="5" fillId="0" borderId="18" xfId="1" applyFont="1" applyFill="1" applyAlignment="1">
      <alignment horizontal="center" vertical="center"/>
    </xf>
    <xf numFmtId="0" fontId="6" fillId="0" borderId="18" xfId="1" applyFont="1" applyFill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9" fillId="13" borderId="18" xfId="1" applyFont="1" applyFill="1" applyAlignment="1">
      <alignment horizontal="center" vertical="center" wrapText="1"/>
    </xf>
    <xf numFmtId="0" fontId="9" fillId="13" borderId="18" xfId="1" applyFont="1" applyFill="1" applyAlignment="1">
      <alignment horizontal="center" vertical="center" wrapText="1"/>
    </xf>
    <xf numFmtId="0" fontId="20" fillId="13" borderId="18" xfId="1" applyFont="1" applyFill="1" applyAlignment="1">
      <alignment horizontal="center" vertical="center" wrapText="1"/>
    </xf>
    <xf numFmtId="0" fontId="9" fillId="11" borderId="0" xfId="0" applyFont="1" applyFill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26" fillId="10" borderId="20" xfId="1" applyNumberFormat="1" applyFont="1" applyFill="1" applyBorder="1" applyAlignment="1">
      <alignment horizontal="center" vertical="center" wrapText="1"/>
    </xf>
    <xf numFmtId="0" fontId="9" fillId="13" borderId="20" xfId="1" applyFont="1" applyFill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21" xfId="1" applyFont="1" applyFill="1" applyBorder="1">
      <alignment vertical="center"/>
    </xf>
    <xf numFmtId="0" fontId="26" fillId="10" borderId="1" xfId="1" applyNumberFormat="1" applyFont="1" applyFill="1" applyBorder="1" applyAlignment="1">
      <alignment horizontal="center" vertical="center" wrapText="1"/>
    </xf>
    <xf numFmtId="0" fontId="9" fillId="13" borderId="1" xfId="1" applyFont="1" applyFill="1" applyBorder="1" applyAlignment="1">
      <alignment horizontal="center" vertical="center" wrapText="1"/>
    </xf>
    <xf numFmtId="49" fontId="19" fillId="14" borderId="1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0" fontId="20" fillId="0" borderId="1" xfId="0" applyFont="1" applyBorder="1">
      <alignment vertical="center"/>
    </xf>
    <xf numFmtId="0" fontId="28" fillId="0" borderId="0" xfId="0" applyFont="1">
      <alignment vertical="center"/>
    </xf>
    <xf numFmtId="0" fontId="25" fillId="0" borderId="0" xfId="0" applyFont="1">
      <alignment vertical="center"/>
    </xf>
    <xf numFmtId="0" fontId="29" fillId="16" borderId="0" xfId="2" applyFont="1" applyFill="1">
      <alignment vertical="center"/>
    </xf>
    <xf numFmtId="0" fontId="29" fillId="17" borderId="22" xfId="0" applyFont="1" applyFill="1" applyBorder="1">
      <alignment vertical="center"/>
    </xf>
    <xf numFmtId="0" fontId="30" fillId="0" borderId="0" xfId="0" applyFont="1">
      <alignment vertical="center"/>
    </xf>
    <xf numFmtId="0" fontId="25" fillId="0" borderId="0" xfId="0" applyFont="1" applyAlignment="1">
      <alignment vertical="center" wrapText="1"/>
    </xf>
    <xf numFmtId="0" fontId="26" fillId="0" borderId="0" xfId="0" applyFont="1">
      <alignment vertical="center"/>
    </xf>
    <xf numFmtId="0" fontId="26" fillId="10" borderId="15" xfId="0" applyFont="1" applyFill="1" applyBorder="1" applyAlignment="1">
      <alignment horizontal="center" vertical="center" wrapText="1"/>
    </xf>
    <xf numFmtId="0" fontId="29" fillId="17" borderId="0" xfId="0" applyFont="1" applyFill="1">
      <alignment vertical="center"/>
    </xf>
    <xf numFmtId="0" fontId="29" fillId="0" borderId="0" xfId="0" applyFont="1">
      <alignment vertical="center"/>
    </xf>
    <xf numFmtId="49" fontId="9" fillId="0" borderId="1" xfId="0" applyNumberFormat="1" applyFont="1" applyBorder="1" applyAlignment="1">
      <alignment horizontal="center" vertical="center"/>
    </xf>
    <xf numFmtId="49" fontId="9" fillId="11" borderId="1" xfId="0" applyNumberFormat="1" applyFont="1" applyFill="1" applyBorder="1" applyAlignment="1">
      <alignment horizontal="center" vertical="center"/>
    </xf>
    <xf numFmtId="49" fontId="19" fillId="11" borderId="1" xfId="0" applyNumberFormat="1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</cellXfs>
  <cellStyles count="3">
    <cellStyle name="강조색1" xfId="2" builtinId="29"/>
    <cellStyle name="메모" xfId="1" builtinId="10"/>
    <cellStyle name="표준" xfId="0" builtinId="0"/>
  </cellStyles>
  <dxfs count="6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9D9D9"/>
      <color rgb="FFFFF681"/>
      <color rgb="FFDAF2D0"/>
      <color rgb="FF053343"/>
      <color rgb="FFDAE9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rgb="FFFFF681"/>
  </sheetPr>
  <dimension ref="B1:Z67"/>
  <sheetViews>
    <sheetView tabSelected="1" workbookViewId="0">
      <selection activeCell="D10" sqref="D10"/>
    </sheetView>
  </sheetViews>
  <sheetFormatPr defaultRowHeight="16.5" customHeight="1" x14ac:dyDescent="0.3"/>
  <cols>
    <col min="1" max="1" width="2.125" style="4" customWidth="1"/>
    <col min="2" max="2" width="24.375" style="4" bestFit="1" customWidth="1"/>
    <col min="3" max="3" width="36.25" style="4" customWidth="1"/>
    <col min="4" max="4" width="40.875" style="4" bestFit="1" customWidth="1"/>
    <col min="5" max="5" width="66.125" style="4" bestFit="1" customWidth="1"/>
    <col min="6" max="6" width="2.125" style="4" customWidth="1"/>
    <col min="27" max="16384" width="9" style="4"/>
  </cols>
  <sheetData>
    <row r="1" spans="2:5" ht="16.5" customHeight="1" x14ac:dyDescent="0.3">
      <c r="B1" s="135" t="s">
        <v>2634</v>
      </c>
      <c r="C1" s="136"/>
      <c r="D1" s="136"/>
      <c r="E1" s="136"/>
    </row>
    <row r="2" spans="2:5" x14ac:dyDescent="0.3">
      <c r="B2" s="88" t="s">
        <v>2639</v>
      </c>
      <c r="C2" s="136"/>
      <c r="D2" s="136"/>
      <c r="E2" s="136"/>
    </row>
    <row r="3" spans="2:5" x14ac:dyDescent="0.3">
      <c r="B3" s="137" t="s">
        <v>2635</v>
      </c>
      <c r="C3" s="137" t="s">
        <v>2636</v>
      </c>
      <c r="D3" s="137" t="s">
        <v>2637</v>
      </c>
      <c r="E3" s="137" t="s">
        <v>2638</v>
      </c>
    </row>
    <row r="4" spans="2:5" x14ac:dyDescent="0.3">
      <c r="B4" s="138" t="s">
        <v>511</v>
      </c>
      <c r="C4" s="139" t="s">
        <v>2654</v>
      </c>
      <c r="D4" s="136"/>
      <c r="E4" s="136"/>
    </row>
    <row r="5" spans="2:5" x14ac:dyDescent="0.3">
      <c r="B5" s="138" t="s">
        <v>2640</v>
      </c>
      <c r="C5" s="139" t="s">
        <v>2655</v>
      </c>
      <c r="D5" s="136" t="s">
        <v>2678</v>
      </c>
      <c r="E5" s="136" t="s">
        <v>2679</v>
      </c>
    </row>
    <row r="6" spans="2:5" x14ac:dyDescent="0.3">
      <c r="B6" s="138" t="s">
        <v>200</v>
      </c>
      <c r="C6" s="139" t="s">
        <v>2656</v>
      </c>
      <c r="D6" s="136"/>
      <c r="E6" s="136"/>
    </row>
    <row r="7" spans="2:5" ht="27" x14ac:dyDescent="0.3">
      <c r="B7" s="138" t="s">
        <v>954</v>
      </c>
      <c r="C7" s="139" t="s">
        <v>2677</v>
      </c>
      <c r="D7" s="140" t="s">
        <v>973</v>
      </c>
      <c r="E7" s="136" t="s">
        <v>2679</v>
      </c>
    </row>
    <row r="8" spans="2:5" ht="67.5" x14ac:dyDescent="0.3">
      <c r="B8" s="138" t="s">
        <v>2641</v>
      </c>
      <c r="C8" s="139" t="s">
        <v>2657</v>
      </c>
      <c r="D8" s="140" t="s">
        <v>2680</v>
      </c>
      <c r="E8" s="136"/>
    </row>
    <row r="9" spans="2:5" ht="94.5" x14ac:dyDescent="0.3">
      <c r="B9" s="138" t="s">
        <v>519</v>
      </c>
      <c r="C9" s="139" t="s">
        <v>974</v>
      </c>
      <c r="D9" s="140" t="s">
        <v>2693</v>
      </c>
      <c r="E9" s="136" t="s">
        <v>2694</v>
      </c>
    </row>
    <row r="10" spans="2:5" x14ac:dyDescent="0.3">
      <c r="B10" s="138" t="s">
        <v>977</v>
      </c>
      <c r="C10" s="139" t="s">
        <v>2658</v>
      </c>
      <c r="D10" s="136"/>
      <c r="E10" s="136"/>
    </row>
    <row r="11" spans="2:5" x14ac:dyDescent="0.3">
      <c r="B11" s="138" t="s">
        <v>2642</v>
      </c>
      <c r="C11" s="139" t="s">
        <v>2659</v>
      </c>
      <c r="D11" s="136"/>
      <c r="E11" s="136" t="s">
        <v>2681</v>
      </c>
    </row>
    <row r="12" spans="2:5" x14ac:dyDescent="0.3">
      <c r="B12" s="138" t="s">
        <v>2643</v>
      </c>
      <c r="C12" s="139" t="s">
        <v>2660</v>
      </c>
      <c r="D12" s="140"/>
      <c r="E12" s="136" t="s">
        <v>2682</v>
      </c>
    </row>
    <row r="13" spans="2:5" ht="27" x14ac:dyDescent="0.3">
      <c r="B13" s="138" t="s">
        <v>1955</v>
      </c>
      <c r="C13" s="139" t="s">
        <v>2661</v>
      </c>
      <c r="D13" s="140" t="s">
        <v>2683</v>
      </c>
      <c r="E13" s="136"/>
    </row>
    <row r="14" spans="2:5" ht="27" x14ac:dyDescent="0.3">
      <c r="B14" s="138" t="s">
        <v>2644</v>
      </c>
      <c r="C14" s="139" t="s">
        <v>2662</v>
      </c>
      <c r="D14" s="140" t="s">
        <v>2683</v>
      </c>
      <c r="E14" s="136"/>
    </row>
    <row r="15" spans="2:5" ht="40.5" x14ac:dyDescent="0.3">
      <c r="B15" s="138" t="s">
        <v>2645</v>
      </c>
      <c r="C15" s="139" t="s">
        <v>2663</v>
      </c>
      <c r="D15" s="140" t="s">
        <v>2684</v>
      </c>
      <c r="E15" s="136"/>
    </row>
    <row r="16" spans="2:5" x14ac:dyDescent="0.3">
      <c r="B16" s="138" t="s">
        <v>485</v>
      </c>
      <c r="C16" s="139" t="s">
        <v>2664</v>
      </c>
      <c r="D16" s="136"/>
      <c r="E16" s="136"/>
    </row>
    <row r="17" spans="2:5" x14ac:dyDescent="0.3">
      <c r="B17" s="138" t="s">
        <v>2646</v>
      </c>
      <c r="C17" s="139" t="s">
        <v>2665</v>
      </c>
      <c r="D17" s="136"/>
      <c r="E17" s="136"/>
    </row>
    <row r="18" spans="2:5" x14ac:dyDescent="0.3">
      <c r="B18" s="138" t="s">
        <v>2647</v>
      </c>
      <c r="C18" s="139" t="s">
        <v>2666</v>
      </c>
      <c r="D18" s="136"/>
      <c r="E18" s="136"/>
    </row>
    <row r="19" spans="2:5" x14ac:dyDescent="0.3">
      <c r="B19" s="138" t="s">
        <v>2648</v>
      </c>
      <c r="C19" s="139" t="s">
        <v>1000</v>
      </c>
      <c r="D19" s="136"/>
      <c r="E19" s="136"/>
    </row>
    <row r="20" spans="2:5" x14ac:dyDescent="0.3">
      <c r="B20" s="138" t="s">
        <v>2649</v>
      </c>
      <c r="C20" s="139" t="s">
        <v>1000</v>
      </c>
      <c r="D20" s="140"/>
      <c r="E20" s="136"/>
    </row>
    <row r="21" spans="2:5" x14ac:dyDescent="0.3">
      <c r="B21" s="138" t="s">
        <v>333</v>
      </c>
      <c r="C21" s="139" t="s">
        <v>1000</v>
      </c>
      <c r="D21" s="140"/>
      <c r="E21" s="136"/>
    </row>
    <row r="22" spans="2:5" x14ac:dyDescent="0.3">
      <c r="B22" s="138" t="s">
        <v>334</v>
      </c>
      <c r="C22" s="139" t="s">
        <v>1000</v>
      </c>
      <c r="D22" s="140"/>
      <c r="E22" s="136"/>
    </row>
    <row r="23" spans="2:5" x14ac:dyDescent="0.3">
      <c r="B23" s="138" t="s">
        <v>335</v>
      </c>
      <c r="C23" s="139" t="s">
        <v>1000</v>
      </c>
      <c r="D23" s="140"/>
      <c r="E23" s="136"/>
    </row>
    <row r="24" spans="2:5" x14ac:dyDescent="0.3">
      <c r="B24" s="138" t="s">
        <v>336</v>
      </c>
      <c r="C24" s="139" t="s">
        <v>1000</v>
      </c>
      <c r="D24" s="140"/>
      <c r="E24" s="136"/>
    </row>
    <row r="25" spans="2:5" x14ac:dyDescent="0.3">
      <c r="B25" s="138" t="s">
        <v>2650</v>
      </c>
      <c r="C25" s="139" t="s">
        <v>1000</v>
      </c>
      <c r="D25" s="140"/>
      <c r="E25" s="136"/>
    </row>
    <row r="26" spans="2:5" x14ac:dyDescent="0.3">
      <c r="B26" s="138" t="s">
        <v>2651</v>
      </c>
      <c r="C26" s="139" t="s">
        <v>2667</v>
      </c>
      <c r="D26" s="140"/>
      <c r="E26" s="136" t="s">
        <v>2685</v>
      </c>
    </row>
    <row r="27" spans="2:5" x14ac:dyDescent="0.3">
      <c r="B27" s="138" t="s">
        <v>1395</v>
      </c>
      <c r="C27" s="139" t="s">
        <v>2668</v>
      </c>
      <c r="D27" s="140"/>
      <c r="E27" s="136" t="s">
        <v>2686</v>
      </c>
    </row>
    <row r="28" spans="2:5" ht="27" x14ac:dyDescent="0.3">
      <c r="B28" s="138" t="s">
        <v>2652</v>
      </c>
      <c r="C28" s="139" t="s">
        <v>2669</v>
      </c>
      <c r="D28" s="140" t="s">
        <v>2687</v>
      </c>
      <c r="E28" s="136"/>
    </row>
    <row r="29" spans="2:5" x14ac:dyDescent="0.3">
      <c r="B29" s="138" t="s">
        <v>2653</v>
      </c>
      <c r="C29" s="139" t="s">
        <v>2670</v>
      </c>
      <c r="D29" s="140"/>
      <c r="E29" s="136" t="s">
        <v>2688</v>
      </c>
    </row>
    <row r="30" spans="2:5" x14ac:dyDescent="0.3">
      <c r="B30" s="138" t="s">
        <v>1833</v>
      </c>
      <c r="C30" s="139" t="s">
        <v>2671</v>
      </c>
      <c r="D30" s="140"/>
      <c r="E30" s="136" t="s">
        <v>2689</v>
      </c>
    </row>
    <row r="31" spans="2:5" x14ac:dyDescent="0.3">
      <c r="B31" s="138" t="s">
        <v>1835</v>
      </c>
      <c r="C31" s="139" t="s">
        <v>2672</v>
      </c>
      <c r="D31" s="140"/>
      <c r="E31" s="136" t="s">
        <v>2690</v>
      </c>
    </row>
    <row r="32" spans="2:5" x14ac:dyDescent="0.3">
      <c r="B32" s="138" t="s">
        <v>1895</v>
      </c>
      <c r="C32" s="139" t="s">
        <v>2673</v>
      </c>
      <c r="D32" s="140"/>
      <c r="E32" s="136" t="s">
        <v>2691</v>
      </c>
    </row>
    <row r="33" spans="2:5" ht="27" x14ac:dyDescent="0.3">
      <c r="B33" s="138" t="s">
        <v>1920</v>
      </c>
      <c r="C33" s="139" t="s">
        <v>2674</v>
      </c>
      <c r="D33" s="140" t="s">
        <v>2692</v>
      </c>
      <c r="E33" s="136"/>
    </row>
    <row r="34" spans="2:5" ht="27" x14ac:dyDescent="0.3">
      <c r="B34" s="138" t="s">
        <v>1844</v>
      </c>
      <c r="C34" s="139" t="s">
        <v>2675</v>
      </c>
      <c r="D34" s="140" t="s">
        <v>2692</v>
      </c>
      <c r="E34" s="136"/>
    </row>
    <row r="35" spans="2:5" ht="27" x14ac:dyDescent="0.3">
      <c r="B35" s="143" t="s">
        <v>2632</v>
      </c>
      <c r="C35" s="139" t="s">
        <v>2676</v>
      </c>
      <c r="D35" s="140" t="s">
        <v>2692</v>
      </c>
      <c r="E35" s="136"/>
    </row>
    <row r="36" spans="2:5" ht="16.5" customHeight="1" x14ac:dyDescent="0.3">
      <c r="B36" s="144"/>
      <c r="C36" s="139"/>
      <c r="D36" s="136"/>
      <c r="E36" s="136"/>
    </row>
    <row r="37" spans="2:5" ht="16.5" customHeight="1" x14ac:dyDescent="0.3">
      <c r="B37" s="144"/>
      <c r="C37" s="139"/>
      <c r="D37" s="136"/>
      <c r="E37" s="136"/>
    </row>
    <row r="38" spans="2:5" ht="38.25" customHeight="1" x14ac:dyDescent="0.3">
      <c r="B38" s="144"/>
      <c r="C38" s="139"/>
      <c r="D38" s="140"/>
      <c r="E38" s="136"/>
    </row>
    <row r="39" spans="2:5" ht="87.75" customHeight="1" x14ac:dyDescent="0.3">
      <c r="B39" s="144"/>
      <c r="C39" s="139"/>
      <c r="D39" s="140"/>
      <c r="E39" s="136"/>
    </row>
    <row r="40" spans="2:5" ht="97.5" customHeight="1" x14ac:dyDescent="0.3">
      <c r="B40" s="144"/>
      <c r="C40" s="139"/>
      <c r="D40" s="140"/>
      <c r="E40" s="136"/>
    </row>
    <row r="41" spans="2:5" ht="16.5" customHeight="1" x14ac:dyDescent="0.3">
      <c r="B41" s="144"/>
      <c r="C41" s="139"/>
      <c r="D41" s="136"/>
      <c r="E41" s="136"/>
    </row>
    <row r="42" spans="2:5" ht="16.5" customHeight="1" x14ac:dyDescent="0.3">
      <c r="B42" s="144"/>
      <c r="C42" s="139"/>
      <c r="D42" s="136"/>
      <c r="E42" s="136"/>
    </row>
    <row r="43" spans="2:5" ht="16.5" customHeight="1" x14ac:dyDescent="0.3">
      <c r="B43" s="144"/>
      <c r="C43" s="139"/>
      <c r="D43" s="140"/>
      <c r="E43" s="136"/>
    </row>
    <row r="44" spans="2:5" ht="33.75" customHeight="1" x14ac:dyDescent="0.3">
      <c r="B44" s="144"/>
      <c r="C44" s="139"/>
      <c r="D44" s="140"/>
      <c r="E44" s="136"/>
    </row>
    <row r="45" spans="2:5" ht="36" customHeight="1" x14ac:dyDescent="0.3">
      <c r="B45" s="144"/>
      <c r="C45" s="139"/>
      <c r="D45" s="140"/>
      <c r="E45" s="136"/>
    </row>
    <row r="46" spans="2:5" ht="42" customHeight="1" x14ac:dyDescent="0.3">
      <c r="B46" s="144"/>
      <c r="C46" s="139"/>
      <c r="D46" s="140"/>
      <c r="E46" s="136"/>
    </row>
    <row r="47" spans="2:5" ht="16.5" customHeight="1" x14ac:dyDescent="0.3">
      <c r="B47" s="144"/>
      <c r="C47" s="139"/>
      <c r="D47" s="136"/>
      <c r="E47" s="136"/>
    </row>
    <row r="48" spans="2:5" ht="16.5" customHeight="1" x14ac:dyDescent="0.3">
      <c r="B48" s="144"/>
      <c r="C48" s="139"/>
      <c r="D48" s="136"/>
      <c r="E48" s="136"/>
    </row>
    <row r="49" spans="2:5" ht="16.5" customHeight="1" x14ac:dyDescent="0.3">
      <c r="B49" s="144"/>
      <c r="C49" s="139"/>
      <c r="D49" s="136"/>
      <c r="E49" s="136"/>
    </row>
    <row r="50" spans="2:5" ht="16.5" customHeight="1" x14ac:dyDescent="0.3">
      <c r="B50" s="144"/>
      <c r="C50" s="139"/>
      <c r="D50" s="136"/>
      <c r="E50" s="136"/>
    </row>
    <row r="51" spans="2:5" ht="16.5" customHeight="1" x14ac:dyDescent="0.3">
      <c r="B51" s="144"/>
      <c r="C51" s="139"/>
      <c r="D51" s="140"/>
      <c r="E51" s="136"/>
    </row>
    <row r="52" spans="2:5" ht="16.5" customHeight="1" x14ac:dyDescent="0.3">
      <c r="B52" s="144"/>
      <c r="C52" s="139"/>
      <c r="D52" s="140"/>
      <c r="E52" s="136"/>
    </row>
    <row r="53" spans="2:5" ht="16.5" customHeight="1" x14ac:dyDescent="0.3">
      <c r="B53" s="144"/>
      <c r="C53" s="139"/>
      <c r="D53" s="140"/>
      <c r="E53" s="136"/>
    </row>
    <row r="54" spans="2:5" ht="16.5" customHeight="1" x14ac:dyDescent="0.3">
      <c r="B54" s="144"/>
      <c r="C54" s="139"/>
      <c r="D54" s="140"/>
      <c r="E54" s="136"/>
    </row>
    <row r="55" spans="2:5" ht="16.5" customHeight="1" x14ac:dyDescent="0.3">
      <c r="B55" s="144"/>
      <c r="C55" s="139"/>
      <c r="D55" s="140"/>
      <c r="E55" s="136"/>
    </row>
    <row r="56" spans="2:5" ht="16.5" customHeight="1" x14ac:dyDescent="0.3">
      <c r="B56" s="144"/>
      <c r="C56" s="139"/>
      <c r="D56" s="140"/>
      <c r="E56" s="136"/>
    </row>
    <row r="57" spans="2:5" ht="16.5" customHeight="1" x14ac:dyDescent="0.3">
      <c r="B57" s="144"/>
      <c r="C57" s="139"/>
      <c r="D57" s="140"/>
      <c r="E57" s="136"/>
    </row>
    <row r="58" spans="2:5" ht="16.5" customHeight="1" x14ac:dyDescent="0.3">
      <c r="B58" s="144"/>
      <c r="C58" s="139"/>
      <c r="D58" s="140"/>
      <c r="E58" s="136"/>
    </row>
    <row r="59" spans="2:5" ht="34.5" customHeight="1" x14ac:dyDescent="0.3">
      <c r="B59" s="144"/>
      <c r="C59" s="139"/>
      <c r="D59" s="140"/>
      <c r="E59" s="136"/>
    </row>
    <row r="60" spans="2:5" ht="16.5" customHeight="1" x14ac:dyDescent="0.3">
      <c r="B60" s="144"/>
      <c r="C60" s="139"/>
      <c r="D60" s="140"/>
      <c r="E60" s="136"/>
    </row>
    <row r="61" spans="2:5" ht="16.5" customHeight="1" x14ac:dyDescent="0.3">
      <c r="B61" s="144"/>
      <c r="C61" s="139"/>
      <c r="D61" s="140"/>
      <c r="E61" s="136"/>
    </row>
    <row r="62" spans="2:5" ht="16.5" customHeight="1" x14ac:dyDescent="0.3">
      <c r="B62" s="144"/>
      <c r="C62" s="139"/>
      <c r="D62" s="140"/>
      <c r="E62" s="136"/>
    </row>
    <row r="63" spans="2:5" ht="16.5" customHeight="1" x14ac:dyDescent="0.3">
      <c r="B63" s="144"/>
      <c r="C63" s="139"/>
      <c r="D63" s="140"/>
      <c r="E63" s="136"/>
    </row>
    <row r="64" spans="2:5" x14ac:dyDescent="0.3">
      <c r="B64" s="144"/>
      <c r="C64" s="139"/>
      <c r="D64" s="140"/>
      <c r="E64" s="136"/>
    </row>
    <row r="65" spans="2:5" x14ac:dyDescent="0.3">
      <c r="B65" s="144"/>
      <c r="C65" s="139"/>
      <c r="D65" s="140"/>
      <c r="E65" s="136"/>
    </row>
    <row r="66" spans="2:5" x14ac:dyDescent="0.3">
      <c r="B66" s="144"/>
      <c r="C66" s="139"/>
      <c r="D66" s="140"/>
      <c r="E66" s="136"/>
    </row>
    <row r="67" spans="2:5" x14ac:dyDescent="0.3">
      <c r="B67" s="144"/>
      <c r="C67" s="139"/>
      <c r="D67" s="140"/>
      <c r="E67" s="136"/>
    </row>
  </sheetData>
  <phoneticPr fontId="1" type="noConversion"/>
  <conditionalFormatting sqref="B4:B67">
    <cfRule type="duplicateValues" dxfId="60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B14AA-609B-4AC1-B0A2-DE9166DAD48D}">
  <sheetPr codeName="Sheet1">
    <tabColor rgb="FF053343"/>
  </sheetPr>
  <dimension ref="B2:T80"/>
  <sheetViews>
    <sheetView workbookViewId="0"/>
  </sheetViews>
  <sheetFormatPr defaultRowHeight="12" x14ac:dyDescent="0.3"/>
  <cols>
    <col min="1" max="1" width="2.125" style="4" customWidth="1"/>
    <col min="2" max="2" width="14.375" style="4" bestFit="1" customWidth="1"/>
    <col min="3" max="9" width="9" style="4"/>
    <col min="10" max="10" width="12.625" style="4" bestFit="1" customWidth="1"/>
    <col min="11" max="11" width="12.625" style="4" customWidth="1"/>
    <col min="12" max="12" width="9" style="4"/>
    <col min="13" max="13" width="9.5" style="4" bestFit="1" customWidth="1"/>
    <col min="14" max="15" width="9" style="4"/>
    <col min="16" max="16" width="5" style="4" bestFit="1" customWidth="1"/>
    <col min="17" max="17" width="26.875" style="4" bestFit="1" customWidth="1"/>
    <col min="18" max="18" width="6.375" style="4" bestFit="1" customWidth="1"/>
    <col min="19" max="19" width="9.25" style="4" bestFit="1" customWidth="1"/>
    <col min="20" max="20" width="8.875" style="4" bestFit="1" customWidth="1"/>
    <col min="21" max="16384" width="9" style="4"/>
  </cols>
  <sheetData>
    <row r="2" spans="2:20" x14ac:dyDescent="0.3">
      <c r="B2" s="148" t="s">
        <v>953</v>
      </c>
      <c r="C2" s="148"/>
      <c r="D2" s="149" t="s">
        <v>213</v>
      </c>
      <c r="E2" s="148"/>
      <c r="F2" s="150"/>
      <c r="G2" s="152" t="s">
        <v>0</v>
      </c>
      <c r="H2" s="153"/>
      <c r="I2" s="153"/>
      <c r="J2" s="153"/>
      <c r="K2" s="154"/>
      <c r="L2" s="151" t="s">
        <v>1</v>
      </c>
      <c r="M2" s="151"/>
      <c r="N2" s="151" t="s">
        <v>215</v>
      </c>
      <c r="O2" s="151"/>
      <c r="P2" s="152" t="s">
        <v>2</v>
      </c>
      <c r="Q2" s="153"/>
      <c r="R2" s="153"/>
      <c r="S2" s="153"/>
      <c r="T2" s="154"/>
    </row>
    <row r="3" spans="2:20" x14ac:dyDescent="0.3">
      <c r="B3" s="14" t="s">
        <v>955</v>
      </c>
      <c r="C3" s="14" t="s">
        <v>200</v>
      </c>
      <c r="D3" s="151" t="s">
        <v>5</v>
      </c>
      <c r="E3" s="151"/>
      <c r="F3" s="14" t="s">
        <v>6</v>
      </c>
      <c r="G3" s="15" t="s">
        <v>7</v>
      </c>
      <c r="H3" s="15" t="s">
        <v>8</v>
      </c>
      <c r="I3" s="15" t="s">
        <v>9</v>
      </c>
      <c r="J3" s="15" t="s">
        <v>10</v>
      </c>
      <c r="K3" s="14" t="s">
        <v>11</v>
      </c>
      <c r="N3" s="151" t="s">
        <v>1</v>
      </c>
      <c r="O3" s="151"/>
      <c r="P3" s="13" t="s">
        <v>14</v>
      </c>
      <c r="Q3" s="13" t="s">
        <v>15</v>
      </c>
      <c r="R3" s="13" t="s">
        <v>170</v>
      </c>
      <c r="S3" s="13" t="s">
        <v>16</v>
      </c>
      <c r="T3" s="13" t="s">
        <v>17</v>
      </c>
    </row>
    <row r="4" spans="2:20" x14ac:dyDescent="0.3">
      <c r="B4" s="1" t="s">
        <v>12</v>
      </c>
      <c r="C4" s="1">
        <v>0</v>
      </c>
      <c r="D4" s="17" t="s">
        <v>212</v>
      </c>
      <c r="E4" s="17">
        <v>1</v>
      </c>
      <c r="F4" s="18" t="s">
        <v>211</v>
      </c>
      <c r="G4" s="10" t="s">
        <v>81</v>
      </c>
      <c r="H4" s="10" t="str">
        <f>RIGHT(I4,1)</f>
        <v>1</v>
      </c>
      <c r="I4" s="8">
        <v>10101001</v>
      </c>
      <c r="J4" s="8" t="s">
        <v>85</v>
      </c>
      <c r="K4" s="8" t="s">
        <v>89</v>
      </c>
      <c r="L4" s="7" t="s">
        <v>12</v>
      </c>
      <c r="M4" s="8">
        <v>1</v>
      </c>
      <c r="N4" s="7" t="s">
        <v>13</v>
      </c>
      <c r="O4" s="8">
        <v>1</v>
      </c>
      <c r="P4" s="2">
        <v>1</v>
      </c>
      <c r="Q4" s="2" t="s">
        <v>93</v>
      </c>
      <c r="R4" s="2" t="s">
        <v>165</v>
      </c>
      <c r="S4" s="3">
        <v>1</v>
      </c>
      <c r="T4" s="3">
        <v>999999</v>
      </c>
    </row>
    <row r="5" spans="2:20" x14ac:dyDescent="0.3">
      <c r="B5" s="1" t="s">
        <v>201</v>
      </c>
      <c r="C5" s="1">
        <v>1</v>
      </c>
      <c r="D5" s="4" t="s">
        <v>210</v>
      </c>
      <c r="E5" s="5"/>
      <c r="F5" s="5"/>
      <c r="G5" s="16" t="s">
        <v>82</v>
      </c>
      <c r="H5" s="6" t="str">
        <f>RIGHT(I6,1)</f>
        <v>2</v>
      </c>
      <c r="I5" s="1">
        <v>10101003</v>
      </c>
      <c r="J5" s="1" t="s">
        <v>86</v>
      </c>
      <c r="K5" s="8" t="s">
        <v>90</v>
      </c>
      <c r="L5" s="1" t="s">
        <v>20</v>
      </c>
      <c r="M5" s="1">
        <v>2</v>
      </c>
      <c r="N5" s="1" t="s">
        <v>21</v>
      </c>
      <c r="O5" s="1">
        <v>2</v>
      </c>
      <c r="P5" s="2">
        <v>2</v>
      </c>
      <c r="Q5" s="2" t="s">
        <v>94</v>
      </c>
      <c r="R5" s="2" t="s">
        <v>165</v>
      </c>
      <c r="S5" s="3">
        <v>1</v>
      </c>
      <c r="T5" s="3">
        <v>999999</v>
      </c>
    </row>
    <row r="6" spans="2:20" x14ac:dyDescent="0.3">
      <c r="B6" s="5"/>
      <c r="C6" s="5"/>
      <c r="D6" s="5"/>
      <c r="E6" s="5"/>
      <c r="F6" s="5"/>
      <c r="G6" s="16" t="s">
        <v>83</v>
      </c>
      <c r="H6" s="6" t="str">
        <f>RIGHT(I5,1)</f>
        <v>3</v>
      </c>
      <c r="I6" s="1">
        <v>10101002</v>
      </c>
      <c r="J6" s="1" t="s">
        <v>87</v>
      </c>
      <c r="K6" s="8" t="s">
        <v>91</v>
      </c>
      <c r="L6" s="1" t="s">
        <v>23</v>
      </c>
      <c r="M6" s="1">
        <v>3</v>
      </c>
      <c r="N6" s="1" t="s">
        <v>949</v>
      </c>
      <c r="O6" s="1">
        <v>3</v>
      </c>
      <c r="P6" s="2">
        <v>3</v>
      </c>
      <c r="Q6" s="2" t="s">
        <v>95</v>
      </c>
      <c r="R6" s="2" t="s">
        <v>165</v>
      </c>
      <c r="S6" s="3">
        <v>1</v>
      </c>
      <c r="T6" s="3">
        <v>999999</v>
      </c>
    </row>
    <row r="7" spans="2:20" x14ac:dyDescent="0.3">
      <c r="D7" s="5"/>
      <c r="E7" s="5"/>
      <c r="F7" s="5"/>
      <c r="G7" s="16" t="s">
        <v>84</v>
      </c>
      <c r="H7" s="6" t="str">
        <f>RIGHT(I7,1)</f>
        <v>4</v>
      </c>
      <c r="I7" s="1">
        <v>10101004</v>
      </c>
      <c r="J7" s="1" t="s">
        <v>88</v>
      </c>
      <c r="K7" s="8" t="s">
        <v>92</v>
      </c>
      <c r="N7" s="1" t="s">
        <v>950</v>
      </c>
      <c r="O7" s="1">
        <v>4</v>
      </c>
      <c r="P7" s="2">
        <v>4</v>
      </c>
      <c r="Q7" s="2" t="s">
        <v>96</v>
      </c>
      <c r="R7" s="2" t="s">
        <v>165</v>
      </c>
      <c r="S7" s="3">
        <v>1</v>
      </c>
      <c r="T7" s="3">
        <v>999999</v>
      </c>
    </row>
    <row r="8" spans="2:20" x14ac:dyDescent="0.3">
      <c r="D8" s="5"/>
      <c r="E8" s="5"/>
      <c r="F8" s="5"/>
      <c r="N8" s="1" t="s">
        <v>951</v>
      </c>
      <c r="O8" s="1">
        <v>5</v>
      </c>
      <c r="P8" s="2">
        <v>5</v>
      </c>
      <c r="Q8" s="2" t="s">
        <v>97</v>
      </c>
      <c r="R8" s="2" t="s">
        <v>165</v>
      </c>
      <c r="S8" s="3">
        <v>1</v>
      </c>
      <c r="T8" s="3">
        <v>999999</v>
      </c>
    </row>
    <row r="9" spans="2:20" x14ac:dyDescent="0.3">
      <c r="D9" s="5"/>
      <c r="E9" s="5"/>
      <c r="F9" s="5"/>
      <c r="N9" s="1" t="s">
        <v>952</v>
      </c>
      <c r="O9" s="1">
        <v>6</v>
      </c>
      <c r="P9" s="2">
        <v>6</v>
      </c>
      <c r="Q9" s="2" t="s">
        <v>98</v>
      </c>
      <c r="R9" s="2" t="s">
        <v>166</v>
      </c>
      <c r="S9" s="3">
        <v>1</v>
      </c>
      <c r="T9" s="3">
        <v>999999</v>
      </c>
    </row>
    <row r="10" spans="2:20" x14ac:dyDescent="0.3">
      <c r="B10" s="12" t="s">
        <v>956</v>
      </c>
      <c r="C10" s="12" t="s">
        <v>954</v>
      </c>
      <c r="D10" s="12" t="s">
        <v>1847</v>
      </c>
      <c r="E10" s="5"/>
      <c r="F10" s="5"/>
      <c r="N10" s="1" t="s">
        <v>201</v>
      </c>
      <c r="O10" s="1">
        <v>99</v>
      </c>
      <c r="P10" s="2">
        <v>7</v>
      </c>
      <c r="Q10" s="2" t="s">
        <v>99</v>
      </c>
      <c r="R10" s="2" t="s">
        <v>166</v>
      </c>
      <c r="S10" s="3">
        <v>1</v>
      </c>
      <c r="T10" s="3">
        <v>999999</v>
      </c>
    </row>
    <row r="11" spans="2:20" x14ac:dyDescent="0.3">
      <c r="B11" s="1" t="s">
        <v>28</v>
      </c>
      <c r="C11" s="1">
        <v>0</v>
      </c>
      <c r="D11" s="1">
        <v>0</v>
      </c>
      <c r="E11" s="5"/>
      <c r="F11" s="5"/>
      <c r="P11" s="2">
        <v>8</v>
      </c>
      <c r="Q11" s="2" t="s">
        <v>100</v>
      </c>
      <c r="R11" s="2" t="s">
        <v>165</v>
      </c>
      <c r="S11" s="3">
        <v>1</v>
      </c>
      <c r="T11" s="3">
        <v>999999</v>
      </c>
    </row>
    <row r="12" spans="2:20" x14ac:dyDescent="0.3">
      <c r="B12" s="1" t="s">
        <v>29</v>
      </c>
      <c r="C12" s="1">
        <v>1</v>
      </c>
      <c r="D12" s="1">
        <v>0</v>
      </c>
      <c r="P12" s="2">
        <v>9</v>
      </c>
      <c r="Q12" s="2" t="s">
        <v>101</v>
      </c>
      <c r="R12" s="2" t="s">
        <v>165</v>
      </c>
      <c r="S12" s="3">
        <v>1</v>
      </c>
      <c r="T12" s="3">
        <v>999999</v>
      </c>
    </row>
    <row r="13" spans="2:20" x14ac:dyDescent="0.3">
      <c r="B13" s="1" t="s">
        <v>19</v>
      </c>
      <c r="C13" s="1">
        <v>2</v>
      </c>
      <c r="D13" s="1">
        <v>0</v>
      </c>
      <c r="P13" s="2">
        <v>10</v>
      </c>
      <c r="Q13" s="2" t="s">
        <v>102</v>
      </c>
      <c r="R13" s="2" t="s">
        <v>165</v>
      </c>
      <c r="S13" s="3">
        <v>1</v>
      </c>
      <c r="T13" s="3">
        <v>999999</v>
      </c>
    </row>
    <row r="14" spans="2:20" x14ac:dyDescent="0.3">
      <c r="B14" s="1" t="s">
        <v>22</v>
      </c>
      <c r="C14" s="1">
        <v>3</v>
      </c>
      <c r="D14" s="1">
        <v>0</v>
      </c>
      <c r="P14" s="2">
        <v>11</v>
      </c>
      <c r="Q14" s="2" t="s">
        <v>103</v>
      </c>
      <c r="R14" s="2" t="s">
        <v>165</v>
      </c>
      <c r="S14" s="3">
        <v>1</v>
      </c>
      <c r="T14" s="3">
        <v>999999</v>
      </c>
    </row>
    <row r="15" spans="2:20" x14ac:dyDescent="0.3">
      <c r="B15" s="1" t="s">
        <v>27</v>
      </c>
      <c r="C15" s="1">
        <v>4</v>
      </c>
      <c r="D15" s="1">
        <v>0</v>
      </c>
      <c r="P15" s="2">
        <v>12</v>
      </c>
      <c r="Q15" s="2" t="s">
        <v>104</v>
      </c>
      <c r="R15" s="2" t="s">
        <v>165</v>
      </c>
      <c r="S15" s="3">
        <v>1</v>
      </c>
      <c r="T15" s="3">
        <v>999999</v>
      </c>
    </row>
    <row r="16" spans="2:20" x14ac:dyDescent="0.3">
      <c r="B16" s="1" t="s">
        <v>24</v>
      </c>
      <c r="C16" s="1">
        <v>5</v>
      </c>
      <c r="D16" s="1">
        <v>0</v>
      </c>
      <c r="P16" s="2">
        <v>13</v>
      </c>
      <c r="Q16" s="2" t="s">
        <v>105</v>
      </c>
      <c r="R16" s="2" t="s">
        <v>165</v>
      </c>
      <c r="S16" s="3">
        <v>1</v>
      </c>
      <c r="T16" s="3">
        <v>999999</v>
      </c>
    </row>
    <row r="17" spans="2:20" x14ac:dyDescent="0.3">
      <c r="B17" s="1" t="s">
        <v>25</v>
      </c>
      <c r="C17" s="1">
        <v>6</v>
      </c>
      <c r="D17" s="1">
        <v>0</v>
      </c>
      <c r="P17" s="2">
        <v>14</v>
      </c>
      <c r="Q17" s="2" t="s">
        <v>106</v>
      </c>
      <c r="R17" s="2" t="s">
        <v>167</v>
      </c>
      <c r="S17" s="3">
        <v>0</v>
      </c>
      <c r="T17" s="3">
        <v>10000</v>
      </c>
    </row>
    <row r="18" spans="2:20" x14ac:dyDescent="0.3">
      <c r="B18" s="1" t="s">
        <v>313</v>
      </c>
      <c r="C18" s="1">
        <v>7</v>
      </c>
      <c r="D18" s="1">
        <v>0</v>
      </c>
      <c r="P18" s="2">
        <v>15</v>
      </c>
      <c r="Q18" s="2" t="s">
        <v>107</v>
      </c>
      <c r="R18" s="2" t="s">
        <v>167</v>
      </c>
      <c r="S18" s="3">
        <v>1</v>
      </c>
      <c r="T18" s="3">
        <v>999999</v>
      </c>
    </row>
    <row r="19" spans="2:20" x14ac:dyDescent="0.3">
      <c r="B19" s="1" t="s">
        <v>31</v>
      </c>
      <c r="C19" s="1">
        <v>8</v>
      </c>
      <c r="D19" s="1">
        <v>0</v>
      </c>
      <c r="P19" s="2">
        <v>16</v>
      </c>
      <c r="Q19" s="2" t="s">
        <v>108</v>
      </c>
      <c r="R19" s="2" t="s">
        <v>167</v>
      </c>
      <c r="S19" s="3">
        <v>0</v>
      </c>
      <c r="T19" s="3">
        <v>7500</v>
      </c>
    </row>
    <row r="20" spans="2:20" x14ac:dyDescent="0.3">
      <c r="B20" s="1" t="s">
        <v>314</v>
      </c>
      <c r="C20" s="1">
        <v>9</v>
      </c>
      <c r="D20" s="1">
        <v>0</v>
      </c>
      <c r="P20" s="2">
        <v>17</v>
      </c>
      <c r="Q20" s="2" t="s">
        <v>109</v>
      </c>
      <c r="R20" s="2" t="s">
        <v>165</v>
      </c>
      <c r="S20" s="3">
        <v>1</v>
      </c>
      <c r="T20" s="3">
        <v>999999</v>
      </c>
    </row>
    <row r="21" spans="2:20" x14ac:dyDescent="0.3">
      <c r="B21" s="1" t="s">
        <v>1898</v>
      </c>
      <c r="C21" s="1">
        <v>10</v>
      </c>
      <c r="D21" s="1">
        <v>0</v>
      </c>
      <c r="P21" s="2">
        <v>18</v>
      </c>
      <c r="Q21" s="2" t="s">
        <v>110</v>
      </c>
      <c r="R21" s="2" t="s">
        <v>165</v>
      </c>
      <c r="S21" s="3">
        <v>1</v>
      </c>
      <c r="T21" s="3">
        <v>999999</v>
      </c>
    </row>
    <row r="22" spans="2:20" x14ac:dyDescent="0.3">
      <c r="B22" s="1" t="s">
        <v>1899</v>
      </c>
      <c r="C22" s="1">
        <v>11</v>
      </c>
      <c r="D22" s="1">
        <v>0</v>
      </c>
      <c r="P22" s="2">
        <v>19</v>
      </c>
      <c r="Q22" s="2" t="s">
        <v>111</v>
      </c>
      <c r="R22" s="2" t="s">
        <v>165</v>
      </c>
      <c r="S22" s="3">
        <v>1</v>
      </c>
      <c r="T22" s="3">
        <v>999999</v>
      </c>
    </row>
    <row r="23" spans="2:20" x14ac:dyDescent="0.3">
      <c r="P23" s="2">
        <v>20</v>
      </c>
      <c r="Q23" s="2" t="s">
        <v>112</v>
      </c>
      <c r="R23" s="2" t="s">
        <v>167</v>
      </c>
      <c r="S23" s="3">
        <v>0</v>
      </c>
      <c r="T23" s="3">
        <v>10000</v>
      </c>
    </row>
    <row r="24" spans="2:20" x14ac:dyDescent="0.3">
      <c r="P24" s="2">
        <v>21</v>
      </c>
      <c r="Q24" s="2" t="s">
        <v>113</v>
      </c>
      <c r="R24" s="2" t="s">
        <v>167</v>
      </c>
      <c r="S24" s="3">
        <v>0</v>
      </c>
      <c r="T24" s="3">
        <v>10000</v>
      </c>
    </row>
    <row r="25" spans="2:20" x14ac:dyDescent="0.3">
      <c r="F25" s="4" t="s">
        <v>37</v>
      </c>
      <c r="P25" s="2">
        <v>22</v>
      </c>
      <c r="Q25" s="2" t="s">
        <v>114</v>
      </c>
      <c r="R25" s="2" t="s">
        <v>167</v>
      </c>
      <c r="S25" s="3">
        <v>0</v>
      </c>
      <c r="T25" s="3">
        <v>10000</v>
      </c>
    </row>
    <row r="26" spans="2:20" x14ac:dyDescent="0.3">
      <c r="D26" s="8" t="s">
        <v>40</v>
      </c>
      <c r="E26" s="4">
        <v>1</v>
      </c>
      <c r="P26" s="2">
        <v>23</v>
      </c>
      <c r="Q26" s="2" t="s">
        <v>115</v>
      </c>
      <c r="R26" s="2" t="s">
        <v>165</v>
      </c>
      <c r="S26" s="3">
        <v>1</v>
      </c>
      <c r="T26" s="3">
        <v>999999</v>
      </c>
    </row>
    <row r="27" spans="2:20" x14ac:dyDescent="0.3">
      <c r="D27" s="1" t="s">
        <v>22</v>
      </c>
      <c r="E27" s="4">
        <v>2</v>
      </c>
      <c r="P27" s="2">
        <v>24</v>
      </c>
      <c r="Q27" s="2" t="s">
        <v>116</v>
      </c>
      <c r="R27" s="2" t="s">
        <v>165</v>
      </c>
      <c r="S27" s="3">
        <v>1</v>
      </c>
      <c r="T27" s="3">
        <v>999999</v>
      </c>
    </row>
    <row r="28" spans="2:20" x14ac:dyDescent="0.3">
      <c r="D28" s="1" t="s">
        <v>42</v>
      </c>
      <c r="E28" s="4">
        <v>3</v>
      </c>
      <c r="P28" s="2">
        <v>25</v>
      </c>
      <c r="Q28" s="2" t="s">
        <v>117</v>
      </c>
      <c r="R28" s="2" t="s">
        <v>165</v>
      </c>
      <c r="S28" s="3">
        <v>1</v>
      </c>
      <c r="T28" s="3">
        <v>999999</v>
      </c>
    </row>
    <row r="29" spans="2:20" x14ac:dyDescent="0.3">
      <c r="D29" s="1" t="s">
        <v>25</v>
      </c>
      <c r="E29" s="4">
        <v>4</v>
      </c>
      <c r="P29" s="2">
        <v>26</v>
      </c>
      <c r="Q29" s="2" t="s">
        <v>118</v>
      </c>
      <c r="R29" s="2" t="s">
        <v>165</v>
      </c>
      <c r="S29" s="3">
        <v>1</v>
      </c>
      <c r="T29" s="3">
        <v>999999</v>
      </c>
    </row>
    <row r="30" spans="2:20" x14ac:dyDescent="0.3">
      <c r="D30" s="1" t="s">
        <v>44</v>
      </c>
      <c r="E30" s="4">
        <v>5</v>
      </c>
      <c r="F30" s="4" t="s">
        <v>45</v>
      </c>
      <c r="P30" s="2">
        <v>27</v>
      </c>
      <c r="Q30" s="2" t="s">
        <v>119</v>
      </c>
      <c r="R30" s="2" t="s">
        <v>167</v>
      </c>
      <c r="S30" s="3">
        <v>0</v>
      </c>
      <c r="T30" s="3">
        <v>10000</v>
      </c>
    </row>
    <row r="31" spans="2:20" x14ac:dyDescent="0.3">
      <c r="B31" s="62" t="s">
        <v>28</v>
      </c>
      <c r="C31" s="62">
        <v>0</v>
      </c>
      <c r="D31" s="1" t="s">
        <v>28</v>
      </c>
      <c r="E31" s="4">
        <v>6</v>
      </c>
      <c r="F31" s="4" t="s">
        <v>46</v>
      </c>
      <c r="H31" s="4" t="s">
        <v>47</v>
      </c>
      <c r="P31" s="2">
        <v>28</v>
      </c>
      <c r="Q31" s="2" t="s">
        <v>120</v>
      </c>
      <c r="R31" s="2" t="s">
        <v>167</v>
      </c>
      <c r="S31" s="3">
        <v>0</v>
      </c>
      <c r="T31" s="3">
        <v>10000</v>
      </c>
    </row>
    <row r="32" spans="2:20" x14ac:dyDescent="0.3">
      <c r="B32" s="62" t="s">
        <v>29</v>
      </c>
      <c r="C32" s="62">
        <v>1</v>
      </c>
      <c r="D32" s="1" t="s">
        <v>29</v>
      </c>
      <c r="E32" s="4">
        <v>7</v>
      </c>
      <c r="F32" s="4" t="s">
        <v>48</v>
      </c>
      <c r="H32" s="4" t="s">
        <v>49</v>
      </c>
      <c r="P32" s="2">
        <v>29</v>
      </c>
      <c r="Q32" s="2" t="s">
        <v>121</v>
      </c>
      <c r="R32" s="2" t="s">
        <v>167</v>
      </c>
      <c r="S32" s="3">
        <v>0</v>
      </c>
      <c r="T32" s="3">
        <v>10000</v>
      </c>
    </row>
    <row r="33" spans="2:20" x14ac:dyDescent="0.3">
      <c r="B33" s="63" t="s">
        <v>19</v>
      </c>
      <c r="C33" s="63">
        <v>2</v>
      </c>
      <c r="D33" s="1" t="s">
        <v>51</v>
      </c>
      <c r="E33" s="4">
        <v>8</v>
      </c>
      <c r="P33" s="2">
        <v>30</v>
      </c>
      <c r="Q33" s="2" t="s">
        <v>122</v>
      </c>
      <c r="R33" s="2" t="s">
        <v>167</v>
      </c>
      <c r="S33" s="3">
        <v>0</v>
      </c>
      <c r="T33" s="3">
        <v>10000</v>
      </c>
    </row>
    <row r="34" spans="2:20" x14ac:dyDescent="0.3">
      <c r="B34" s="62" t="s">
        <v>22</v>
      </c>
      <c r="C34" s="62">
        <v>3</v>
      </c>
      <c r="D34" s="1" t="s">
        <v>33</v>
      </c>
      <c r="E34" s="4">
        <v>9</v>
      </c>
      <c r="I34" s="4" t="s">
        <v>38</v>
      </c>
      <c r="P34" s="2">
        <v>31</v>
      </c>
      <c r="Q34" s="2" t="s">
        <v>123</v>
      </c>
      <c r="R34" s="2" t="s">
        <v>167</v>
      </c>
      <c r="S34" s="3">
        <v>1</v>
      </c>
      <c r="T34" s="3">
        <v>999999</v>
      </c>
    </row>
    <row r="35" spans="2:20" x14ac:dyDescent="0.3">
      <c r="B35" s="62" t="s">
        <v>27</v>
      </c>
      <c r="C35" s="62">
        <v>4</v>
      </c>
      <c r="D35" s="1" t="s">
        <v>35</v>
      </c>
      <c r="E35" s="4">
        <v>10</v>
      </c>
      <c r="I35" s="4" t="s">
        <v>41</v>
      </c>
      <c r="P35" s="2">
        <v>32</v>
      </c>
      <c r="Q35" s="2" t="s">
        <v>124</v>
      </c>
      <c r="R35" s="2" t="s">
        <v>167</v>
      </c>
      <c r="S35" s="3">
        <v>1</v>
      </c>
      <c r="T35" s="3">
        <v>999999</v>
      </c>
    </row>
    <row r="36" spans="2:20" x14ac:dyDescent="0.3">
      <c r="B36" s="62" t="s">
        <v>24</v>
      </c>
      <c r="C36" s="62">
        <v>5</v>
      </c>
      <c r="P36" s="2">
        <v>33</v>
      </c>
      <c r="Q36" s="2" t="s">
        <v>125</v>
      </c>
      <c r="R36" s="2" t="s">
        <v>167</v>
      </c>
      <c r="S36" s="3">
        <v>1</v>
      </c>
      <c r="T36" s="3">
        <v>999999</v>
      </c>
    </row>
    <row r="37" spans="2:20" x14ac:dyDescent="0.3">
      <c r="B37" s="62" t="s">
        <v>25</v>
      </c>
      <c r="C37" s="62">
        <v>6</v>
      </c>
      <c r="P37" s="2">
        <v>34</v>
      </c>
      <c r="Q37" s="2" t="s">
        <v>126</v>
      </c>
      <c r="R37" s="2" t="s">
        <v>167</v>
      </c>
      <c r="S37" s="41">
        <v>1</v>
      </c>
      <c r="T37" s="3">
        <v>999999</v>
      </c>
    </row>
    <row r="38" spans="2:20" x14ac:dyDescent="0.3">
      <c r="B38" s="62" t="s">
        <v>31</v>
      </c>
      <c r="C38" s="62">
        <v>7</v>
      </c>
      <c r="P38" s="2">
        <v>35</v>
      </c>
      <c r="Q38" s="2" t="s">
        <v>127</v>
      </c>
      <c r="R38" s="2" t="s">
        <v>167</v>
      </c>
      <c r="S38" s="3">
        <v>-99999</v>
      </c>
      <c r="T38" s="3">
        <v>99999</v>
      </c>
    </row>
    <row r="39" spans="2:20" x14ac:dyDescent="0.3">
      <c r="B39" s="62" t="s">
        <v>314</v>
      </c>
      <c r="C39" s="62">
        <v>8</v>
      </c>
      <c r="D39" s="4" t="s">
        <v>214</v>
      </c>
      <c r="P39" s="2">
        <v>36</v>
      </c>
      <c r="Q39" s="2" t="s">
        <v>128</v>
      </c>
      <c r="R39" s="2" t="s">
        <v>167</v>
      </c>
      <c r="S39" s="3">
        <v>-99999</v>
      </c>
      <c r="T39" s="3">
        <v>99999</v>
      </c>
    </row>
    <row r="40" spans="2:20" x14ac:dyDescent="0.3">
      <c r="B40" s="62" t="s">
        <v>313</v>
      </c>
      <c r="C40" s="62">
        <v>9</v>
      </c>
      <c r="D40" s="4" t="s">
        <v>52</v>
      </c>
      <c r="P40" s="2">
        <v>37</v>
      </c>
      <c r="Q40" s="2" t="s">
        <v>129</v>
      </c>
      <c r="R40" s="2" t="s">
        <v>167</v>
      </c>
      <c r="S40" s="3">
        <v>-99999</v>
      </c>
      <c r="T40" s="3">
        <v>99999</v>
      </c>
    </row>
    <row r="41" spans="2:20" x14ac:dyDescent="0.3">
      <c r="B41" s="62" t="s">
        <v>207</v>
      </c>
      <c r="C41" s="63">
        <v>100</v>
      </c>
      <c r="D41" s="4">
        <v>1.95</v>
      </c>
      <c r="P41" s="2">
        <v>38</v>
      </c>
      <c r="Q41" s="2" t="s">
        <v>130</v>
      </c>
      <c r="R41" s="2" t="s">
        <v>168</v>
      </c>
      <c r="S41" s="3">
        <v>-99999</v>
      </c>
      <c r="T41" s="3">
        <v>99999</v>
      </c>
    </row>
    <row r="42" spans="2:20" x14ac:dyDescent="0.3">
      <c r="B42" s="62" t="s">
        <v>208</v>
      </c>
      <c r="C42" s="63">
        <v>101</v>
      </c>
      <c r="D42" s="4">
        <v>2</v>
      </c>
      <c r="P42" s="2">
        <v>39</v>
      </c>
      <c r="Q42" s="2" t="s">
        <v>131</v>
      </c>
      <c r="R42" s="2" t="s">
        <v>167</v>
      </c>
      <c r="S42" s="3">
        <v>-99999</v>
      </c>
      <c r="T42" s="3">
        <v>99999</v>
      </c>
    </row>
    <row r="43" spans="2:20" x14ac:dyDescent="0.3">
      <c r="B43" s="63" t="s">
        <v>202</v>
      </c>
      <c r="C43" s="62">
        <v>102</v>
      </c>
      <c r="D43" s="4">
        <v>1.8</v>
      </c>
      <c r="P43" s="2">
        <v>40</v>
      </c>
      <c r="Q43" s="2" t="s">
        <v>132</v>
      </c>
      <c r="R43" s="2" t="s">
        <v>166</v>
      </c>
      <c r="S43" s="3">
        <v>0</v>
      </c>
      <c r="T43" s="3">
        <v>99999</v>
      </c>
    </row>
    <row r="44" spans="2:20" x14ac:dyDescent="0.3">
      <c r="B44" s="62" t="s">
        <v>203</v>
      </c>
      <c r="C44" s="62">
        <v>103</v>
      </c>
      <c r="D44" s="4">
        <v>1.6</v>
      </c>
      <c r="P44" s="2">
        <v>41</v>
      </c>
      <c r="Q44" s="2" t="s">
        <v>133</v>
      </c>
      <c r="R44" s="2" t="s">
        <v>166</v>
      </c>
      <c r="S44" s="3">
        <v>0</v>
      </c>
      <c r="T44" s="3">
        <v>99999</v>
      </c>
    </row>
    <row r="45" spans="2:20" x14ac:dyDescent="0.3">
      <c r="B45" s="62" t="s">
        <v>206</v>
      </c>
      <c r="C45" s="62">
        <v>104</v>
      </c>
      <c r="D45" s="4">
        <v>1.45</v>
      </c>
      <c r="P45" s="2">
        <v>42</v>
      </c>
      <c r="Q45" s="2" t="s">
        <v>134</v>
      </c>
      <c r="R45" s="2" t="s">
        <v>169</v>
      </c>
      <c r="S45" s="3">
        <v>0</v>
      </c>
      <c r="T45" s="3">
        <v>99999</v>
      </c>
    </row>
    <row r="46" spans="2:20" x14ac:dyDescent="0.3">
      <c r="B46" s="62" t="s">
        <v>204</v>
      </c>
      <c r="C46" s="62">
        <v>105</v>
      </c>
      <c r="D46" s="4">
        <v>1.37</v>
      </c>
      <c r="P46" s="2">
        <v>43</v>
      </c>
      <c r="Q46" s="2" t="s">
        <v>135</v>
      </c>
      <c r="R46" s="2" t="s">
        <v>166</v>
      </c>
      <c r="S46" s="3">
        <v>0</v>
      </c>
      <c r="T46" s="3">
        <v>99999</v>
      </c>
    </row>
    <row r="47" spans="2:20" x14ac:dyDescent="0.3">
      <c r="B47" s="62" t="s">
        <v>205</v>
      </c>
      <c r="C47" s="62">
        <v>106</v>
      </c>
      <c r="P47" s="2">
        <v>44</v>
      </c>
      <c r="Q47" s="2" t="s">
        <v>136</v>
      </c>
      <c r="R47" s="2" t="s">
        <v>166</v>
      </c>
      <c r="S47" s="3">
        <v>0</v>
      </c>
      <c r="T47" s="3">
        <v>99999</v>
      </c>
    </row>
    <row r="48" spans="2:20" x14ac:dyDescent="0.3">
      <c r="B48" s="62" t="s">
        <v>209</v>
      </c>
      <c r="C48" s="62">
        <v>107</v>
      </c>
      <c r="P48" s="2">
        <v>45</v>
      </c>
      <c r="Q48" s="2" t="s">
        <v>137</v>
      </c>
      <c r="R48" s="2" t="s">
        <v>166</v>
      </c>
      <c r="S48" s="3">
        <v>0</v>
      </c>
      <c r="T48" s="3">
        <v>99999</v>
      </c>
    </row>
    <row r="49" spans="2:20" x14ac:dyDescent="0.3">
      <c r="B49" s="62" t="s">
        <v>315</v>
      </c>
      <c r="C49" s="62">
        <v>108</v>
      </c>
      <c r="P49" s="2">
        <v>46</v>
      </c>
      <c r="Q49" s="2" t="s">
        <v>138</v>
      </c>
      <c r="R49" s="2" t="s">
        <v>167</v>
      </c>
      <c r="S49" s="3">
        <v>-99999</v>
      </c>
      <c r="T49" s="3">
        <v>10000</v>
      </c>
    </row>
    <row r="50" spans="2:20" x14ac:dyDescent="0.3">
      <c r="B50" s="62" t="s">
        <v>316</v>
      </c>
      <c r="C50" s="62">
        <v>109</v>
      </c>
      <c r="P50" s="2">
        <v>47</v>
      </c>
      <c r="Q50" s="2" t="s">
        <v>139</v>
      </c>
      <c r="R50" s="2" t="s">
        <v>167</v>
      </c>
      <c r="S50" s="3">
        <v>-99999</v>
      </c>
      <c r="T50" s="3">
        <v>10000</v>
      </c>
    </row>
    <row r="51" spans="2:20" x14ac:dyDescent="0.3">
      <c r="P51" s="2">
        <v>48</v>
      </c>
      <c r="Q51" s="2" t="s">
        <v>140</v>
      </c>
      <c r="R51" s="2" t="s">
        <v>167</v>
      </c>
      <c r="S51" s="3">
        <v>-99999</v>
      </c>
      <c r="T51" s="3">
        <v>10000</v>
      </c>
    </row>
    <row r="52" spans="2:20" x14ac:dyDescent="0.3">
      <c r="P52" s="2">
        <v>49</v>
      </c>
      <c r="Q52" s="2" t="s">
        <v>141</v>
      </c>
      <c r="R52" s="2" t="s">
        <v>167</v>
      </c>
      <c r="S52" s="3">
        <v>-99999</v>
      </c>
      <c r="T52" s="3">
        <v>10000</v>
      </c>
    </row>
    <row r="53" spans="2:20" x14ac:dyDescent="0.3">
      <c r="P53" s="2">
        <v>50</v>
      </c>
      <c r="Q53" s="2" t="s">
        <v>142</v>
      </c>
      <c r="R53" s="2" t="s">
        <v>167</v>
      </c>
      <c r="S53" s="3">
        <v>-99999</v>
      </c>
      <c r="T53" s="3">
        <v>10000</v>
      </c>
    </row>
    <row r="54" spans="2:20" x14ac:dyDescent="0.3">
      <c r="P54" s="2">
        <v>51</v>
      </c>
      <c r="Q54" s="2" t="s">
        <v>143</v>
      </c>
      <c r="R54" s="2" t="s">
        <v>167</v>
      </c>
      <c r="S54" s="3">
        <v>-99999</v>
      </c>
      <c r="T54" s="3">
        <v>10000</v>
      </c>
    </row>
    <row r="55" spans="2:20" x14ac:dyDescent="0.3">
      <c r="P55" s="2">
        <v>52</v>
      </c>
      <c r="Q55" s="2" t="s">
        <v>144</v>
      </c>
      <c r="R55" s="2" t="s">
        <v>167</v>
      </c>
      <c r="S55" s="3">
        <v>0</v>
      </c>
      <c r="T55" s="3">
        <v>10000</v>
      </c>
    </row>
    <row r="56" spans="2:20" x14ac:dyDescent="0.3">
      <c r="P56" s="2">
        <v>53</v>
      </c>
      <c r="Q56" s="2" t="s">
        <v>145</v>
      </c>
      <c r="R56" s="2" t="s">
        <v>167</v>
      </c>
      <c r="S56" s="3">
        <v>0</v>
      </c>
      <c r="T56" s="3">
        <v>10000</v>
      </c>
    </row>
    <row r="57" spans="2:20" x14ac:dyDescent="0.3">
      <c r="P57" s="2">
        <v>54</v>
      </c>
      <c r="Q57" s="2" t="s">
        <v>146</v>
      </c>
      <c r="R57" s="2" t="s">
        <v>167</v>
      </c>
      <c r="S57" s="3">
        <v>0</v>
      </c>
      <c r="T57" s="3">
        <v>10000</v>
      </c>
    </row>
    <row r="58" spans="2:20" x14ac:dyDescent="0.3">
      <c r="P58" s="2">
        <v>55</v>
      </c>
      <c r="Q58" s="2" t="s">
        <v>147</v>
      </c>
      <c r="R58" s="2" t="s">
        <v>167</v>
      </c>
      <c r="S58" s="3">
        <v>0</v>
      </c>
      <c r="T58" s="3">
        <v>10000</v>
      </c>
    </row>
    <row r="59" spans="2:20" x14ac:dyDescent="0.3">
      <c r="P59" s="2">
        <v>56</v>
      </c>
      <c r="Q59" s="2" t="s">
        <v>148</v>
      </c>
      <c r="R59" s="2" t="s">
        <v>167</v>
      </c>
      <c r="S59" s="3">
        <v>0</v>
      </c>
      <c r="T59" s="3">
        <v>10000</v>
      </c>
    </row>
    <row r="60" spans="2:20" x14ac:dyDescent="0.3">
      <c r="P60" s="2">
        <v>57</v>
      </c>
      <c r="Q60" s="2" t="s">
        <v>149</v>
      </c>
      <c r="R60" s="2" t="s">
        <v>167</v>
      </c>
      <c r="S60" s="3">
        <v>0</v>
      </c>
      <c r="T60" s="3">
        <v>10000</v>
      </c>
    </row>
    <row r="61" spans="2:20" x14ac:dyDescent="0.3">
      <c r="P61" s="2">
        <v>58</v>
      </c>
      <c r="Q61" s="2" t="s">
        <v>150</v>
      </c>
      <c r="R61" s="2" t="s">
        <v>167</v>
      </c>
      <c r="S61" s="3">
        <v>0</v>
      </c>
      <c r="T61" s="3">
        <v>10000</v>
      </c>
    </row>
    <row r="62" spans="2:20" x14ac:dyDescent="0.3">
      <c r="P62" s="2">
        <v>59</v>
      </c>
      <c r="Q62" s="2" t="s">
        <v>151</v>
      </c>
      <c r="R62" s="2" t="s">
        <v>167</v>
      </c>
      <c r="S62" s="3">
        <v>0</v>
      </c>
      <c r="T62" s="3">
        <v>10000</v>
      </c>
    </row>
    <row r="63" spans="2:20" x14ac:dyDescent="0.3">
      <c r="P63" s="2">
        <v>60</v>
      </c>
      <c r="Q63" s="2" t="s">
        <v>152</v>
      </c>
      <c r="R63" s="2" t="s">
        <v>167</v>
      </c>
      <c r="S63" s="3">
        <v>0</v>
      </c>
      <c r="T63" s="3">
        <v>10000</v>
      </c>
    </row>
    <row r="64" spans="2:20" x14ac:dyDescent="0.3">
      <c r="P64" s="2">
        <v>61</v>
      </c>
      <c r="Q64" s="2" t="s">
        <v>153</v>
      </c>
      <c r="R64" s="2" t="s">
        <v>167</v>
      </c>
      <c r="S64" s="3">
        <v>0</v>
      </c>
      <c r="T64" s="3">
        <v>10000</v>
      </c>
    </row>
    <row r="65" spans="15:20" x14ac:dyDescent="0.3">
      <c r="P65" s="2">
        <v>62</v>
      </c>
      <c r="Q65" s="2" t="s">
        <v>154</v>
      </c>
      <c r="R65" s="2" t="s">
        <v>167</v>
      </c>
      <c r="S65" s="3">
        <v>0</v>
      </c>
      <c r="T65" s="3">
        <v>10000</v>
      </c>
    </row>
    <row r="66" spans="15:20" x14ac:dyDescent="0.3">
      <c r="P66" s="2">
        <v>63</v>
      </c>
      <c r="Q66" s="2" t="s">
        <v>155</v>
      </c>
      <c r="R66" s="2" t="s">
        <v>167</v>
      </c>
      <c r="S66" s="3">
        <v>0</v>
      </c>
      <c r="T66" s="3">
        <v>10000</v>
      </c>
    </row>
    <row r="67" spans="15:20" x14ac:dyDescent="0.3">
      <c r="P67" s="2">
        <v>64</v>
      </c>
      <c r="Q67" s="2" t="s">
        <v>156</v>
      </c>
      <c r="R67" s="2" t="s">
        <v>167</v>
      </c>
      <c r="S67" s="3">
        <v>0</v>
      </c>
      <c r="T67" s="3">
        <v>10000</v>
      </c>
    </row>
    <row r="68" spans="15:20" x14ac:dyDescent="0.3">
      <c r="P68" s="2">
        <v>65</v>
      </c>
      <c r="Q68" s="2" t="s">
        <v>157</v>
      </c>
      <c r="R68" s="2" t="s">
        <v>167</v>
      </c>
      <c r="S68" s="41">
        <v>0</v>
      </c>
      <c r="T68" s="41">
        <v>10000</v>
      </c>
    </row>
    <row r="69" spans="15:20" x14ac:dyDescent="0.3">
      <c r="P69" s="2">
        <v>66</v>
      </c>
      <c r="Q69" s="2" t="s">
        <v>158</v>
      </c>
      <c r="R69" s="2" t="s">
        <v>167</v>
      </c>
      <c r="S69" s="41">
        <v>0</v>
      </c>
      <c r="T69" s="41">
        <v>99999</v>
      </c>
    </row>
    <row r="70" spans="15:20" x14ac:dyDescent="0.3">
      <c r="P70" s="2">
        <v>67</v>
      </c>
      <c r="Q70" s="2" t="s">
        <v>159</v>
      </c>
      <c r="R70" s="2" t="s">
        <v>167</v>
      </c>
      <c r="S70" s="41">
        <v>0</v>
      </c>
      <c r="T70" s="41">
        <v>99999</v>
      </c>
    </row>
    <row r="71" spans="15:20" x14ac:dyDescent="0.3">
      <c r="P71" s="2">
        <v>68</v>
      </c>
      <c r="Q71" s="2" t="s">
        <v>160</v>
      </c>
      <c r="R71" s="2" t="s">
        <v>167</v>
      </c>
      <c r="S71" s="41">
        <v>0</v>
      </c>
      <c r="T71" s="41">
        <v>99999</v>
      </c>
    </row>
    <row r="72" spans="15:20" x14ac:dyDescent="0.3">
      <c r="P72" s="2">
        <v>69</v>
      </c>
      <c r="Q72" s="2" t="s">
        <v>161</v>
      </c>
      <c r="R72" s="2" t="s">
        <v>167</v>
      </c>
      <c r="S72" s="41">
        <v>0</v>
      </c>
      <c r="T72" s="41">
        <v>10000</v>
      </c>
    </row>
    <row r="73" spans="15:20" x14ac:dyDescent="0.3">
      <c r="P73" s="2">
        <v>70</v>
      </c>
      <c r="Q73" s="2" t="s">
        <v>162</v>
      </c>
      <c r="R73" s="2" t="s">
        <v>167</v>
      </c>
      <c r="S73" s="41">
        <v>0</v>
      </c>
      <c r="T73" s="41">
        <v>10000</v>
      </c>
    </row>
    <row r="74" spans="15:20" x14ac:dyDescent="0.3">
      <c r="P74" s="2">
        <v>71</v>
      </c>
      <c r="Q74" s="2" t="s">
        <v>163</v>
      </c>
      <c r="R74" s="2" t="s">
        <v>167</v>
      </c>
      <c r="S74" s="41">
        <v>0</v>
      </c>
      <c r="T74" s="41">
        <v>10000</v>
      </c>
    </row>
    <row r="75" spans="15:20" x14ac:dyDescent="0.3">
      <c r="P75" s="2">
        <v>72</v>
      </c>
      <c r="Q75" s="2" t="s">
        <v>164</v>
      </c>
      <c r="R75" s="2" t="s">
        <v>167</v>
      </c>
      <c r="S75" s="41">
        <v>0</v>
      </c>
      <c r="T75" s="41">
        <v>10000</v>
      </c>
    </row>
    <row r="76" spans="15:20" x14ac:dyDescent="0.3">
      <c r="P76" s="2">
        <v>73</v>
      </c>
      <c r="Q76" s="2" t="s">
        <v>885</v>
      </c>
      <c r="R76" s="2" t="s">
        <v>166</v>
      </c>
      <c r="S76" s="3">
        <v>0</v>
      </c>
      <c r="T76" s="3">
        <v>99999</v>
      </c>
    </row>
    <row r="77" spans="15:20" x14ac:dyDescent="0.3">
      <c r="P77" s="60">
        <v>1001</v>
      </c>
      <c r="Q77" s="60" t="s">
        <v>884</v>
      </c>
      <c r="R77" s="60" t="s">
        <v>166</v>
      </c>
      <c r="S77" s="61">
        <v>1</v>
      </c>
      <c r="T77" s="61">
        <v>1</v>
      </c>
    </row>
    <row r="78" spans="15:20" x14ac:dyDescent="0.3">
      <c r="O78" s="4" t="s">
        <v>53</v>
      </c>
    </row>
    <row r="79" spans="15:20" x14ac:dyDescent="0.3">
      <c r="O79" s="11" t="s">
        <v>54</v>
      </c>
    </row>
    <row r="80" spans="15:20" x14ac:dyDescent="0.3">
      <c r="O80" s="11" t="s">
        <v>55</v>
      </c>
    </row>
  </sheetData>
  <mergeCells count="8">
    <mergeCell ref="B2:C2"/>
    <mergeCell ref="D2:F2"/>
    <mergeCell ref="N3:O3"/>
    <mergeCell ref="P2:T2"/>
    <mergeCell ref="D3:E3"/>
    <mergeCell ref="G2:K2"/>
    <mergeCell ref="L2:M2"/>
    <mergeCell ref="N2:O2"/>
  </mergeCells>
  <phoneticPr fontId="1" type="noConversion"/>
  <conditionalFormatting sqref="Q14:Q16">
    <cfRule type="duplicateValues" dxfId="59" priority="8"/>
  </conditionalFormatting>
  <conditionalFormatting sqref="Q43:Q47">
    <cfRule type="duplicateValues" dxfId="58" priority="3"/>
  </conditionalFormatting>
  <conditionalFormatting sqref="Q48">
    <cfRule type="duplicateValues" dxfId="57" priority="2"/>
  </conditionalFormatting>
  <conditionalFormatting sqref="Q49:Q53 Q4:Q8 Q11:Q13 Q38:Q42 Q17:Q36">
    <cfRule type="duplicateValues" dxfId="56" priority="9"/>
  </conditionalFormatting>
  <conditionalFormatting sqref="Q54">
    <cfRule type="duplicateValues" dxfId="55" priority="1"/>
  </conditionalFormatting>
  <conditionalFormatting sqref="Q55:Q60">
    <cfRule type="duplicateValues" dxfId="54" priority="7"/>
  </conditionalFormatting>
  <conditionalFormatting sqref="Q61">
    <cfRule type="duplicateValues" dxfId="53" priority="6"/>
  </conditionalFormatting>
  <conditionalFormatting sqref="Q62">
    <cfRule type="duplicateValues" dxfId="52" priority="5"/>
  </conditionalFormatting>
  <conditionalFormatting sqref="Q63">
    <cfRule type="duplicateValues" dxfId="51" priority="4"/>
  </conditionalFormatting>
  <conditionalFormatting sqref="Q64:Q67">
    <cfRule type="duplicateValues" dxfId="50" priority="10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CE305-53E7-4A23-94B8-386EFE38D6A1}">
  <sheetPr codeName="Sheet2"/>
  <dimension ref="A1:AU710"/>
  <sheetViews>
    <sheetView workbookViewId="0">
      <selection activeCell="F20" sqref="F20"/>
    </sheetView>
  </sheetViews>
  <sheetFormatPr defaultRowHeight="12" outlineLevelCol="1" x14ac:dyDescent="0.3"/>
  <cols>
    <col min="1" max="1" width="2.125" style="21" customWidth="1"/>
    <col min="2" max="2" width="18.875" style="27" customWidth="1"/>
    <col min="3" max="4" width="12" style="102" customWidth="1"/>
    <col min="5" max="5" width="11.875" style="21" bestFit="1" customWidth="1"/>
    <col min="6" max="6" width="8.875" style="21" bestFit="1" customWidth="1"/>
    <col min="7" max="7" width="9.5" style="21" bestFit="1" customWidth="1"/>
    <col min="8" max="8" width="13.5" style="21" bestFit="1" customWidth="1"/>
    <col min="9" max="9" width="22.375" style="21" bestFit="1" customWidth="1"/>
    <col min="10" max="10" width="21.875" style="21" customWidth="1"/>
    <col min="11" max="11" width="11.875" style="21" customWidth="1" outlineLevel="1"/>
    <col min="12" max="12" width="8" style="21" customWidth="1" outlineLevel="1"/>
    <col min="13" max="13" width="9" style="21" customWidth="1" outlineLevel="1"/>
    <col min="14" max="14" width="13.5" style="21" customWidth="1" outlineLevel="1"/>
    <col min="15" max="15" width="15.5" style="21" customWidth="1" outlineLevel="1"/>
    <col min="16" max="17" width="12.625" style="21" customWidth="1" outlineLevel="1"/>
    <col min="18" max="18" width="8" style="21" customWidth="1" outlineLevel="1"/>
    <col min="19" max="19" width="21" style="21" customWidth="1" outlineLevel="1"/>
    <col min="20" max="20" width="21.875" style="21" customWidth="1" outlineLevel="1"/>
    <col min="21" max="21" width="15.875" style="21" customWidth="1" outlineLevel="1"/>
    <col min="22" max="22" width="18.875" style="21" customWidth="1" outlineLevel="1"/>
    <col min="23" max="23" width="17.875" style="21" customWidth="1" outlineLevel="1"/>
    <col min="24" max="29" width="17.25" style="141" customWidth="1" outlineLevel="1"/>
    <col min="30" max="30" width="28.75" style="141" customWidth="1" outlineLevel="1"/>
    <col min="31" max="31" width="14.5" style="34" customWidth="1" outlineLevel="1"/>
    <col min="32" max="32" width="15.5" style="71" customWidth="1" outlineLevel="1"/>
    <col min="33" max="33" width="16.375" style="27" customWidth="1" outlineLevel="1"/>
    <col min="34" max="34" width="22.125" style="21" customWidth="1" outlineLevel="1"/>
    <col min="35" max="37" width="22.125" style="27" customWidth="1" outlineLevel="1"/>
    <col min="38" max="39" width="11.875" style="27" customWidth="1" outlineLevel="1"/>
    <col min="40" max="40" width="9" style="27" customWidth="1" outlineLevel="1"/>
    <col min="41" max="42" width="9.625" style="27" customWidth="1" outlineLevel="1"/>
    <col min="43" max="43" width="9" style="21" customWidth="1" outlineLevel="1"/>
    <col min="44" max="16384" width="9" style="21"/>
  </cols>
  <sheetData>
    <row r="1" spans="1:44" x14ac:dyDescent="0.3">
      <c r="A1" s="19"/>
      <c r="B1" s="20"/>
      <c r="C1" s="113" t="s">
        <v>513</v>
      </c>
      <c r="D1" s="113" t="s">
        <v>513</v>
      </c>
      <c r="E1" s="19"/>
      <c r="F1" s="19"/>
      <c r="G1" s="19"/>
      <c r="H1" s="19" t="s">
        <v>337</v>
      </c>
      <c r="I1" s="19" t="s">
        <v>337</v>
      </c>
      <c r="J1" s="19" t="s">
        <v>337</v>
      </c>
      <c r="K1" s="19"/>
      <c r="L1" s="19"/>
      <c r="M1" s="19"/>
      <c r="N1" s="19"/>
      <c r="O1" s="19"/>
      <c r="P1" s="19"/>
      <c r="Q1" s="19"/>
      <c r="R1" s="19"/>
      <c r="S1" s="19"/>
      <c r="T1" s="19"/>
      <c r="U1" s="19" t="s">
        <v>337</v>
      </c>
      <c r="V1" s="19"/>
      <c r="W1" s="19"/>
      <c r="X1" s="19"/>
      <c r="Y1" s="19"/>
      <c r="Z1" s="19"/>
      <c r="AA1" s="19"/>
      <c r="AB1" s="19"/>
      <c r="AC1" s="19"/>
      <c r="AD1" s="28"/>
      <c r="AE1" s="29"/>
      <c r="AF1" s="69"/>
      <c r="AG1" s="19"/>
      <c r="AH1" s="44"/>
      <c r="AI1" s="90"/>
      <c r="AJ1" s="90"/>
      <c r="AL1" s="5" t="s">
        <v>513</v>
      </c>
      <c r="AM1" s="5" t="s">
        <v>513</v>
      </c>
      <c r="AQ1" s="21" t="s">
        <v>2244</v>
      </c>
      <c r="AR1" s="21" t="s">
        <v>2244</v>
      </c>
    </row>
    <row r="2" spans="1:44" ht="84" x14ac:dyDescent="0.3">
      <c r="A2" s="19" t="s">
        <v>337</v>
      </c>
      <c r="B2" s="36" t="s">
        <v>975</v>
      </c>
      <c r="C2" s="114" t="s">
        <v>516</v>
      </c>
      <c r="D2" s="114" t="s">
        <v>970</v>
      </c>
      <c r="E2" s="20" t="s">
        <v>969</v>
      </c>
      <c r="F2" s="20" t="s">
        <v>968</v>
      </c>
      <c r="G2" s="20" t="s">
        <v>973</v>
      </c>
      <c r="H2" s="20" t="s">
        <v>972</v>
      </c>
      <c r="I2" s="20" t="s">
        <v>481</v>
      </c>
      <c r="J2" s="20" t="s">
        <v>339</v>
      </c>
      <c r="K2" s="20" t="s">
        <v>340</v>
      </c>
      <c r="L2" s="20" t="s">
        <v>974</v>
      </c>
      <c r="M2" s="20" t="s">
        <v>987</v>
      </c>
      <c r="N2" s="35" t="s">
        <v>1568</v>
      </c>
      <c r="O2" s="35" t="s">
        <v>482</v>
      </c>
      <c r="P2" s="35" t="s">
        <v>472</v>
      </c>
      <c r="Q2" s="118" t="s">
        <v>1954</v>
      </c>
      <c r="R2" s="20" t="s">
        <v>346</v>
      </c>
      <c r="S2" s="35" t="s">
        <v>483</v>
      </c>
      <c r="T2" s="36" t="s">
        <v>484</v>
      </c>
      <c r="U2" s="35" t="s">
        <v>471</v>
      </c>
      <c r="V2" s="37" t="s">
        <v>469</v>
      </c>
      <c r="W2" s="37" t="s">
        <v>470</v>
      </c>
      <c r="X2" s="20" t="s">
        <v>475</v>
      </c>
      <c r="Y2" s="20" t="s">
        <v>476</v>
      </c>
      <c r="Z2" s="20" t="s">
        <v>477</v>
      </c>
      <c r="AA2" s="20" t="s">
        <v>478</v>
      </c>
      <c r="AB2" s="20" t="s">
        <v>479</v>
      </c>
      <c r="AC2" s="20" t="s">
        <v>480</v>
      </c>
      <c r="AD2" s="39" t="s">
        <v>468</v>
      </c>
      <c r="AE2" s="31" t="s">
        <v>976</v>
      </c>
      <c r="AF2" s="70" t="s">
        <v>1842</v>
      </c>
      <c r="AG2" s="20" t="s">
        <v>1843</v>
      </c>
      <c r="AH2" s="19" t="s">
        <v>1550</v>
      </c>
      <c r="AI2" s="20" t="s">
        <v>1834</v>
      </c>
      <c r="AJ2" s="20" t="s">
        <v>1836</v>
      </c>
      <c r="AK2" s="119" t="s">
        <v>1897</v>
      </c>
      <c r="AL2" s="118" t="s">
        <v>1845</v>
      </c>
      <c r="AM2" s="118" t="s">
        <v>1846</v>
      </c>
      <c r="AN2" s="119" t="s">
        <v>1921</v>
      </c>
      <c r="AO2" s="119" t="s">
        <v>1848</v>
      </c>
      <c r="AP2" s="119" t="s">
        <v>2631</v>
      </c>
      <c r="AQ2" s="21" t="s">
        <v>2630</v>
      </c>
      <c r="AR2" s="21" t="s">
        <v>2629</v>
      </c>
    </row>
    <row r="3" spans="1:44" x14ac:dyDescent="0.3">
      <c r="A3" s="19"/>
      <c r="B3" s="36" t="s">
        <v>511</v>
      </c>
      <c r="C3" s="115" t="s">
        <v>514</v>
      </c>
      <c r="D3" s="115" t="s">
        <v>514</v>
      </c>
      <c r="E3" s="36" t="s">
        <v>18</v>
      </c>
      <c r="F3" s="36" t="s">
        <v>200</v>
      </c>
      <c r="G3" s="36" t="s">
        <v>947</v>
      </c>
      <c r="H3" s="36" t="s">
        <v>947</v>
      </c>
      <c r="I3" s="36" t="s">
        <v>15</v>
      </c>
      <c r="J3" s="36" t="s">
        <v>510</v>
      </c>
      <c r="K3" s="36" t="s">
        <v>26</v>
      </c>
      <c r="L3" s="36" t="s">
        <v>519</v>
      </c>
      <c r="M3" s="36" t="s">
        <v>977</v>
      </c>
      <c r="N3" s="36" t="s">
        <v>56</v>
      </c>
      <c r="O3" s="36" t="s">
        <v>57</v>
      </c>
      <c r="P3" s="36" t="s">
        <v>369</v>
      </c>
      <c r="Q3" s="132" t="s">
        <v>1955</v>
      </c>
      <c r="R3" s="36" t="s">
        <v>367</v>
      </c>
      <c r="S3" s="36" t="s">
        <v>368</v>
      </c>
      <c r="T3" s="36" t="s">
        <v>485</v>
      </c>
      <c r="U3" s="36" t="s">
        <v>518</v>
      </c>
      <c r="V3" s="36" t="s">
        <v>363</v>
      </c>
      <c r="W3" s="36" t="s">
        <v>364</v>
      </c>
      <c r="X3" s="36" t="s">
        <v>365</v>
      </c>
      <c r="Y3" s="36" t="s">
        <v>332</v>
      </c>
      <c r="Z3" s="36" t="s">
        <v>333</v>
      </c>
      <c r="AA3" s="36" t="s">
        <v>334</v>
      </c>
      <c r="AB3" s="36" t="s">
        <v>335</v>
      </c>
      <c r="AC3" s="36" t="s">
        <v>336</v>
      </c>
      <c r="AD3" s="42" t="s">
        <v>366</v>
      </c>
      <c r="AE3" s="64" t="s">
        <v>36</v>
      </c>
      <c r="AF3" s="70" t="s">
        <v>1395</v>
      </c>
      <c r="AG3" s="20" t="s">
        <v>75</v>
      </c>
      <c r="AH3" s="44" t="s">
        <v>1544</v>
      </c>
      <c r="AI3" s="90" t="s">
        <v>1833</v>
      </c>
      <c r="AJ3" s="90" t="s">
        <v>1835</v>
      </c>
      <c r="AK3" s="27" t="s">
        <v>1895</v>
      </c>
      <c r="AN3" s="27" t="s">
        <v>1920</v>
      </c>
      <c r="AO3" s="27" t="s">
        <v>1844</v>
      </c>
      <c r="AP3" s="27" t="s">
        <v>2632</v>
      </c>
    </row>
    <row r="4" spans="1:44" x14ac:dyDescent="0.3">
      <c r="A4" s="44" t="s">
        <v>370</v>
      </c>
      <c r="B4" s="36" t="s">
        <v>4</v>
      </c>
      <c r="C4" s="116" t="s">
        <v>520</v>
      </c>
      <c r="D4" s="116" t="s">
        <v>971</v>
      </c>
      <c r="E4" s="36" t="s">
        <v>4</v>
      </c>
      <c r="F4" s="36" t="s">
        <v>371</v>
      </c>
      <c r="G4" s="36" t="s">
        <v>948</v>
      </c>
      <c r="H4" s="36" t="s">
        <v>958</v>
      </c>
      <c r="I4" s="36" t="s">
        <v>474</v>
      </c>
      <c r="J4" s="36" t="s">
        <v>520</v>
      </c>
      <c r="K4" s="36" t="s">
        <v>4</v>
      </c>
      <c r="L4" s="36" t="s">
        <v>4</v>
      </c>
      <c r="M4" s="36" t="s">
        <v>948</v>
      </c>
      <c r="N4" s="36" t="s">
        <v>371</v>
      </c>
      <c r="O4" s="36" t="s">
        <v>371</v>
      </c>
      <c r="P4" s="36" t="s">
        <v>371</v>
      </c>
      <c r="Q4" s="5" t="s">
        <v>948</v>
      </c>
      <c r="R4" s="36" t="s">
        <v>4</v>
      </c>
      <c r="S4" s="36" t="s">
        <v>371</v>
      </c>
      <c r="T4" s="36" t="s">
        <v>474</v>
      </c>
      <c r="U4" s="36" t="s">
        <v>520</v>
      </c>
      <c r="V4" s="36" t="s">
        <v>474</v>
      </c>
      <c r="W4" s="36" t="s">
        <v>474</v>
      </c>
      <c r="X4" s="36" t="s">
        <v>4</v>
      </c>
      <c r="Y4" s="36" t="s">
        <v>4</v>
      </c>
      <c r="Z4" s="36" t="s">
        <v>4</v>
      </c>
      <c r="AA4" s="36" t="s">
        <v>4</v>
      </c>
      <c r="AB4" s="36" t="s">
        <v>4</v>
      </c>
      <c r="AC4" s="36" t="s">
        <v>4</v>
      </c>
      <c r="AD4" s="42" t="s">
        <v>4</v>
      </c>
      <c r="AE4" s="43" t="s">
        <v>4</v>
      </c>
      <c r="AF4" s="133" t="s">
        <v>948</v>
      </c>
      <c r="AG4" s="36" t="s">
        <v>948</v>
      </c>
      <c r="AH4" s="36" t="s">
        <v>948</v>
      </c>
      <c r="AI4" s="36" t="s">
        <v>948</v>
      </c>
      <c r="AJ4" s="36" t="s">
        <v>948</v>
      </c>
      <c r="AK4" s="117" t="s">
        <v>1896</v>
      </c>
      <c r="AL4" s="117"/>
      <c r="AM4" s="117"/>
      <c r="AN4" s="27" t="s">
        <v>948</v>
      </c>
      <c r="AO4" s="27" t="s">
        <v>948</v>
      </c>
      <c r="AP4" s="27" t="s">
        <v>2633</v>
      </c>
    </row>
    <row r="5" spans="1:44" x14ac:dyDescent="0.3">
      <c r="A5" s="19"/>
      <c r="B5" s="20">
        <v>11110000</v>
      </c>
      <c r="C5" s="99" t="str">
        <f>IF(K5&gt;0,MID(K5,5, 1), 0)</f>
        <v>1</v>
      </c>
      <c r="D5" s="101">
        <v>0</v>
      </c>
      <c r="E5" s="20">
        <v>1</v>
      </c>
      <c r="F5" s="20">
        <v>0</v>
      </c>
      <c r="G5" s="20">
        <v>1</v>
      </c>
      <c r="H5" s="103" t="s">
        <v>959</v>
      </c>
      <c r="I5" s="20" t="s">
        <v>372</v>
      </c>
      <c r="J5" s="104" t="str">
        <f>"Item_Name_"&amp;$B5</f>
        <v>Item_Name_11110000</v>
      </c>
      <c r="K5" s="20">
        <v>10101001</v>
      </c>
      <c r="L5" s="20">
        <v>1</v>
      </c>
      <c r="M5" s="105">
        <f>IF(D5=0, 0, _xlfn.XLOOKUP($F5,'#무게관련'!$B:$B,'#무게관련'!$C:$C)*_xlfn.XLOOKUP($L5,'#무게관련'!$F:$F,'#무게관련'!$G:$G)*100)</f>
        <v>0</v>
      </c>
      <c r="N5" s="20">
        <v>0</v>
      </c>
      <c r="O5" s="20">
        <v>1</v>
      </c>
      <c r="P5" s="20">
        <v>0</v>
      </c>
      <c r="Q5" s="20">
        <v>0</v>
      </c>
      <c r="R5" s="20">
        <v>0</v>
      </c>
      <c r="S5" s="20">
        <v>0</v>
      </c>
      <c r="T5" s="20" t="s">
        <v>1849</v>
      </c>
      <c r="U5" s="104">
        <v>0</v>
      </c>
      <c r="V5" s="20">
        <v>0</v>
      </c>
      <c r="W5" s="20">
        <v>0</v>
      </c>
      <c r="X5" s="104">
        <v>0</v>
      </c>
      <c r="Y5" s="104">
        <v>0</v>
      </c>
      <c r="Z5" s="104">
        <v>0</v>
      </c>
      <c r="AA5" s="104">
        <v>0</v>
      </c>
      <c r="AB5" s="104">
        <v>0</v>
      </c>
      <c r="AC5" s="104">
        <v>0</v>
      </c>
      <c r="AD5" s="142">
        <v>0</v>
      </c>
      <c r="AE5" s="31">
        <v>0</v>
      </c>
      <c r="AF5" s="70">
        <v>0</v>
      </c>
      <c r="AG5" s="105" cm="1">
        <f t="array" ref="AG5">_xlfn.SWITCH(L5,3,1,
           4,1,
           5,1,
           6,1,0)</f>
        <v>0</v>
      </c>
      <c r="AH5" s="145">
        <v>80100101</v>
      </c>
      <c r="AI5" s="90">
        <v>0</v>
      </c>
      <c r="AJ5" s="90">
        <v>0</v>
      </c>
      <c r="AK5" s="27">
        <v>0</v>
      </c>
      <c r="AL5" s="123">
        <f>_xlfn.XLOOKUP(H5,'#각종 참고'!$B$11:$B$20,'#각종 참고'!$D$11:$D$20)</f>
        <v>0</v>
      </c>
      <c r="AM5" s="27">
        <v>0</v>
      </c>
      <c r="AN5" s="27">
        <v>1</v>
      </c>
      <c r="AO5" s="124">
        <f t="shared" ref="AO5:AO59" si="0">IF(AM5=1,AM5,AL5)</f>
        <v>0</v>
      </c>
      <c r="AP5" s="27">
        <v>0</v>
      </c>
    </row>
    <row r="6" spans="1:44" x14ac:dyDescent="0.3">
      <c r="A6" s="19"/>
      <c r="B6" s="20">
        <v>11111000</v>
      </c>
      <c r="C6" s="99" t="str">
        <f t="shared" ref="C6:C342" si="1">IF(K6&gt;0,MID(K6,5, 1), 0)</f>
        <v>1</v>
      </c>
      <c r="D6" s="101">
        <v>0</v>
      </c>
      <c r="E6" s="20">
        <v>1</v>
      </c>
      <c r="F6" s="20">
        <v>1</v>
      </c>
      <c r="G6" s="20">
        <v>1</v>
      </c>
      <c r="H6" s="103" t="s">
        <v>960</v>
      </c>
      <c r="I6" s="20" t="s">
        <v>373</v>
      </c>
      <c r="J6" s="104" t="str">
        <f t="shared" ref="J6:J108" si="2">"Item_Name_"&amp;$B6</f>
        <v>Item_Name_11111000</v>
      </c>
      <c r="K6" s="20">
        <v>10101001</v>
      </c>
      <c r="L6" s="20">
        <v>1</v>
      </c>
      <c r="M6" s="105">
        <f>IF(D6=0, 0, _xlfn.XLOOKUP($F6,'#무게관련'!$B:$B,'#무게관련'!$C:$C)*_xlfn.XLOOKUP($L6,'#무게관련'!$F:$F,'#무게관련'!$G:$G)*100)</f>
        <v>0</v>
      </c>
      <c r="N6" s="20">
        <v>0</v>
      </c>
      <c r="O6" s="20">
        <v>1</v>
      </c>
      <c r="P6" s="20">
        <v>0</v>
      </c>
      <c r="Q6" s="20">
        <v>0</v>
      </c>
      <c r="R6" s="20">
        <v>0</v>
      </c>
      <c r="S6" s="20">
        <v>0</v>
      </c>
      <c r="T6" s="20" t="s">
        <v>1854</v>
      </c>
      <c r="U6" s="104">
        <v>0</v>
      </c>
      <c r="V6" s="20">
        <v>0</v>
      </c>
      <c r="W6" s="20">
        <v>0</v>
      </c>
      <c r="X6" s="104">
        <v>0</v>
      </c>
      <c r="Y6" s="104">
        <v>0</v>
      </c>
      <c r="Z6" s="104">
        <v>0</v>
      </c>
      <c r="AA6" s="104">
        <v>0</v>
      </c>
      <c r="AB6" s="104">
        <v>0</v>
      </c>
      <c r="AC6" s="104">
        <v>0</v>
      </c>
      <c r="AD6" s="142">
        <v>0</v>
      </c>
      <c r="AE6" s="31">
        <v>0</v>
      </c>
      <c r="AF6" s="70">
        <v>0</v>
      </c>
      <c r="AG6" s="105" cm="1">
        <f t="array" ref="AG6">_xlfn.SWITCH(L6,3,1,
           4,1,
           5,1,
           6,1,0)</f>
        <v>0</v>
      </c>
      <c r="AH6" s="145">
        <v>80100101</v>
      </c>
      <c r="AI6" s="90">
        <v>0</v>
      </c>
      <c r="AJ6" s="90">
        <v>0</v>
      </c>
      <c r="AK6" s="27">
        <v>0</v>
      </c>
      <c r="AL6" s="123">
        <f>_xlfn.XLOOKUP(H6,'#각종 참고'!$B$11:$B$20,'#각종 참고'!$D$11:$D$20)</f>
        <v>0</v>
      </c>
      <c r="AM6" s="27">
        <v>0</v>
      </c>
      <c r="AN6" s="27">
        <v>1</v>
      </c>
      <c r="AO6" s="124">
        <f t="shared" si="0"/>
        <v>0</v>
      </c>
      <c r="AP6" s="27">
        <v>0</v>
      </c>
    </row>
    <row r="7" spans="1:44" x14ac:dyDescent="0.3">
      <c r="A7" s="19"/>
      <c r="B7" s="20">
        <v>11112000</v>
      </c>
      <c r="C7" s="99" t="str">
        <f t="shared" si="1"/>
        <v>1</v>
      </c>
      <c r="D7" s="101">
        <v>0</v>
      </c>
      <c r="E7" s="20">
        <v>1</v>
      </c>
      <c r="F7" s="20">
        <v>2</v>
      </c>
      <c r="G7" s="20">
        <v>1</v>
      </c>
      <c r="H7" s="103" t="s">
        <v>961</v>
      </c>
      <c r="I7" s="20" t="s">
        <v>374</v>
      </c>
      <c r="J7" s="104" t="str">
        <f t="shared" si="2"/>
        <v>Item_Name_11112000</v>
      </c>
      <c r="K7" s="20">
        <v>10101001</v>
      </c>
      <c r="L7" s="20">
        <v>1</v>
      </c>
      <c r="M7" s="105">
        <f>IF(D7=0, 0, _xlfn.XLOOKUP($F7,'#무게관련'!$B:$B,'#무게관련'!$C:$C)*_xlfn.XLOOKUP($L7,'#무게관련'!$F:$F,'#무게관련'!$G:$G)*100)</f>
        <v>0</v>
      </c>
      <c r="N7" s="20">
        <v>0</v>
      </c>
      <c r="O7" s="20">
        <v>1</v>
      </c>
      <c r="P7" s="20">
        <v>0</v>
      </c>
      <c r="Q7" s="20">
        <v>0</v>
      </c>
      <c r="R7" s="20">
        <v>0</v>
      </c>
      <c r="S7" s="20">
        <v>0</v>
      </c>
      <c r="T7" s="20" t="s">
        <v>1859</v>
      </c>
      <c r="U7" s="104">
        <v>0</v>
      </c>
      <c r="V7" s="20">
        <v>0</v>
      </c>
      <c r="W7" s="20">
        <v>0</v>
      </c>
      <c r="X7" s="104">
        <v>0</v>
      </c>
      <c r="Y7" s="104">
        <v>0</v>
      </c>
      <c r="Z7" s="104">
        <v>0</v>
      </c>
      <c r="AA7" s="104">
        <v>0</v>
      </c>
      <c r="AB7" s="104">
        <v>0</v>
      </c>
      <c r="AC7" s="104">
        <v>0</v>
      </c>
      <c r="AD7" s="142">
        <v>0</v>
      </c>
      <c r="AE7" s="31">
        <v>0</v>
      </c>
      <c r="AF7" s="70">
        <v>0</v>
      </c>
      <c r="AG7" s="105" cm="1">
        <f t="array" ref="AG7">_xlfn.SWITCH(L7,3,1,
           4,1,
           5,1,
           6,1,0)</f>
        <v>0</v>
      </c>
      <c r="AH7" s="145">
        <v>80101101</v>
      </c>
      <c r="AI7" s="90">
        <v>0</v>
      </c>
      <c r="AJ7" s="90">
        <v>0</v>
      </c>
      <c r="AK7" s="27">
        <v>0</v>
      </c>
      <c r="AL7" s="123">
        <f>_xlfn.XLOOKUP(H7,'#각종 참고'!$B$11:$B$20,'#각종 참고'!$D$11:$D$20)</f>
        <v>0</v>
      </c>
      <c r="AM7" s="27">
        <v>0</v>
      </c>
      <c r="AN7" s="27">
        <v>1</v>
      </c>
      <c r="AO7" s="124">
        <f t="shared" si="0"/>
        <v>0</v>
      </c>
      <c r="AP7" s="27">
        <v>0</v>
      </c>
    </row>
    <row r="8" spans="1:44" x14ac:dyDescent="0.3">
      <c r="A8" s="19"/>
      <c r="B8" s="20">
        <v>11113000</v>
      </c>
      <c r="C8" s="99" t="str">
        <f t="shared" si="1"/>
        <v>1</v>
      </c>
      <c r="D8" s="101">
        <v>0</v>
      </c>
      <c r="E8" s="20">
        <v>1</v>
      </c>
      <c r="F8" s="20">
        <v>3</v>
      </c>
      <c r="G8" s="20">
        <v>1</v>
      </c>
      <c r="H8" s="103" t="s">
        <v>962</v>
      </c>
      <c r="I8" s="20" t="s">
        <v>376</v>
      </c>
      <c r="J8" s="104" t="str">
        <f t="shared" si="2"/>
        <v>Item_Name_11113000</v>
      </c>
      <c r="K8" s="20">
        <v>10101001</v>
      </c>
      <c r="L8" s="20">
        <v>1</v>
      </c>
      <c r="M8" s="105">
        <f>IF(D8=0, 0, _xlfn.XLOOKUP($F8,'#무게관련'!$B:$B,'#무게관련'!$C:$C)*_xlfn.XLOOKUP($L8,'#무게관련'!$F:$F,'#무게관련'!$G:$G)*100)</f>
        <v>0</v>
      </c>
      <c r="N8" s="20">
        <v>0</v>
      </c>
      <c r="O8" s="20">
        <v>1</v>
      </c>
      <c r="P8" s="20">
        <v>0</v>
      </c>
      <c r="Q8" s="20">
        <v>0</v>
      </c>
      <c r="R8" s="20">
        <v>0</v>
      </c>
      <c r="S8" s="20">
        <v>0</v>
      </c>
      <c r="T8" s="20" t="s">
        <v>1864</v>
      </c>
      <c r="U8" s="104">
        <v>0</v>
      </c>
      <c r="V8" s="20">
        <v>0</v>
      </c>
      <c r="W8" s="20">
        <v>0</v>
      </c>
      <c r="X8" s="104">
        <v>0</v>
      </c>
      <c r="Y8" s="104">
        <v>0</v>
      </c>
      <c r="Z8" s="104">
        <v>0</v>
      </c>
      <c r="AA8" s="104">
        <v>0</v>
      </c>
      <c r="AB8" s="104">
        <v>0</v>
      </c>
      <c r="AC8" s="104">
        <v>0</v>
      </c>
      <c r="AD8" s="142">
        <v>0</v>
      </c>
      <c r="AE8" s="31">
        <v>0</v>
      </c>
      <c r="AF8" s="70">
        <v>0</v>
      </c>
      <c r="AG8" s="105" cm="1">
        <f t="array" ref="AG8">_xlfn.SWITCH(L8,3,1,
           4,1,
           5,1,
           6,1,0)</f>
        <v>0</v>
      </c>
      <c r="AH8" s="145">
        <v>80101101</v>
      </c>
      <c r="AI8" s="90">
        <v>0</v>
      </c>
      <c r="AJ8" s="90">
        <v>0</v>
      </c>
      <c r="AK8" s="27">
        <v>0</v>
      </c>
      <c r="AL8" s="123">
        <f>_xlfn.XLOOKUP(H8,'#각종 참고'!$B$11:$B$20,'#각종 참고'!$D$11:$D$20)</f>
        <v>0</v>
      </c>
      <c r="AM8" s="27">
        <v>0</v>
      </c>
      <c r="AN8" s="27">
        <v>1</v>
      </c>
      <c r="AO8" s="124">
        <f t="shared" si="0"/>
        <v>0</v>
      </c>
      <c r="AP8" s="27">
        <v>0</v>
      </c>
    </row>
    <row r="9" spans="1:44" x14ac:dyDescent="0.3">
      <c r="A9" s="19"/>
      <c r="B9" s="20">
        <v>11114000</v>
      </c>
      <c r="C9" s="99" t="str">
        <f t="shared" si="1"/>
        <v>1</v>
      </c>
      <c r="D9" s="101">
        <v>0</v>
      </c>
      <c r="E9" s="20">
        <v>1</v>
      </c>
      <c r="F9" s="20">
        <v>4</v>
      </c>
      <c r="G9" s="20">
        <v>1</v>
      </c>
      <c r="H9" s="103" t="s">
        <v>963</v>
      </c>
      <c r="I9" s="20" t="s">
        <v>378</v>
      </c>
      <c r="J9" s="104" t="str">
        <f t="shared" si="2"/>
        <v>Item_Name_11114000</v>
      </c>
      <c r="K9" s="20">
        <v>10101001</v>
      </c>
      <c r="L9" s="20">
        <v>1</v>
      </c>
      <c r="M9" s="105">
        <f>IF(D9=0, 0, _xlfn.XLOOKUP($F9,'#무게관련'!$B:$B,'#무게관련'!$C:$C)*_xlfn.XLOOKUP($L9,'#무게관련'!$F:$F,'#무게관련'!$G:$G)*100)</f>
        <v>0</v>
      </c>
      <c r="N9" s="20">
        <v>0</v>
      </c>
      <c r="O9" s="20">
        <v>1</v>
      </c>
      <c r="P9" s="20">
        <v>0</v>
      </c>
      <c r="Q9" s="20">
        <v>0</v>
      </c>
      <c r="R9" s="20">
        <v>0</v>
      </c>
      <c r="S9" s="20">
        <v>0</v>
      </c>
      <c r="T9" s="20" t="s">
        <v>1869</v>
      </c>
      <c r="U9" s="104">
        <v>0</v>
      </c>
      <c r="V9" s="20">
        <v>0</v>
      </c>
      <c r="W9" s="20">
        <v>0</v>
      </c>
      <c r="X9" s="104">
        <v>0</v>
      </c>
      <c r="Y9" s="104">
        <v>0</v>
      </c>
      <c r="Z9" s="104">
        <v>0</v>
      </c>
      <c r="AA9" s="104">
        <v>0</v>
      </c>
      <c r="AB9" s="104">
        <v>0</v>
      </c>
      <c r="AC9" s="104">
        <v>0</v>
      </c>
      <c r="AD9" s="142">
        <v>0</v>
      </c>
      <c r="AE9" s="31">
        <v>0</v>
      </c>
      <c r="AF9" s="70">
        <v>0</v>
      </c>
      <c r="AG9" s="105" cm="1">
        <f t="array" ref="AG9">_xlfn.SWITCH(L9,3,1,
           4,1,
           5,1,
           6,1,0)</f>
        <v>0</v>
      </c>
      <c r="AH9" s="145">
        <v>80101101</v>
      </c>
      <c r="AI9" s="90">
        <v>0</v>
      </c>
      <c r="AJ9" s="90">
        <v>0</v>
      </c>
      <c r="AK9" s="27">
        <v>0</v>
      </c>
      <c r="AL9" s="123">
        <f>_xlfn.XLOOKUP(H9,'#각종 참고'!$B$11:$B$20,'#각종 참고'!$D$11:$D$20)</f>
        <v>0</v>
      </c>
      <c r="AM9" s="27">
        <v>0</v>
      </c>
      <c r="AN9" s="27">
        <v>1</v>
      </c>
      <c r="AO9" s="124">
        <f t="shared" si="0"/>
        <v>0</v>
      </c>
      <c r="AP9" s="27">
        <v>0</v>
      </c>
    </row>
    <row r="10" spans="1:44" x14ac:dyDescent="0.3">
      <c r="A10" s="19"/>
      <c r="B10" s="20">
        <v>11115000</v>
      </c>
      <c r="C10" s="99" t="str">
        <f t="shared" si="1"/>
        <v>1</v>
      </c>
      <c r="D10" s="101">
        <v>0</v>
      </c>
      <c r="E10" s="20">
        <v>1</v>
      </c>
      <c r="F10" s="20">
        <v>5</v>
      </c>
      <c r="G10" s="20">
        <v>1</v>
      </c>
      <c r="H10" s="103" t="s">
        <v>964</v>
      </c>
      <c r="I10" s="20" t="s">
        <v>379</v>
      </c>
      <c r="J10" s="104" t="str">
        <f t="shared" si="2"/>
        <v>Item_Name_11115000</v>
      </c>
      <c r="K10" s="20">
        <v>10101001</v>
      </c>
      <c r="L10" s="20">
        <v>1</v>
      </c>
      <c r="M10" s="105">
        <f>IF(D10=0, 0, _xlfn.XLOOKUP($F10,'#무게관련'!$B:$B,'#무게관련'!$C:$C)*_xlfn.XLOOKUP($L10,'#무게관련'!$F:$F,'#무게관련'!$G:$G)*100)</f>
        <v>0</v>
      </c>
      <c r="N10" s="20">
        <v>0</v>
      </c>
      <c r="O10" s="20">
        <v>1</v>
      </c>
      <c r="P10" s="20">
        <v>0</v>
      </c>
      <c r="Q10" s="20">
        <v>0</v>
      </c>
      <c r="R10" s="20">
        <v>0</v>
      </c>
      <c r="S10" s="20">
        <v>0</v>
      </c>
      <c r="T10" s="20" t="s">
        <v>1874</v>
      </c>
      <c r="U10" s="104">
        <v>0</v>
      </c>
      <c r="V10" s="20">
        <v>0</v>
      </c>
      <c r="W10" s="20">
        <v>0</v>
      </c>
      <c r="X10" s="104">
        <v>0</v>
      </c>
      <c r="Y10" s="104">
        <v>0</v>
      </c>
      <c r="Z10" s="104">
        <v>0</v>
      </c>
      <c r="AA10" s="104">
        <v>0</v>
      </c>
      <c r="AB10" s="104">
        <v>0</v>
      </c>
      <c r="AC10" s="104">
        <v>0</v>
      </c>
      <c r="AD10" s="142">
        <v>0</v>
      </c>
      <c r="AE10" s="31">
        <v>0</v>
      </c>
      <c r="AF10" s="70">
        <v>0</v>
      </c>
      <c r="AG10" s="105" cm="1">
        <f t="array" ref="AG10">_xlfn.SWITCH(L10,3,1,
           4,1,
           5,1,
           6,1,0)</f>
        <v>0</v>
      </c>
      <c r="AH10" s="145">
        <v>80101101</v>
      </c>
      <c r="AI10" s="90">
        <v>0</v>
      </c>
      <c r="AJ10" s="90">
        <v>0</v>
      </c>
      <c r="AK10" s="27">
        <v>0</v>
      </c>
      <c r="AL10" s="123">
        <f>_xlfn.XLOOKUP(H10,'#각종 참고'!$B$11:$B$20,'#각종 참고'!$D$11:$D$20)</f>
        <v>0</v>
      </c>
      <c r="AM10" s="27">
        <v>0</v>
      </c>
      <c r="AN10" s="27">
        <v>1</v>
      </c>
      <c r="AO10" s="124">
        <f t="shared" si="0"/>
        <v>0</v>
      </c>
      <c r="AP10" s="27">
        <v>0</v>
      </c>
    </row>
    <row r="11" spans="1:44" x14ac:dyDescent="0.3">
      <c r="A11" s="19"/>
      <c r="B11" s="20">
        <v>11116000</v>
      </c>
      <c r="C11" s="99" t="str">
        <f t="shared" si="1"/>
        <v>1</v>
      </c>
      <c r="D11" s="101">
        <v>0</v>
      </c>
      <c r="E11" s="20">
        <v>1</v>
      </c>
      <c r="F11" s="20">
        <v>6</v>
      </c>
      <c r="G11" s="20">
        <v>1</v>
      </c>
      <c r="H11" s="103" t="s">
        <v>965</v>
      </c>
      <c r="I11" s="20" t="s">
        <v>381</v>
      </c>
      <c r="J11" s="104" t="str">
        <f t="shared" si="2"/>
        <v>Item_Name_11116000</v>
      </c>
      <c r="K11" s="20">
        <v>10101001</v>
      </c>
      <c r="L11" s="20">
        <v>1</v>
      </c>
      <c r="M11" s="105">
        <f>IF(D11=0, 0, _xlfn.XLOOKUP($F11,'#무게관련'!$B:$B,'#무게관련'!$C:$C)*_xlfn.XLOOKUP($L11,'#무게관련'!$F:$F,'#무게관련'!$G:$G)*100)</f>
        <v>0</v>
      </c>
      <c r="N11" s="20">
        <v>0</v>
      </c>
      <c r="O11" s="20">
        <v>1</v>
      </c>
      <c r="P11" s="20">
        <v>0</v>
      </c>
      <c r="Q11" s="20">
        <v>0</v>
      </c>
      <c r="R11" s="20">
        <v>0</v>
      </c>
      <c r="S11" s="20">
        <v>0</v>
      </c>
      <c r="T11" s="20" t="s">
        <v>1879</v>
      </c>
      <c r="U11" s="104">
        <v>0</v>
      </c>
      <c r="V11" s="20">
        <v>0</v>
      </c>
      <c r="W11" s="20">
        <v>0</v>
      </c>
      <c r="X11" s="104">
        <v>0</v>
      </c>
      <c r="Y11" s="104">
        <v>0</v>
      </c>
      <c r="Z11" s="104">
        <v>0</v>
      </c>
      <c r="AA11" s="104">
        <v>0</v>
      </c>
      <c r="AB11" s="104">
        <v>0</v>
      </c>
      <c r="AC11" s="104">
        <v>0</v>
      </c>
      <c r="AD11" s="142">
        <v>0</v>
      </c>
      <c r="AE11" s="31">
        <v>0</v>
      </c>
      <c r="AF11" s="70">
        <v>0</v>
      </c>
      <c r="AG11" s="105" cm="1">
        <f t="array" ref="AG11">_xlfn.SWITCH(L11,3,1,
           4,1,
           5,1,
           6,1,0)</f>
        <v>0</v>
      </c>
      <c r="AH11" s="145">
        <v>80101101</v>
      </c>
      <c r="AI11" s="90">
        <v>0</v>
      </c>
      <c r="AJ11" s="90">
        <v>0</v>
      </c>
      <c r="AK11" s="27">
        <v>0</v>
      </c>
      <c r="AL11" s="123">
        <f>_xlfn.XLOOKUP(H11,'#각종 참고'!$B$11:$B$20,'#각종 참고'!$D$11:$D$20)</f>
        <v>0</v>
      </c>
      <c r="AM11" s="27">
        <v>0</v>
      </c>
      <c r="AN11" s="27">
        <v>1</v>
      </c>
      <c r="AO11" s="124">
        <f t="shared" si="0"/>
        <v>0</v>
      </c>
      <c r="AP11" s="27">
        <v>0</v>
      </c>
    </row>
    <row r="12" spans="1:44" x14ac:dyDescent="0.3">
      <c r="A12" s="19"/>
      <c r="B12" s="20">
        <v>12110000</v>
      </c>
      <c r="C12" s="99" t="str">
        <f t="shared" si="1"/>
        <v>2</v>
      </c>
      <c r="D12" s="101">
        <v>0</v>
      </c>
      <c r="E12" s="20">
        <v>1</v>
      </c>
      <c r="F12" s="20">
        <v>0</v>
      </c>
      <c r="G12" s="20">
        <v>1</v>
      </c>
      <c r="H12" s="103" t="s">
        <v>959</v>
      </c>
      <c r="I12" s="20" t="s">
        <v>278</v>
      </c>
      <c r="J12" s="104" t="str">
        <f t="shared" si="2"/>
        <v>Item_Name_12110000</v>
      </c>
      <c r="K12" s="20">
        <v>10102001</v>
      </c>
      <c r="L12" s="20">
        <v>1</v>
      </c>
      <c r="M12" s="105">
        <f>IF(D12=0, 0, _xlfn.XLOOKUP($F12,'#무게관련'!$B:$B,'#무게관련'!$C:$C)*_xlfn.XLOOKUP($L12,'#무게관련'!$F:$F,'#무게관련'!$G:$G)*100)</f>
        <v>0</v>
      </c>
      <c r="N12" s="20">
        <v>0</v>
      </c>
      <c r="O12" s="20">
        <v>2</v>
      </c>
      <c r="P12" s="20">
        <v>0</v>
      </c>
      <c r="Q12" s="20">
        <v>0</v>
      </c>
      <c r="R12" s="20">
        <v>0</v>
      </c>
      <c r="S12" s="20">
        <v>0</v>
      </c>
      <c r="T12" s="20" t="s">
        <v>1849</v>
      </c>
      <c r="U12" s="104">
        <v>0</v>
      </c>
      <c r="V12" s="20">
        <v>0</v>
      </c>
      <c r="W12" s="20">
        <v>0</v>
      </c>
      <c r="X12" s="104">
        <v>0</v>
      </c>
      <c r="Y12" s="104">
        <v>0</v>
      </c>
      <c r="Z12" s="104">
        <v>0</v>
      </c>
      <c r="AA12" s="104">
        <v>0</v>
      </c>
      <c r="AB12" s="104">
        <v>0</v>
      </c>
      <c r="AC12" s="104">
        <v>0</v>
      </c>
      <c r="AD12" s="142">
        <v>0</v>
      </c>
      <c r="AE12" s="31">
        <v>0</v>
      </c>
      <c r="AF12" s="70">
        <v>0</v>
      </c>
      <c r="AG12" s="105" cm="1">
        <f t="array" ref="AG12">_xlfn.SWITCH(L12,3,1,
           4,1,
           5,1,
           6,1,0)</f>
        <v>0</v>
      </c>
      <c r="AH12" s="145">
        <v>80100101</v>
      </c>
      <c r="AI12" s="90">
        <v>0</v>
      </c>
      <c r="AJ12" s="90">
        <v>0</v>
      </c>
      <c r="AK12" s="27">
        <v>0</v>
      </c>
      <c r="AL12" s="123">
        <f>_xlfn.XLOOKUP(H12,'#각종 참고'!$B$11:$B$20,'#각종 참고'!$D$11:$D$20)</f>
        <v>0</v>
      </c>
      <c r="AM12" s="27">
        <v>0</v>
      </c>
      <c r="AN12" s="27">
        <v>1</v>
      </c>
      <c r="AO12" s="124">
        <f t="shared" si="0"/>
        <v>0</v>
      </c>
      <c r="AP12" s="27">
        <v>0</v>
      </c>
    </row>
    <row r="13" spans="1:44" x14ac:dyDescent="0.3">
      <c r="A13" s="19"/>
      <c r="B13" s="20">
        <v>12111000</v>
      </c>
      <c r="C13" s="99" t="str">
        <f t="shared" si="1"/>
        <v>2</v>
      </c>
      <c r="D13" s="101">
        <v>0</v>
      </c>
      <c r="E13" s="20">
        <v>1</v>
      </c>
      <c r="F13" s="20">
        <v>1</v>
      </c>
      <c r="G13" s="20">
        <v>1</v>
      </c>
      <c r="H13" s="103" t="s">
        <v>960</v>
      </c>
      <c r="I13" s="20" t="s">
        <v>279</v>
      </c>
      <c r="J13" s="104" t="str">
        <f t="shared" si="2"/>
        <v>Item_Name_12111000</v>
      </c>
      <c r="K13" s="20">
        <v>10102001</v>
      </c>
      <c r="L13" s="20">
        <v>1</v>
      </c>
      <c r="M13" s="105">
        <f>IF(D13=0, 0, _xlfn.XLOOKUP($F13,'#무게관련'!$B:$B,'#무게관련'!$C:$C)*_xlfn.XLOOKUP($L13,'#무게관련'!$F:$F,'#무게관련'!$G:$G)*100)</f>
        <v>0</v>
      </c>
      <c r="N13" s="20">
        <v>0</v>
      </c>
      <c r="O13" s="20">
        <v>2</v>
      </c>
      <c r="P13" s="20">
        <v>0</v>
      </c>
      <c r="Q13" s="20">
        <v>0</v>
      </c>
      <c r="R13" s="20">
        <v>0</v>
      </c>
      <c r="S13" s="20">
        <v>0</v>
      </c>
      <c r="T13" s="20" t="s">
        <v>1854</v>
      </c>
      <c r="U13" s="104">
        <v>0</v>
      </c>
      <c r="V13" s="20">
        <v>0</v>
      </c>
      <c r="W13" s="20">
        <v>0</v>
      </c>
      <c r="X13" s="104">
        <v>0</v>
      </c>
      <c r="Y13" s="104">
        <v>0</v>
      </c>
      <c r="Z13" s="104">
        <v>0</v>
      </c>
      <c r="AA13" s="104">
        <v>0</v>
      </c>
      <c r="AB13" s="104">
        <v>0</v>
      </c>
      <c r="AC13" s="104">
        <v>0</v>
      </c>
      <c r="AD13" s="142">
        <v>0</v>
      </c>
      <c r="AE13" s="31">
        <v>0</v>
      </c>
      <c r="AF13" s="70">
        <v>0</v>
      </c>
      <c r="AG13" s="105" cm="1">
        <f t="array" ref="AG13">_xlfn.SWITCH(L13,3,1,
           4,1,
           5,1,
           6,1,0)</f>
        <v>0</v>
      </c>
      <c r="AH13" s="145">
        <v>80100101</v>
      </c>
      <c r="AI13" s="90">
        <v>0</v>
      </c>
      <c r="AJ13" s="90">
        <v>0</v>
      </c>
      <c r="AK13" s="27">
        <v>0</v>
      </c>
      <c r="AL13" s="123">
        <f>_xlfn.XLOOKUP(H13,'#각종 참고'!$B$11:$B$20,'#각종 참고'!$D$11:$D$20)</f>
        <v>0</v>
      </c>
      <c r="AM13" s="27">
        <v>0</v>
      </c>
      <c r="AN13" s="27">
        <v>1</v>
      </c>
      <c r="AO13" s="124">
        <f t="shared" si="0"/>
        <v>0</v>
      </c>
      <c r="AP13" s="27">
        <v>0</v>
      </c>
    </row>
    <row r="14" spans="1:44" x14ac:dyDescent="0.3">
      <c r="A14" s="19"/>
      <c r="B14" s="20">
        <v>12112000</v>
      </c>
      <c r="C14" s="99" t="str">
        <f t="shared" si="1"/>
        <v>2</v>
      </c>
      <c r="D14" s="101">
        <v>0</v>
      </c>
      <c r="E14" s="20">
        <v>1</v>
      </c>
      <c r="F14" s="20">
        <v>2</v>
      </c>
      <c r="G14" s="20">
        <v>1</v>
      </c>
      <c r="H14" s="103" t="s">
        <v>961</v>
      </c>
      <c r="I14" s="20" t="s">
        <v>280</v>
      </c>
      <c r="J14" s="104" t="str">
        <f t="shared" si="2"/>
        <v>Item_Name_12112000</v>
      </c>
      <c r="K14" s="20">
        <v>10102001</v>
      </c>
      <c r="L14" s="20">
        <v>1</v>
      </c>
      <c r="M14" s="105">
        <f>IF(D14=0, 0, _xlfn.XLOOKUP($F14,'#무게관련'!$B:$B,'#무게관련'!$C:$C)*_xlfn.XLOOKUP($L14,'#무게관련'!$F:$F,'#무게관련'!$G:$G)*100)</f>
        <v>0</v>
      </c>
      <c r="N14" s="20">
        <v>0</v>
      </c>
      <c r="O14" s="20">
        <v>2</v>
      </c>
      <c r="P14" s="20">
        <v>0</v>
      </c>
      <c r="Q14" s="20">
        <v>0</v>
      </c>
      <c r="R14" s="20">
        <v>0</v>
      </c>
      <c r="S14" s="20">
        <v>0</v>
      </c>
      <c r="T14" s="20" t="s">
        <v>1859</v>
      </c>
      <c r="U14" s="104">
        <v>0</v>
      </c>
      <c r="V14" s="20">
        <v>0</v>
      </c>
      <c r="W14" s="20">
        <v>0</v>
      </c>
      <c r="X14" s="104">
        <v>0</v>
      </c>
      <c r="Y14" s="104">
        <v>0</v>
      </c>
      <c r="Z14" s="104">
        <v>0</v>
      </c>
      <c r="AA14" s="104">
        <v>0</v>
      </c>
      <c r="AB14" s="104">
        <v>0</v>
      </c>
      <c r="AC14" s="104">
        <v>0</v>
      </c>
      <c r="AD14" s="142">
        <v>0</v>
      </c>
      <c r="AE14" s="31">
        <v>0</v>
      </c>
      <c r="AF14" s="70">
        <v>0</v>
      </c>
      <c r="AG14" s="105" cm="1">
        <f t="array" ref="AG14">_xlfn.SWITCH(L14,3,1,
           4,1,
           5,1,
           6,1,0)</f>
        <v>0</v>
      </c>
      <c r="AH14" s="145">
        <v>80101101</v>
      </c>
      <c r="AI14" s="90">
        <v>0</v>
      </c>
      <c r="AJ14" s="90">
        <v>0</v>
      </c>
      <c r="AK14" s="27">
        <v>0</v>
      </c>
      <c r="AL14" s="123">
        <f>_xlfn.XLOOKUP(H14,'#각종 참고'!$B$11:$B$20,'#각종 참고'!$D$11:$D$20)</f>
        <v>0</v>
      </c>
      <c r="AM14" s="27">
        <v>0</v>
      </c>
      <c r="AN14" s="27">
        <v>1</v>
      </c>
      <c r="AO14" s="124">
        <f t="shared" si="0"/>
        <v>0</v>
      </c>
      <c r="AP14" s="27">
        <v>0</v>
      </c>
    </row>
    <row r="15" spans="1:44" x14ac:dyDescent="0.3">
      <c r="A15" s="19"/>
      <c r="B15" s="20">
        <v>12113000</v>
      </c>
      <c r="C15" s="99" t="str">
        <f t="shared" si="1"/>
        <v>2</v>
      </c>
      <c r="D15" s="101">
        <v>0</v>
      </c>
      <c r="E15" s="20">
        <v>1</v>
      </c>
      <c r="F15" s="20">
        <v>3</v>
      </c>
      <c r="G15" s="20">
        <v>1</v>
      </c>
      <c r="H15" s="103" t="s">
        <v>962</v>
      </c>
      <c r="I15" s="20" t="s">
        <v>281</v>
      </c>
      <c r="J15" s="104" t="str">
        <f t="shared" si="2"/>
        <v>Item_Name_12113000</v>
      </c>
      <c r="K15" s="20">
        <v>10102001</v>
      </c>
      <c r="L15" s="20">
        <v>1</v>
      </c>
      <c r="M15" s="105">
        <f>IF(D15=0, 0, _xlfn.XLOOKUP($F15,'#무게관련'!$B:$B,'#무게관련'!$C:$C)*_xlfn.XLOOKUP($L15,'#무게관련'!$F:$F,'#무게관련'!$G:$G)*100)</f>
        <v>0</v>
      </c>
      <c r="N15" s="20">
        <v>0</v>
      </c>
      <c r="O15" s="20">
        <v>2</v>
      </c>
      <c r="P15" s="20">
        <v>0</v>
      </c>
      <c r="Q15" s="20">
        <v>0</v>
      </c>
      <c r="R15" s="20">
        <v>0</v>
      </c>
      <c r="S15" s="20">
        <v>0</v>
      </c>
      <c r="T15" s="20" t="s">
        <v>1864</v>
      </c>
      <c r="U15" s="104">
        <v>0</v>
      </c>
      <c r="V15" s="20">
        <v>0</v>
      </c>
      <c r="W15" s="20">
        <v>0</v>
      </c>
      <c r="X15" s="104">
        <v>0</v>
      </c>
      <c r="Y15" s="104">
        <v>0</v>
      </c>
      <c r="Z15" s="104">
        <v>0</v>
      </c>
      <c r="AA15" s="104">
        <v>0</v>
      </c>
      <c r="AB15" s="104">
        <v>0</v>
      </c>
      <c r="AC15" s="104">
        <v>0</v>
      </c>
      <c r="AD15" s="142">
        <v>0</v>
      </c>
      <c r="AE15" s="31">
        <v>0</v>
      </c>
      <c r="AF15" s="70">
        <v>0</v>
      </c>
      <c r="AG15" s="105" cm="1">
        <f t="array" ref="AG15">_xlfn.SWITCH(L15,3,1,
           4,1,
           5,1,
           6,1,0)</f>
        <v>0</v>
      </c>
      <c r="AH15" s="145">
        <v>80101101</v>
      </c>
      <c r="AI15" s="90">
        <v>0</v>
      </c>
      <c r="AJ15" s="90">
        <v>0</v>
      </c>
      <c r="AK15" s="27">
        <v>0</v>
      </c>
      <c r="AL15" s="123">
        <f>_xlfn.XLOOKUP(H15,'#각종 참고'!$B$11:$B$20,'#각종 참고'!$D$11:$D$20)</f>
        <v>0</v>
      </c>
      <c r="AM15" s="27">
        <v>0</v>
      </c>
      <c r="AN15" s="27">
        <v>1</v>
      </c>
      <c r="AO15" s="124">
        <f t="shared" si="0"/>
        <v>0</v>
      </c>
      <c r="AP15" s="27">
        <v>0</v>
      </c>
    </row>
    <row r="16" spans="1:44" x14ac:dyDescent="0.3">
      <c r="A16" s="19"/>
      <c r="B16" s="20">
        <v>12114000</v>
      </c>
      <c r="C16" s="99" t="str">
        <f t="shared" si="1"/>
        <v>2</v>
      </c>
      <c r="D16" s="101">
        <v>0</v>
      </c>
      <c r="E16" s="20">
        <v>1</v>
      </c>
      <c r="F16" s="20">
        <v>4</v>
      </c>
      <c r="G16" s="20">
        <v>1</v>
      </c>
      <c r="H16" s="103" t="s">
        <v>963</v>
      </c>
      <c r="I16" s="20" t="s">
        <v>284</v>
      </c>
      <c r="J16" s="104" t="str">
        <f t="shared" si="2"/>
        <v>Item_Name_12114000</v>
      </c>
      <c r="K16" s="20">
        <v>10102001</v>
      </c>
      <c r="L16" s="20">
        <v>1</v>
      </c>
      <c r="M16" s="105">
        <f>IF(D16=0, 0, _xlfn.XLOOKUP($F16,'#무게관련'!$B:$B,'#무게관련'!$C:$C)*_xlfn.XLOOKUP($L16,'#무게관련'!$F:$F,'#무게관련'!$G:$G)*100)</f>
        <v>0</v>
      </c>
      <c r="N16" s="20">
        <v>0</v>
      </c>
      <c r="O16" s="20">
        <v>2</v>
      </c>
      <c r="P16" s="20">
        <v>0</v>
      </c>
      <c r="Q16" s="20">
        <v>0</v>
      </c>
      <c r="R16" s="20">
        <v>0</v>
      </c>
      <c r="S16" s="20">
        <v>0</v>
      </c>
      <c r="T16" s="20" t="s">
        <v>1869</v>
      </c>
      <c r="U16" s="104">
        <v>0</v>
      </c>
      <c r="V16" s="20">
        <v>0</v>
      </c>
      <c r="W16" s="20">
        <v>0</v>
      </c>
      <c r="X16" s="104">
        <v>0</v>
      </c>
      <c r="Y16" s="104">
        <v>0</v>
      </c>
      <c r="Z16" s="104">
        <v>0</v>
      </c>
      <c r="AA16" s="104">
        <v>0</v>
      </c>
      <c r="AB16" s="104">
        <v>0</v>
      </c>
      <c r="AC16" s="104">
        <v>0</v>
      </c>
      <c r="AD16" s="142">
        <v>0</v>
      </c>
      <c r="AE16" s="31">
        <v>0</v>
      </c>
      <c r="AF16" s="70">
        <v>0</v>
      </c>
      <c r="AG16" s="105" cm="1">
        <f t="array" ref="AG16">_xlfn.SWITCH(L16,3,1,
           4,1,
           5,1,
           6,1,0)</f>
        <v>0</v>
      </c>
      <c r="AH16" s="145">
        <v>80101101</v>
      </c>
      <c r="AI16" s="90">
        <v>0</v>
      </c>
      <c r="AJ16" s="90">
        <v>0</v>
      </c>
      <c r="AK16" s="27">
        <v>0</v>
      </c>
      <c r="AL16" s="123">
        <f>_xlfn.XLOOKUP(H16,'#각종 참고'!$B$11:$B$20,'#각종 참고'!$D$11:$D$20)</f>
        <v>0</v>
      </c>
      <c r="AM16" s="27">
        <v>0</v>
      </c>
      <c r="AN16" s="27">
        <v>1</v>
      </c>
      <c r="AO16" s="124">
        <f t="shared" si="0"/>
        <v>0</v>
      </c>
      <c r="AP16" s="27">
        <v>0</v>
      </c>
    </row>
    <row r="17" spans="1:42" x14ac:dyDescent="0.3">
      <c r="A17" s="19"/>
      <c r="B17" s="20">
        <v>12115000</v>
      </c>
      <c r="C17" s="99" t="str">
        <f t="shared" si="1"/>
        <v>2</v>
      </c>
      <c r="D17" s="101">
        <v>0</v>
      </c>
      <c r="E17" s="20">
        <v>1</v>
      </c>
      <c r="F17" s="20">
        <v>5</v>
      </c>
      <c r="G17" s="20">
        <v>1</v>
      </c>
      <c r="H17" s="103" t="s">
        <v>964</v>
      </c>
      <c r="I17" s="20" t="s">
        <v>282</v>
      </c>
      <c r="J17" s="104" t="str">
        <f t="shared" si="2"/>
        <v>Item_Name_12115000</v>
      </c>
      <c r="K17" s="20">
        <v>10102001</v>
      </c>
      <c r="L17" s="20">
        <v>1</v>
      </c>
      <c r="M17" s="105">
        <f>IF(D17=0, 0, _xlfn.XLOOKUP($F17,'#무게관련'!$B:$B,'#무게관련'!$C:$C)*_xlfn.XLOOKUP($L17,'#무게관련'!$F:$F,'#무게관련'!$G:$G)*100)</f>
        <v>0</v>
      </c>
      <c r="N17" s="20">
        <v>0</v>
      </c>
      <c r="O17" s="20">
        <v>2</v>
      </c>
      <c r="P17" s="20">
        <v>0</v>
      </c>
      <c r="Q17" s="20">
        <v>0</v>
      </c>
      <c r="R17" s="20">
        <v>0</v>
      </c>
      <c r="S17" s="20">
        <v>0</v>
      </c>
      <c r="T17" s="20" t="s">
        <v>1874</v>
      </c>
      <c r="U17" s="104">
        <v>0</v>
      </c>
      <c r="V17" s="20">
        <v>0</v>
      </c>
      <c r="W17" s="20">
        <v>0</v>
      </c>
      <c r="X17" s="104">
        <v>0</v>
      </c>
      <c r="Y17" s="104">
        <v>0</v>
      </c>
      <c r="Z17" s="104">
        <v>0</v>
      </c>
      <c r="AA17" s="104">
        <v>0</v>
      </c>
      <c r="AB17" s="104">
        <v>0</v>
      </c>
      <c r="AC17" s="104">
        <v>0</v>
      </c>
      <c r="AD17" s="142">
        <v>0</v>
      </c>
      <c r="AE17" s="31">
        <v>0</v>
      </c>
      <c r="AF17" s="70">
        <v>0</v>
      </c>
      <c r="AG17" s="105" cm="1">
        <f t="array" ref="AG17">_xlfn.SWITCH(L17,3,1,
           4,1,
           5,1,
           6,1,0)</f>
        <v>0</v>
      </c>
      <c r="AH17" s="145">
        <v>80101101</v>
      </c>
      <c r="AI17" s="90">
        <v>0</v>
      </c>
      <c r="AJ17" s="90">
        <v>0</v>
      </c>
      <c r="AK17" s="27">
        <v>0</v>
      </c>
      <c r="AL17" s="123">
        <f>_xlfn.XLOOKUP(H17,'#각종 참고'!$B$11:$B$20,'#각종 참고'!$D$11:$D$20)</f>
        <v>0</v>
      </c>
      <c r="AM17" s="27">
        <v>0</v>
      </c>
      <c r="AN17" s="27">
        <v>1</v>
      </c>
      <c r="AO17" s="124">
        <f t="shared" si="0"/>
        <v>0</v>
      </c>
      <c r="AP17" s="27">
        <v>0</v>
      </c>
    </row>
    <row r="18" spans="1:42" x14ac:dyDescent="0.3">
      <c r="A18" s="19"/>
      <c r="B18" s="20">
        <v>12116000</v>
      </c>
      <c r="C18" s="99" t="str">
        <f t="shared" si="1"/>
        <v>2</v>
      </c>
      <c r="D18" s="101">
        <v>0</v>
      </c>
      <c r="E18" s="20">
        <v>1</v>
      </c>
      <c r="F18" s="20">
        <v>6</v>
      </c>
      <c r="G18" s="20">
        <v>1</v>
      </c>
      <c r="H18" s="103" t="s">
        <v>965</v>
      </c>
      <c r="I18" s="20" t="s">
        <v>283</v>
      </c>
      <c r="J18" s="104" t="str">
        <f t="shared" si="2"/>
        <v>Item_Name_12116000</v>
      </c>
      <c r="K18" s="20">
        <v>10102001</v>
      </c>
      <c r="L18" s="20">
        <v>1</v>
      </c>
      <c r="M18" s="105">
        <f>IF(D18=0, 0, _xlfn.XLOOKUP($F18,'#무게관련'!$B:$B,'#무게관련'!$C:$C)*_xlfn.XLOOKUP($L18,'#무게관련'!$F:$F,'#무게관련'!$G:$G)*100)</f>
        <v>0</v>
      </c>
      <c r="N18" s="20">
        <v>0</v>
      </c>
      <c r="O18" s="20">
        <v>2</v>
      </c>
      <c r="P18" s="20">
        <v>0</v>
      </c>
      <c r="Q18" s="20">
        <v>0</v>
      </c>
      <c r="R18" s="20">
        <v>0</v>
      </c>
      <c r="S18" s="20">
        <v>0</v>
      </c>
      <c r="T18" s="20" t="s">
        <v>1879</v>
      </c>
      <c r="U18" s="104">
        <v>0</v>
      </c>
      <c r="V18" s="20">
        <v>0</v>
      </c>
      <c r="W18" s="20">
        <v>0</v>
      </c>
      <c r="X18" s="104">
        <v>0</v>
      </c>
      <c r="Y18" s="104">
        <v>0</v>
      </c>
      <c r="Z18" s="104">
        <v>0</v>
      </c>
      <c r="AA18" s="104">
        <v>0</v>
      </c>
      <c r="AB18" s="104">
        <v>0</v>
      </c>
      <c r="AC18" s="104">
        <v>0</v>
      </c>
      <c r="AD18" s="142">
        <v>0</v>
      </c>
      <c r="AE18" s="31">
        <v>0</v>
      </c>
      <c r="AF18" s="70">
        <v>0</v>
      </c>
      <c r="AG18" s="105" cm="1">
        <f t="array" ref="AG18">_xlfn.SWITCH(L18,3,1,
           4,1,
           5,1,
           6,1,0)</f>
        <v>0</v>
      </c>
      <c r="AH18" s="145">
        <v>80101101</v>
      </c>
      <c r="AI18" s="90">
        <v>0</v>
      </c>
      <c r="AJ18" s="90">
        <v>0</v>
      </c>
      <c r="AK18" s="27">
        <v>0</v>
      </c>
      <c r="AL18" s="123">
        <f>_xlfn.XLOOKUP(H18,'#각종 참고'!$B$11:$B$20,'#각종 참고'!$D$11:$D$20)</f>
        <v>0</v>
      </c>
      <c r="AM18" s="27">
        <v>0</v>
      </c>
      <c r="AN18" s="27">
        <v>1</v>
      </c>
      <c r="AO18" s="124">
        <f t="shared" si="0"/>
        <v>0</v>
      </c>
      <c r="AP18" s="27">
        <v>0</v>
      </c>
    </row>
    <row r="19" spans="1:42" x14ac:dyDescent="0.3">
      <c r="A19" s="19"/>
      <c r="B19" s="20">
        <v>13110000</v>
      </c>
      <c r="C19" s="99" t="str">
        <f t="shared" si="1"/>
        <v>3</v>
      </c>
      <c r="D19" s="101">
        <v>0</v>
      </c>
      <c r="E19" s="20">
        <v>1</v>
      </c>
      <c r="F19" s="20">
        <v>0</v>
      </c>
      <c r="G19" s="20">
        <v>1</v>
      </c>
      <c r="H19" s="103" t="s">
        <v>959</v>
      </c>
      <c r="I19" s="20" t="s">
        <v>285</v>
      </c>
      <c r="J19" s="104" t="str">
        <f t="shared" si="2"/>
        <v>Item_Name_13110000</v>
      </c>
      <c r="K19" s="20">
        <v>10103001</v>
      </c>
      <c r="L19" s="20">
        <v>1</v>
      </c>
      <c r="M19" s="105">
        <f>IF(D19=0, 0, _xlfn.XLOOKUP($F19,'#무게관련'!$B:$B,'#무게관련'!$C:$C)*_xlfn.XLOOKUP($L19,'#무게관련'!$F:$F,'#무게관련'!$G:$G)*100)</f>
        <v>0</v>
      </c>
      <c r="N19" s="20">
        <v>0</v>
      </c>
      <c r="O19" s="20">
        <v>3</v>
      </c>
      <c r="P19" s="20">
        <v>0</v>
      </c>
      <c r="Q19" s="20">
        <v>0</v>
      </c>
      <c r="R19" s="20">
        <v>0</v>
      </c>
      <c r="S19" s="20">
        <v>0</v>
      </c>
      <c r="T19" s="20" t="s">
        <v>1849</v>
      </c>
      <c r="U19" s="104">
        <v>0</v>
      </c>
      <c r="V19" s="20">
        <v>0</v>
      </c>
      <c r="W19" s="20">
        <v>0</v>
      </c>
      <c r="X19" s="104">
        <v>0</v>
      </c>
      <c r="Y19" s="104">
        <v>0</v>
      </c>
      <c r="Z19" s="104">
        <v>0</v>
      </c>
      <c r="AA19" s="104">
        <v>0</v>
      </c>
      <c r="AB19" s="104">
        <v>0</v>
      </c>
      <c r="AC19" s="104">
        <v>0</v>
      </c>
      <c r="AD19" s="142">
        <v>0</v>
      </c>
      <c r="AE19" s="31">
        <v>0</v>
      </c>
      <c r="AF19" s="70">
        <v>0</v>
      </c>
      <c r="AG19" s="105" cm="1">
        <f t="array" ref="AG19">_xlfn.SWITCH(L19,3,1,
           4,1,
           5,1,
           6,1,0)</f>
        <v>0</v>
      </c>
      <c r="AH19" s="145">
        <v>80100101</v>
      </c>
      <c r="AI19" s="90">
        <v>0</v>
      </c>
      <c r="AJ19" s="90">
        <v>0</v>
      </c>
      <c r="AK19" s="27">
        <v>0</v>
      </c>
      <c r="AL19" s="123">
        <f>_xlfn.XLOOKUP(H19,'#각종 참고'!$B$11:$B$20,'#각종 참고'!$D$11:$D$20)</f>
        <v>0</v>
      </c>
      <c r="AM19" s="27">
        <v>0</v>
      </c>
      <c r="AN19" s="27">
        <v>1</v>
      </c>
      <c r="AO19" s="124">
        <f t="shared" si="0"/>
        <v>0</v>
      </c>
      <c r="AP19" s="27">
        <v>0</v>
      </c>
    </row>
    <row r="20" spans="1:42" x14ac:dyDescent="0.3">
      <c r="A20" s="19"/>
      <c r="B20" s="20">
        <v>13111000</v>
      </c>
      <c r="C20" s="99" t="str">
        <f t="shared" si="1"/>
        <v>3</v>
      </c>
      <c r="D20" s="101">
        <v>0</v>
      </c>
      <c r="E20" s="20">
        <v>1</v>
      </c>
      <c r="F20" s="20">
        <v>1</v>
      </c>
      <c r="G20" s="20">
        <v>1</v>
      </c>
      <c r="H20" s="103" t="s">
        <v>960</v>
      </c>
      <c r="I20" s="20" t="s">
        <v>286</v>
      </c>
      <c r="J20" s="104" t="str">
        <f t="shared" si="2"/>
        <v>Item_Name_13111000</v>
      </c>
      <c r="K20" s="20">
        <v>10103001</v>
      </c>
      <c r="L20" s="20">
        <v>1</v>
      </c>
      <c r="M20" s="105">
        <f>IF(D20=0, 0, _xlfn.XLOOKUP($F20,'#무게관련'!$B:$B,'#무게관련'!$C:$C)*_xlfn.XLOOKUP($L20,'#무게관련'!$F:$F,'#무게관련'!$G:$G)*100)</f>
        <v>0</v>
      </c>
      <c r="N20" s="20">
        <v>0</v>
      </c>
      <c r="O20" s="20">
        <v>3</v>
      </c>
      <c r="P20" s="20">
        <v>0</v>
      </c>
      <c r="Q20" s="20">
        <v>0</v>
      </c>
      <c r="R20" s="20">
        <v>0</v>
      </c>
      <c r="S20" s="20">
        <v>0</v>
      </c>
      <c r="T20" s="20" t="s">
        <v>1854</v>
      </c>
      <c r="U20" s="104">
        <v>0</v>
      </c>
      <c r="V20" s="20">
        <v>0</v>
      </c>
      <c r="W20" s="20">
        <v>0</v>
      </c>
      <c r="X20" s="104">
        <v>0</v>
      </c>
      <c r="Y20" s="104">
        <v>0</v>
      </c>
      <c r="Z20" s="104">
        <v>0</v>
      </c>
      <c r="AA20" s="104">
        <v>0</v>
      </c>
      <c r="AB20" s="104">
        <v>0</v>
      </c>
      <c r="AC20" s="104">
        <v>0</v>
      </c>
      <c r="AD20" s="142">
        <v>0</v>
      </c>
      <c r="AE20" s="31">
        <v>0</v>
      </c>
      <c r="AF20" s="70">
        <v>0</v>
      </c>
      <c r="AG20" s="105" cm="1">
        <f t="array" ref="AG20">_xlfn.SWITCH(L20,3,1,
           4,1,
           5,1,
           6,1,0)</f>
        <v>0</v>
      </c>
      <c r="AH20" s="145">
        <v>80100101</v>
      </c>
      <c r="AI20" s="90">
        <v>0</v>
      </c>
      <c r="AJ20" s="90">
        <v>0</v>
      </c>
      <c r="AK20" s="27">
        <v>0</v>
      </c>
      <c r="AL20" s="123">
        <f>_xlfn.XLOOKUP(H20,'#각종 참고'!$B$11:$B$20,'#각종 참고'!$D$11:$D$20)</f>
        <v>0</v>
      </c>
      <c r="AM20" s="27">
        <v>0</v>
      </c>
      <c r="AN20" s="27">
        <v>1</v>
      </c>
      <c r="AO20" s="124">
        <f t="shared" si="0"/>
        <v>0</v>
      </c>
      <c r="AP20" s="27">
        <v>0</v>
      </c>
    </row>
    <row r="21" spans="1:42" x14ac:dyDescent="0.3">
      <c r="A21" s="19"/>
      <c r="B21" s="20">
        <v>13112000</v>
      </c>
      <c r="C21" s="99" t="str">
        <f t="shared" si="1"/>
        <v>3</v>
      </c>
      <c r="D21" s="101">
        <v>0</v>
      </c>
      <c r="E21" s="20">
        <v>1</v>
      </c>
      <c r="F21" s="20">
        <v>2</v>
      </c>
      <c r="G21" s="20">
        <v>1</v>
      </c>
      <c r="H21" s="103" t="s">
        <v>961</v>
      </c>
      <c r="I21" s="20" t="s">
        <v>287</v>
      </c>
      <c r="J21" s="104" t="str">
        <f t="shared" si="2"/>
        <v>Item_Name_13112000</v>
      </c>
      <c r="K21" s="20">
        <v>10103001</v>
      </c>
      <c r="L21" s="20">
        <v>1</v>
      </c>
      <c r="M21" s="105">
        <f>IF(D21=0, 0, _xlfn.XLOOKUP($F21,'#무게관련'!$B:$B,'#무게관련'!$C:$C)*_xlfn.XLOOKUP($L21,'#무게관련'!$F:$F,'#무게관련'!$G:$G)*100)</f>
        <v>0</v>
      </c>
      <c r="N21" s="20">
        <v>0</v>
      </c>
      <c r="O21" s="20">
        <v>3</v>
      </c>
      <c r="P21" s="20">
        <v>0</v>
      </c>
      <c r="Q21" s="20">
        <v>0</v>
      </c>
      <c r="R21" s="20">
        <v>0</v>
      </c>
      <c r="S21" s="20">
        <v>0</v>
      </c>
      <c r="T21" s="20" t="s">
        <v>1859</v>
      </c>
      <c r="U21" s="104">
        <v>0</v>
      </c>
      <c r="V21" s="20">
        <v>0</v>
      </c>
      <c r="W21" s="20">
        <v>0</v>
      </c>
      <c r="X21" s="104">
        <v>0</v>
      </c>
      <c r="Y21" s="104">
        <v>0</v>
      </c>
      <c r="Z21" s="104">
        <v>0</v>
      </c>
      <c r="AA21" s="104">
        <v>0</v>
      </c>
      <c r="AB21" s="104">
        <v>0</v>
      </c>
      <c r="AC21" s="104">
        <v>0</v>
      </c>
      <c r="AD21" s="142">
        <v>0</v>
      </c>
      <c r="AE21" s="31">
        <v>0</v>
      </c>
      <c r="AF21" s="70">
        <v>0</v>
      </c>
      <c r="AG21" s="105" cm="1">
        <f t="array" ref="AG21">_xlfn.SWITCH(L21,3,1,
           4,1,
           5,1,
           6,1,0)</f>
        <v>0</v>
      </c>
      <c r="AH21" s="145">
        <v>80101101</v>
      </c>
      <c r="AI21" s="90">
        <v>0</v>
      </c>
      <c r="AJ21" s="90">
        <v>0</v>
      </c>
      <c r="AK21" s="27">
        <v>0</v>
      </c>
      <c r="AL21" s="123">
        <f>_xlfn.XLOOKUP(H21,'#각종 참고'!$B$11:$B$20,'#각종 참고'!$D$11:$D$20)</f>
        <v>0</v>
      </c>
      <c r="AM21" s="27">
        <v>0</v>
      </c>
      <c r="AN21" s="27">
        <v>1</v>
      </c>
      <c r="AO21" s="124">
        <f t="shared" si="0"/>
        <v>0</v>
      </c>
      <c r="AP21" s="27">
        <v>0</v>
      </c>
    </row>
    <row r="22" spans="1:42" x14ac:dyDescent="0.3">
      <c r="A22" s="19"/>
      <c r="B22" s="20">
        <v>13113000</v>
      </c>
      <c r="C22" s="99" t="str">
        <f t="shared" si="1"/>
        <v>3</v>
      </c>
      <c r="D22" s="101">
        <v>0</v>
      </c>
      <c r="E22" s="20">
        <v>1</v>
      </c>
      <c r="F22" s="20">
        <v>3</v>
      </c>
      <c r="G22" s="20">
        <v>1</v>
      </c>
      <c r="H22" s="103" t="s">
        <v>962</v>
      </c>
      <c r="I22" s="20" t="s">
        <v>288</v>
      </c>
      <c r="J22" s="104" t="str">
        <f t="shared" si="2"/>
        <v>Item_Name_13113000</v>
      </c>
      <c r="K22" s="20">
        <v>10103001</v>
      </c>
      <c r="L22" s="20">
        <v>1</v>
      </c>
      <c r="M22" s="105">
        <f>IF(D22=0, 0, _xlfn.XLOOKUP($F22,'#무게관련'!$B:$B,'#무게관련'!$C:$C)*_xlfn.XLOOKUP($L22,'#무게관련'!$F:$F,'#무게관련'!$G:$G)*100)</f>
        <v>0</v>
      </c>
      <c r="N22" s="20">
        <v>0</v>
      </c>
      <c r="O22" s="20">
        <v>3</v>
      </c>
      <c r="P22" s="20">
        <v>0</v>
      </c>
      <c r="Q22" s="20">
        <v>0</v>
      </c>
      <c r="R22" s="20">
        <v>0</v>
      </c>
      <c r="S22" s="20">
        <v>0</v>
      </c>
      <c r="T22" s="20" t="s">
        <v>1864</v>
      </c>
      <c r="U22" s="104">
        <v>0</v>
      </c>
      <c r="V22" s="20">
        <v>0</v>
      </c>
      <c r="W22" s="20">
        <v>0</v>
      </c>
      <c r="X22" s="104">
        <v>0</v>
      </c>
      <c r="Y22" s="104">
        <v>0</v>
      </c>
      <c r="Z22" s="104">
        <v>0</v>
      </c>
      <c r="AA22" s="104">
        <v>0</v>
      </c>
      <c r="AB22" s="104">
        <v>0</v>
      </c>
      <c r="AC22" s="104">
        <v>0</v>
      </c>
      <c r="AD22" s="142">
        <v>0</v>
      </c>
      <c r="AE22" s="31">
        <v>0</v>
      </c>
      <c r="AF22" s="70">
        <v>0</v>
      </c>
      <c r="AG22" s="105" cm="1">
        <f t="array" ref="AG22">_xlfn.SWITCH(L22,3,1,
           4,1,
           5,1,
           6,1,0)</f>
        <v>0</v>
      </c>
      <c r="AH22" s="145">
        <v>80101101</v>
      </c>
      <c r="AI22" s="90">
        <v>0</v>
      </c>
      <c r="AJ22" s="90">
        <v>0</v>
      </c>
      <c r="AK22" s="27">
        <v>0</v>
      </c>
      <c r="AL22" s="123">
        <f>_xlfn.XLOOKUP(H22,'#각종 참고'!$B$11:$B$20,'#각종 참고'!$D$11:$D$20)</f>
        <v>0</v>
      </c>
      <c r="AM22" s="27">
        <v>0</v>
      </c>
      <c r="AN22" s="27">
        <v>1</v>
      </c>
      <c r="AO22" s="124">
        <f t="shared" si="0"/>
        <v>0</v>
      </c>
      <c r="AP22" s="27">
        <v>0</v>
      </c>
    </row>
    <row r="23" spans="1:42" x14ac:dyDescent="0.3">
      <c r="A23" s="19"/>
      <c r="B23" s="20">
        <v>13114000</v>
      </c>
      <c r="C23" s="99" t="str">
        <f t="shared" si="1"/>
        <v>3</v>
      </c>
      <c r="D23" s="101">
        <v>0</v>
      </c>
      <c r="E23" s="20">
        <v>1</v>
      </c>
      <c r="F23" s="20">
        <v>4</v>
      </c>
      <c r="G23" s="20">
        <v>1</v>
      </c>
      <c r="H23" s="103" t="s">
        <v>963</v>
      </c>
      <c r="I23" s="20" t="s">
        <v>291</v>
      </c>
      <c r="J23" s="104" t="str">
        <f t="shared" si="2"/>
        <v>Item_Name_13114000</v>
      </c>
      <c r="K23" s="20">
        <v>10103001</v>
      </c>
      <c r="L23" s="20">
        <v>1</v>
      </c>
      <c r="M23" s="105">
        <f>IF(D23=0, 0, _xlfn.XLOOKUP($F23,'#무게관련'!$B:$B,'#무게관련'!$C:$C)*_xlfn.XLOOKUP($L23,'#무게관련'!$F:$F,'#무게관련'!$G:$G)*100)</f>
        <v>0</v>
      </c>
      <c r="N23" s="20">
        <v>0</v>
      </c>
      <c r="O23" s="20">
        <v>3</v>
      </c>
      <c r="P23" s="20">
        <v>0</v>
      </c>
      <c r="Q23" s="20">
        <v>0</v>
      </c>
      <c r="R23" s="20">
        <v>0</v>
      </c>
      <c r="S23" s="20">
        <v>0</v>
      </c>
      <c r="T23" s="20" t="s">
        <v>1869</v>
      </c>
      <c r="U23" s="104">
        <v>0</v>
      </c>
      <c r="V23" s="20">
        <v>0</v>
      </c>
      <c r="W23" s="20">
        <v>0</v>
      </c>
      <c r="X23" s="104">
        <v>0</v>
      </c>
      <c r="Y23" s="104">
        <v>0</v>
      </c>
      <c r="Z23" s="104">
        <v>0</v>
      </c>
      <c r="AA23" s="104">
        <v>0</v>
      </c>
      <c r="AB23" s="104">
        <v>0</v>
      </c>
      <c r="AC23" s="104">
        <v>0</v>
      </c>
      <c r="AD23" s="142">
        <v>0</v>
      </c>
      <c r="AE23" s="31">
        <v>0</v>
      </c>
      <c r="AF23" s="70">
        <v>0</v>
      </c>
      <c r="AG23" s="105" cm="1">
        <f t="array" ref="AG23">_xlfn.SWITCH(L23,3,1,
           4,1,
           5,1,
           6,1,0)</f>
        <v>0</v>
      </c>
      <c r="AH23" s="145">
        <v>80101101</v>
      </c>
      <c r="AI23" s="90">
        <v>0</v>
      </c>
      <c r="AJ23" s="90">
        <v>0</v>
      </c>
      <c r="AK23" s="27">
        <v>0</v>
      </c>
      <c r="AL23" s="123">
        <f>_xlfn.XLOOKUP(H23,'#각종 참고'!$B$11:$B$20,'#각종 참고'!$D$11:$D$20)</f>
        <v>0</v>
      </c>
      <c r="AM23" s="27">
        <v>0</v>
      </c>
      <c r="AN23" s="27">
        <v>1</v>
      </c>
      <c r="AO23" s="124">
        <f t="shared" si="0"/>
        <v>0</v>
      </c>
      <c r="AP23" s="27">
        <v>0</v>
      </c>
    </row>
    <row r="24" spans="1:42" x14ac:dyDescent="0.3">
      <c r="A24" s="19"/>
      <c r="B24" s="20">
        <v>13115000</v>
      </c>
      <c r="C24" s="99" t="str">
        <f t="shared" si="1"/>
        <v>3</v>
      </c>
      <c r="D24" s="101">
        <v>0</v>
      </c>
      <c r="E24" s="20">
        <v>1</v>
      </c>
      <c r="F24" s="20">
        <v>5</v>
      </c>
      <c r="G24" s="20">
        <v>1</v>
      </c>
      <c r="H24" s="103" t="s">
        <v>964</v>
      </c>
      <c r="I24" s="20" t="s">
        <v>289</v>
      </c>
      <c r="J24" s="104" t="str">
        <f t="shared" si="2"/>
        <v>Item_Name_13115000</v>
      </c>
      <c r="K24" s="20">
        <v>10103001</v>
      </c>
      <c r="L24" s="20">
        <v>1</v>
      </c>
      <c r="M24" s="105">
        <f>IF(D24=0, 0, _xlfn.XLOOKUP($F24,'#무게관련'!$B:$B,'#무게관련'!$C:$C)*_xlfn.XLOOKUP($L24,'#무게관련'!$F:$F,'#무게관련'!$G:$G)*100)</f>
        <v>0</v>
      </c>
      <c r="N24" s="20">
        <v>0</v>
      </c>
      <c r="O24" s="20">
        <v>3</v>
      </c>
      <c r="P24" s="20">
        <v>0</v>
      </c>
      <c r="Q24" s="20">
        <v>0</v>
      </c>
      <c r="R24" s="20">
        <v>0</v>
      </c>
      <c r="S24" s="20">
        <v>0</v>
      </c>
      <c r="T24" s="20" t="s">
        <v>1874</v>
      </c>
      <c r="U24" s="104">
        <v>0</v>
      </c>
      <c r="V24" s="20">
        <v>0</v>
      </c>
      <c r="W24" s="20">
        <v>0</v>
      </c>
      <c r="X24" s="104">
        <v>0</v>
      </c>
      <c r="Y24" s="104">
        <v>0</v>
      </c>
      <c r="Z24" s="104">
        <v>0</v>
      </c>
      <c r="AA24" s="104">
        <v>0</v>
      </c>
      <c r="AB24" s="104">
        <v>0</v>
      </c>
      <c r="AC24" s="104">
        <v>0</v>
      </c>
      <c r="AD24" s="142">
        <v>0</v>
      </c>
      <c r="AE24" s="31">
        <v>0</v>
      </c>
      <c r="AF24" s="70">
        <v>0</v>
      </c>
      <c r="AG24" s="105" cm="1">
        <f t="array" ref="AG24">_xlfn.SWITCH(L24,3,1,
           4,1,
           5,1,
           6,1,0)</f>
        <v>0</v>
      </c>
      <c r="AH24" s="145">
        <v>80101101</v>
      </c>
      <c r="AI24" s="90">
        <v>0</v>
      </c>
      <c r="AJ24" s="90">
        <v>0</v>
      </c>
      <c r="AK24" s="27">
        <v>0</v>
      </c>
      <c r="AL24" s="123">
        <f>_xlfn.XLOOKUP(H24,'#각종 참고'!$B$11:$B$20,'#각종 참고'!$D$11:$D$20)</f>
        <v>0</v>
      </c>
      <c r="AM24" s="27">
        <v>0</v>
      </c>
      <c r="AN24" s="27">
        <v>1</v>
      </c>
      <c r="AO24" s="124">
        <f t="shared" si="0"/>
        <v>0</v>
      </c>
      <c r="AP24" s="27">
        <v>0</v>
      </c>
    </row>
    <row r="25" spans="1:42" x14ac:dyDescent="0.3">
      <c r="A25" s="19"/>
      <c r="B25" s="20">
        <v>13116000</v>
      </c>
      <c r="C25" s="99" t="str">
        <f t="shared" si="1"/>
        <v>3</v>
      </c>
      <c r="D25" s="101">
        <v>0</v>
      </c>
      <c r="E25" s="20">
        <v>1</v>
      </c>
      <c r="F25" s="20">
        <v>6</v>
      </c>
      <c r="G25" s="20">
        <v>1</v>
      </c>
      <c r="H25" s="103" t="s">
        <v>965</v>
      </c>
      <c r="I25" s="20" t="s">
        <v>290</v>
      </c>
      <c r="J25" s="104" t="str">
        <f t="shared" si="2"/>
        <v>Item_Name_13116000</v>
      </c>
      <c r="K25" s="20">
        <v>10103001</v>
      </c>
      <c r="L25" s="20">
        <v>1</v>
      </c>
      <c r="M25" s="105">
        <f>IF(D25=0, 0, _xlfn.XLOOKUP($F25,'#무게관련'!$B:$B,'#무게관련'!$C:$C)*_xlfn.XLOOKUP($L25,'#무게관련'!$F:$F,'#무게관련'!$G:$G)*100)</f>
        <v>0</v>
      </c>
      <c r="N25" s="20">
        <v>0</v>
      </c>
      <c r="O25" s="20">
        <v>3</v>
      </c>
      <c r="P25" s="20">
        <v>0</v>
      </c>
      <c r="Q25" s="20">
        <v>0</v>
      </c>
      <c r="R25" s="20">
        <v>0</v>
      </c>
      <c r="S25" s="20">
        <v>0</v>
      </c>
      <c r="T25" s="20" t="s">
        <v>1879</v>
      </c>
      <c r="U25" s="104">
        <v>0</v>
      </c>
      <c r="V25" s="20">
        <v>0</v>
      </c>
      <c r="W25" s="20">
        <v>0</v>
      </c>
      <c r="X25" s="104">
        <v>0</v>
      </c>
      <c r="Y25" s="104">
        <v>0</v>
      </c>
      <c r="Z25" s="104">
        <v>0</v>
      </c>
      <c r="AA25" s="104">
        <v>0</v>
      </c>
      <c r="AB25" s="104">
        <v>0</v>
      </c>
      <c r="AC25" s="104">
        <v>0</v>
      </c>
      <c r="AD25" s="142">
        <v>0</v>
      </c>
      <c r="AE25" s="31">
        <v>0</v>
      </c>
      <c r="AF25" s="70">
        <v>0</v>
      </c>
      <c r="AG25" s="105" cm="1">
        <f t="array" ref="AG25">_xlfn.SWITCH(L25,3,1,
           4,1,
           5,1,
           6,1,0)</f>
        <v>0</v>
      </c>
      <c r="AH25" s="145">
        <v>80101101</v>
      </c>
      <c r="AI25" s="90">
        <v>0</v>
      </c>
      <c r="AJ25" s="90">
        <v>0</v>
      </c>
      <c r="AK25" s="27">
        <v>0</v>
      </c>
      <c r="AL25" s="123">
        <f>_xlfn.XLOOKUP(H25,'#각종 참고'!$B$11:$B$20,'#각종 참고'!$D$11:$D$20)</f>
        <v>0</v>
      </c>
      <c r="AM25" s="27">
        <v>0</v>
      </c>
      <c r="AN25" s="27">
        <v>1</v>
      </c>
      <c r="AO25" s="124">
        <f t="shared" si="0"/>
        <v>0</v>
      </c>
      <c r="AP25" s="27">
        <v>0</v>
      </c>
    </row>
    <row r="26" spans="1:42" x14ac:dyDescent="0.3">
      <c r="A26" s="19"/>
      <c r="B26" s="20">
        <v>14110000</v>
      </c>
      <c r="C26" s="99" t="str">
        <f t="shared" si="1"/>
        <v>4</v>
      </c>
      <c r="D26" s="101">
        <v>0</v>
      </c>
      <c r="E26" s="20">
        <v>1</v>
      </c>
      <c r="F26" s="20">
        <v>0</v>
      </c>
      <c r="G26" s="20">
        <v>1</v>
      </c>
      <c r="H26" s="103" t="s">
        <v>959</v>
      </c>
      <c r="I26" s="20" t="s">
        <v>292</v>
      </c>
      <c r="J26" s="104" t="str">
        <f t="shared" si="2"/>
        <v>Item_Name_14110000</v>
      </c>
      <c r="K26" s="20">
        <v>10104001</v>
      </c>
      <c r="L26" s="20">
        <v>1</v>
      </c>
      <c r="M26" s="105">
        <f>IF(D26=0, 0, _xlfn.XLOOKUP($F26,'#무게관련'!$B:$B,'#무게관련'!$C:$C)*_xlfn.XLOOKUP($L26,'#무게관련'!$F:$F,'#무게관련'!$G:$G)*100)</f>
        <v>0</v>
      </c>
      <c r="N26" s="20">
        <v>0</v>
      </c>
      <c r="O26" s="20">
        <v>4</v>
      </c>
      <c r="P26" s="20">
        <v>0</v>
      </c>
      <c r="Q26" s="20">
        <v>0</v>
      </c>
      <c r="R26" s="20">
        <v>0</v>
      </c>
      <c r="S26" s="20">
        <v>0</v>
      </c>
      <c r="T26" s="20" t="s">
        <v>1849</v>
      </c>
      <c r="U26" s="104">
        <v>0</v>
      </c>
      <c r="V26" s="20">
        <v>0</v>
      </c>
      <c r="W26" s="20">
        <v>0</v>
      </c>
      <c r="X26" s="104">
        <v>0</v>
      </c>
      <c r="Y26" s="104">
        <v>0</v>
      </c>
      <c r="Z26" s="104">
        <v>0</v>
      </c>
      <c r="AA26" s="104">
        <v>0</v>
      </c>
      <c r="AB26" s="104">
        <v>0</v>
      </c>
      <c r="AC26" s="104">
        <v>0</v>
      </c>
      <c r="AD26" s="142">
        <v>0</v>
      </c>
      <c r="AE26" s="31">
        <v>0</v>
      </c>
      <c r="AF26" s="70">
        <v>0</v>
      </c>
      <c r="AG26" s="105" cm="1">
        <f t="array" ref="AG26">_xlfn.SWITCH(L26,3,1,
           4,1,
           5,1,
           6,1,0)</f>
        <v>0</v>
      </c>
      <c r="AH26" s="145">
        <v>80100101</v>
      </c>
      <c r="AI26" s="90">
        <v>0</v>
      </c>
      <c r="AJ26" s="90">
        <v>0</v>
      </c>
      <c r="AK26" s="27">
        <v>0</v>
      </c>
      <c r="AL26" s="123">
        <f>_xlfn.XLOOKUP(H26,'#각종 참고'!$B$11:$B$20,'#각종 참고'!$D$11:$D$20)</f>
        <v>0</v>
      </c>
      <c r="AM26" s="27">
        <v>0</v>
      </c>
      <c r="AN26" s="27">
        <v>1</v>
      </c>
      <c r="AO26" s="124">
        <f t="shared" si="0"/>
        <v>0</v>
      </c>
      <c r="AP26" s="27">
        <v>0</v>
      </c>
    </row>
    <row r="27" spans="1:42" x14ac:dyDescent="0.3">
      <c r="A27" s="19"/>
      <c r="B27" s="20">
        <v>14111000</v>
      </c>
      <c r="C27" s="99" t="str">
        <f t="shared" si="1"/>
        <v>4</v>
      </c>
      <c r="D27" s="101">
        <v>0</v>
      </c>
      <c r="E27" s="20">
        <v>1</v>
      </c>
      <c r="F27" s="20">
        <v>1</v>
      </c>
      <c r="G27" s="20">
        <v>1</v>
      </c>
      <c r="H27" s="103" t="s">
        <v>960</v>
      </c>
      <c r="I27" s="20" t="s">
        <v>293</v>
      </c>
      <c r="J27" s="104" t="str">
        <f t="shared" si="2"/>
        <v>Item_Name_14111000</v>
      </c>
      <c r="K27" s="20">
        <v>10104001</v>
      </c>
      <c r="L27" s="20">
        <v>1</v>
      </c>
      <c r="M27" s="105">
        <f>IF(D27=0, 0, _xlfn.XLOOKUP($F27,'#무게관련'!$B:$B,'#무게관련'!$C:$C)*_xlfn.XLOOKUP($L27,'#무게관련'!$F:$F,'#무게관련'!$G:$G)*100)</f>
        <v>0</v>
      </c>
      <c r="N27" s="20">
        <v>0</v>
      </c>
      <c r="O27" s="20">
        <v>4</v>
      </c>
      <c r="P27" s="20">
        <v>0</v>
      </c>
      <c r="Q27" s="20">
        <v>0</v>
      </c>
      <c r="R27" s="20">
        <v>0</v>
      </c>
      <c r="S27" s="20">
        <v>0</v>
      </c>
      <c r="T27" s="20" t="s">
        <v>1854</v>
      </c>
      <c r="U27" s="104">
        <v>0</v>
      </c>
      <c r="V27" s="20">
        <v>0</v>
      </c>
      <c r="W27" s="20">
        <v>0</v>
      </c>
      <c r="X27" s="104">
        <v>0</v>
      </c>
      <c r="Y27" s="104">
        <v>0</v>
      </c>
      <c r="Z27" s="104">
        <v>0</v>
      </c>
      <c r="AA27" s="104">
        <v>0</v>
      </c>
      <c r="AB27" s="104">
        <v>0</v>
      </c>
      <c r="AC27" s="104">
        <v>0</v>
      </c>
      <c r="AD27" s="142">
        <v>0</v>
      </c>
      <c r="AE27" s="31">
        <v>0</v>
      </c>
      <c r="AF27" s="70">
        <v>0</v>
      </c>
      <c r="AG27" s="105" cm="1">
        <f t="array" ref="AG27">_xlfn.SWITCH(L27,3,1,
           4,1,
           5,1,
           6,1,0)</f>
        <v>0</v>
      </c>
      <c r="AH27" s="145">
        <v>80100101</v>
      </c>
      <c r="AI27" s="90">
        <v>0</v>
      </c>
      <c r="AJ27" s="90">
        <v>0</v>
      </c>
      <c r="AK27" s="27">
        <v>0</v>
      </c>
      <c r="AL27" s="123">
        <f>_xlfn.XLOOKUP(H27,'#각종 참고'!$B$11:$B$20,'#각종 참고'!$D$11:$D$20)</f>
        <v>0</v>
      </c>
      <c r="AM27" s="27">
        <v>0</v>
      </c>
      <c r="AN27" s="27">
        <v>1</v>
      </c>
      <c r="AO27" s="124">
        <f t="shared" si="0"/>
        <v>0</v>
      </c>
      <c r="AP27" s="27">
        <v>0</v>
      </c>
    </row>
    <row r="28" spans="1:42" x14ac:dyDescent="0.3">
      <c r="A28" s="19"/>
      <c r="B28" s="20">
        <v>14112000</v>
      </c>
      <c r="C28" s="99" t="str">
        <f t="shared" si="1"/>
        <v>4</v>
      </c>
      <c r="D28" s="101">
        <v>0</v>
      </c>
      <c r="E28" s="20">
        <v>1</v>
      </c>
      <c r="F28" s="20">
        <v>2</v>
      </c>
      <c r="G28" s="20">
        <v>1</v>
      </c>
      <c r="H28" s="103" t="s">
        <v>961</v>
      </c>
      <c r="I28" s="20" t="s">
        <v>294</v>
      </c>
      <c r="J28" s="104" t="str">
        <f t="shared" si="2"/>
        <v>Item_Name_14112000</v>
      </c>
      <c r="K28" s="20">
        <v>10104001</v>
      </c>
      <c r="L28" s="20">
        <v>1</v>
      </c>
      <c r="M28" s="105">
        <f>IF(D28=0, 0, _xlfn.XLOOKUP($F28,'#무게관련'!$B:$B,'#무게관련'!$C:$C)*_xlfn.XLOOKUP($L28,'#무게관련'!$F:$F,'#무게관련'!$G:$G)*100)</f>
        <v>0</v>
      </c>
      <c r="N28" s="20">
        <v>0</v>
      </c>
      <c r="O28" s="20">
        <v>4</v>
      </c>
      <c r="P28" s="20">
        <v>0</v>
      </c>
      <c r="Q28" s="20">
        <v>0</v>
      </c>
      <c r="R28" s="20">
        <v>0</v>
      </c>
      <c r="S28" s="20">
        <v>0</v>
      </c>
      <c r="T28" s="20" t="s">
        <v>1859</v>
      </c>
      <c r="U28" s="104">
        <v>0</v>
      </c>
      <c r="V28" s="20">
        <v>0</v>
      </c>
      <c r="W28" s="20">
        <v>0</v>
      </c>
      <c r="X28" s="104">
        <v>0</v>
      </c>
      <c r="Y28" s="104">
        <v>0</v>
      </c>
      <c r="Z28" s="104">
        <v>0</v>
      </c>
      <c r="AA28" s="104">
        <v>0</v>
      </c>
      <c r="AB28" s="104">
        <v>0</v>
      </c>
      <c r="AC28" s="104">
        <v>0</v>
      </c>
      <c r="AD28" s="142">
        <v>0</v>
      </c>
      <c r="AE28" s="31">
        <v>0</v>
      </c>
      <c r="AF28" s="70">
        <v>0</v>
      </c>
      <c r="AG28" s="105" cm="1">
        <f t="array" ref="AG28">_xlfn.SWITCH(L28,3,1,
           4,1,
           5,1,
           6,1,0)</f>
        <v>0</v>
      </c>
      <c r="AH28" s="145">
        <v>80101101</v>
      </c>
      <c r="AI28" s="90">
        <v>0</v>
      </c>
      <c r="AJ28" s="90">
        <v>0</v>
      </c>
      <c r="AK28" s="27">
        <v>0</v>
      </c>
      <c r="AL28" s="123">
        <f>_xlfn.XLOOKUP(H28,'#각종 참고'!$B$11:$B$20,'#각종 참고'!$D$11:$D$20)</f>
        <v>0</v>
      </c>
      <c r="AM28" s="27">
        <v>0</v>
      </c>
      <c r="AN28" s="27">
        <v>1</v>
      </c>
      <c r="AO28" s="124">
        <f t="shared" si="0"/>
        <v>0</v>
      </c>
      <c r="AP28" s="27">
        <v>0</v>
      </c>
    </row>
    <row r="29" spans="1:42" x14ac:dyDescent="0.3">
      <c r="A29" s="19"/>
      <c r="B29" s="20">
        <v>14113000</v>
      </c>
      <c r="C29" s="99" t="str">
        <f t="shared" si="1"/>
        <v>4</v>
      </c>
      <c r="D29" s="101">
        <v>0</v>
      </c>
      <c r="E29" s="20">
        <v>1</v>
      </c>
      <c r="F29" s="20">
        <v>3</v>
      </c>
      <c r="G29" s="20">
        <v>1</v>
      </c>
      <c r="H29" s="103" t="s">
        <v>962</v>
      </c>
      <c r="I29" s="20" t="s">
        <v>295</v>
      </c>
      <c r="J29" s="104" t="str">
        <f t="shared" si="2"/>
        <v>Item_Name_14113000</v>
      </c>
      <c r="K29" s="20">
        <v>10104001</v>
      </c>
      <c r="L29" s="20">
        <v>1</v>
      </c>
      <c r="M29" s="105">
        <f>IF(D29=0, 0, _xlfn.XLOOKUP($F29,'#무게관련'!$B:$B,'#무게관련'!$C:$C)*_xlfn.XLOOKUP($L29,'#무게관련'!$F:$F,'#무게관련'!$G:$G)*100)</f>
        <v>0</v>
      </c>
      <c r="N29" s="20">
        <v>0</v>
      </c>
      <c r="O29" s="20">
        <v>4</v>
      </c>
      <c r="P29" s="20">
        <v>0</v>
      </c>
      <c r="Q29" s="20">
        <v>0</v>
      </c>
      <c r="R29" s="20">
        <v>0</v>
      </c>
      <c r="S29" s="20">
        <v>0</v>
      </c>
      <c r="T29" s="20" t="s">
        <v>1864</v>
      </c>
      <c r="U29" s="104">
        <v>0</v>
      </c>
      <c r="V29" s="20">
        <v>0</v>
      </c>
      <c r="W29" s="20">
        <v>0</v>
      </c>
      <c r="X29" s="104">
        <v>0</v>
      </c>
      <c r="Y29" s="104">
        <v>0</v>
      </c>
      <c r="Z29" s="104">
        <v>0</v>
      </c>
      <c r="AA29" s="104">
        <v>0</v>
      </c>
      <c r="AB29" s="104">
        <v>0</v>
      </c>
      <c r="AC29" s="104">
        <v>0</v>
      </c>
      <c r="AD29" s="142">
        <v>0</v>
      </c>
      <c r="AE29" s="31">
        <v>0</v>
      </c>
      <c r="AF29" s="70">
        <v>0</v>
      </c>
      <c r="AG29" s="105" cm="1">
        <f t="array" ref="AG29">_xlfn.SWITCH(L29,3,1,
           4,1,
           5,1,
           6,1,0)</f>
        <v>0</v>
      </c>
      <c r="AH29" s="145">
        <v>80101101</v>
      </c>
      <c r="AI29" s="90">
        <v>0</v>
      </c>
      <c r="AJ29" s="90">
        <v>0</v>
      </c>
      <c r="AK29" s="27">
        <v>0</v>
      </c>
      <c r="AL29" s="123">
        <f>_xlfn.XLOOKUP(H29,'#각종 참고'!$B$11:$B$20,'#각종 참고'!$D$11:$D$20)</f>
        <v>0</v>
      </c>
      <c r="AM29" s="27">
        <v>0</v>
      </c>
      <c r="AN29" s="27">
        <v>1</v>
      </c>
      <c r="AO29" s="124">
        <f t="shared" si="0"/>
        <v>0</v>
      </c>
      <c r="AP29" s="27">
        <v>0</v>
      </c>
    </row>
    <row r="30" spans="1:42" x14ac:dyDescent="0.3">
      <c r="A30" s="19"/>
      <c r="B30" s="20">
        <v>14114000</v>
      </c>
      <c r="C30" s="99" t="str">
        <f t="shared" si="1"/>
        <v>4</v>
      </c>
      <c r="D30" s="101">
        <v>0</v>
      </c>
      <c r="E30" s="20">
        <v>1</v>
      </c>
      <c r="F30" s="20">
        <v>4</v>
      </c>
      <c r="G30" s="20">
        <v>1</v>
      </c>
      <c r="H30" s="103" t="s">
        <v>963</v>
      </c>
      <c r="I30" s="20" t="s">
        <v>298</v>
      </c>
      <c r="J30" s="104" t="str">
        <f t="shared" si="2"/>
        <v>Item_Name_14114000</v>
      </c>
      <c r="K30" s="20">
        <v>10104001</v>
      </c>
      <c r="L30" s="20">
        <v>1</v>
      </c>
      <c r="M30" s="105">
        <f>IF(D30=0, 0, _xlfn.XLOOKUP($F30,'#무게관련'!$B:$B,'#무게관련'!$C:$C)*_xlfn.XLOOKUP($L30,'#무게관련'!$F:$F,'#무게관련'!$G:$G)*100)</f>
        <v>0</v>
      </c>
      <c r="N30" s="20">
        <v>0</v>
      </c>
      <c r="O30" s="20">
        <v>4</v>
      </c>
      <c r="P30" s="20">
        <v>0</v>
      </c>
      <c r="Q30" s="20">
        <v>0</v>
      </c>
      <c r="R30" s="20">
        <v>0</v>
      </c>
      <c r="S30" s="20">
        <v>0</v>
      </c>
      <c r="T30" s="20" t="s">
        <v>1869</v>
      </c>
      <c r="U30" s="104">
        <v>0</v>
      </c>
      <c r="V30" s="20">
        <v>0</v>
      </c>
      <c r="W30" s="20">
        <v>0</v>
      </c>
      <c r="X30" s="104">
        <v>0</v>
      </c>
      <c r="Y30" s="104">
        <v>0</v>
      </c>
      <c r="Z30" s="104">
        <v>0</v>
      </c>
      <c r="AA30" s="104">
        <v>0</v>
      </c>
      <c r="AB30" s="104">
        <v>0</v>
      </c>
      <c r="AC30" s="104">
        <v>0</v>
      </c>
      <c r="AD30" s="142">
        <v>0</v>
      </c>
      <c r="AE30" s="31">
        <v>0</v>
      </c>
      <c r="AF30" s="70">
        <v>0</v>
      </c>
      <c r="AG30" s="105" cm="1">
        <f t="array" ref="AG30">_xlfn.SWITCH(L30,3,1,
           4,1,
           5,1,
           6,1,0)</f>
        <v>0</v>
      </c>
      <c r="AH30" s="145">
        <v>80101101</v>
      </c>
      <c r="AI30" s="90">
        <v>0</v>
      </c>
      <c r="AJ30" s="90">
        <v>0</v>
      </c>
      <c r="AK30" s="27">
        <v>0</v>
      </c>
      <c r="AL30" s="123">
        <f>_xlfn.XLOOKUP(H30,'#각종 참고'!$B$11:$B$20,'#각종 참고'!$D$11:$D$20)</f>
        <v>0</v>
      </c>
      <c r="AM30" s="27">
        <v>0</v>
      </c>
      <c r="AN30" s="27">
        <v>1</v>
      </c>
      <c r="AO30" s="124">
        <f t="shared" si="0"/>
        <v>0</v>
      </c>
      <c r="AP30" s="27">
        <v>0</v>
      </c>
    </row>
    <row r="31" spans="1:42" x14ac:dyDescent="0.3">
      <c r="A31" s="19"/>
      <c r="B31" s="20">
        <v>14115000</v>
      </c>
      <c r="C31" s="99" t="str">
        <f t="shared" si="1"/>
        <v>4</v>
      </c>
      <c r="D31" s="101">
        <v>0</v>
      </c>
      <c r="E31" s="20">
        <v>1</v>
      </c>
      <c r="F31" s="20">
        <v>5</v>
      </c>
      <c r="G31" s="20">
        <v>1</v>
      </c>
      <c r="H31" s="103" t="s">
        <v>964</v>
      </c>
      <c r="I31" s="20" t="s">
        <v>296</v>
      </c>
      <c r="J31" s="104" t="str">
        <f t="shared" si="2"/>
        <v>Item_Name_14115000</v>
      </c>
      <c r="K31" s="20">
        <v>10104001</v>
      </c>
      <c r="L31" s="20">
        <v>1</v>
      </c>
      <c r="M31" s="105">
        <f>IF(D31=0, 0, _xlfn.XLOOKUP($F31,'#무게관련'!$B:$B,'#무게관련'!$C:$C)*_xlfn.XLOOKUP($L31,'#무게관련'!$F:$F,'#무게관련'!$G:$G)*100)</f>
        <v>0</v>
      </c>
      <c r="N31" s="20">
        <v>0</v>
      </c>
      <c r="O31" s="20">
        <v>4</v>
      </c>
      <c r="P31" s="20">
        <v>0</v>
      </c>
      <c r="Q31" s="20">
        <v>0</v>
      </c>
      <c r="R31" s="20">
        <v>0</v>
      </c>
      <c r="S31" s="20">
        <v>0</v>
      </c>
      <c r="T31" s="20" t="s">
        <v>1874</v>
      </c>
      <c r="U31" s="104">
        <v>0</v>
      </c>
      <c r="V31" s="20">
        <v>0</v>
      </c>
      <c r="W31" s="20">
        <v>0</v>
      </c>
      <c r="X31" s="104">
        <v>0</v>
      </c>
      <c r="Y31" s="104">
        <v>0</v>
      </c>
      <c r="Z31" s="104">
        <v>0</v>
      </c>
      <c r="AA31" s="104">
        <v>0</v>
      </c>
      <c r="AB31" s="104">
        <v>0</v>
      </c>
      <c r="AC31" s="104">
        <v>0</v>
      </c>
      <c r="AD31" s="142">
        <v>0</v>
      </c>
      <c r="AE31" s="31">
        <v>0</v>
      </c>
      <c r="AF31" s="70">
        <v>0</v>
      </c>
      <c r="AG31" s="105" cm="1">
        <f t="array" ref="AG31">_xlfn.SWITCH(L31,3,1,
           4,1,
           5,1,
           6,1,0)</f>
        <v>0</v>
      </c>
      <c r="AH31" s="145">
        <v>80101101</v>
      </c>
      <c r="AI31" s="90">
        <v>0</v>
      </c>
      <c r="AJ31" s="90">
        <v>0</v>
      </c>
      <c r="AK31" s="27">
        <v>0</v>
      </c>
      <c r="AL31" s="123">
        <f>_xlfn.XLOOKUP(H31,'#각종 참고'!$B$11:$B$20,'#각종 참고'!$D$11:$D$20)</f>
        <v>0</v>
      </c>
      <c r="AM31" s="27">
        <v>0</v>
      </c>
      <c r="AN31" s="27">
        <v>1</v>
      </c>
      <c r="AO31" s="124">
        <f t="shared" si="0"/>
        <v>0</v>
      </c>
      <c r="AP31" s="27">
        <v>0</v>
      </c>
    </row>
    <row r="32" spans="1:42" x14ac:dyDescent="0.3">
      <c r="A32" s="19"/>
      <c r="B32" s="20">
        <v>14116000</v>
      </c>
      <c r="C32" s="99" t="str">
        <f t="shared" si="1"/>
        <v>4</v>
      </c>
      <c r="D32" s="101">
        <v>0</v>
      </c>
      <c r="E32" s="20">
        <v>1</v>
      </c>
      <c r="F32" s="20">
        <v>6</v>
      </c>
      <c r="G32" s="20">
        <v>1</v>
      </c>
      <c r="H32" s="103" t="s">
        <v>965</v>
      </c>
      <c r="I32" s="20" t="s">
        <v>297</v>
      </c>
      <c r="J32" s="104" t="str">
        <f t="shared" si="2"/>
        <v>Item_Name_14116000</v>
      </c>
      <c r="K32" s="20">
        <v>10104001</v>
      </c>
      <c r="L32" s="20">
        <v>1</v>
      </c>
      <c r="M32" s="105">
        <f>IF(D32=0, 0, _xlfn.XLOOKUP($F32,'#무게관련'!$B:$B,'#무게관련'!$C:$C)*_xlfn.XLOOKUP($L32,'#무게관련'!$F:$F,'#무게관련'!$G:$G)*100)</f>
        <v>0</v>
      </c>
      <c r="N32" s="20">
        <v>0</v>
      </c>
      <c r="O32" s="20">
        <v>4</v>
      </c>
      <c r="P32" s="20">
        <v>0</v>
      </c>
      <c r="Q32" s="20">
        <v>0</v>
      </c>
      <c r="R32" s="20">
        <v>0</v>
      </c>
      <c r="S32" s="20">
        <v>0</v>
      </c>
      <c r="T32" s="20" t="s">
        <v>1879</v>
      </c>
      <c r="U32" s="104">
        <v>0</v>
      </c>
      <c r="V32" s="20">
        <v>0</v>
      </c>
      <c r="W32" s="20">
        <v>0</v>
      </c>
      <c r="X32" s="104">
        <v>0</v>
      </c>
      <c r="Y32" s="104">
        <v>0</v>
      </c>
      <c r="Z32" s="104">
        <v>0</v>
      </c>
      <c r="AA32" s="104">
        <v>0</v>
      </c>
      <c r="AB32" s="104">
        <v>0</v>
      </c>
      <c r="AC32" s="104">
        <v>0</v>
      </c>
      <c r="AD32" s="142">
        <v>0</v>
      </c>
      <c r="AE32" s="31">
        <v>0</v>
      </c>
      <c r="AF32" s="70">
        <v>0</v>
      </c>
      <c r="AG32" s="105" cm="1">
        <f t="array" ref="AG32">_xlfn.SWITCH(L32,3,1,
           4,1,
           5,1,
           6,1,0)</f>
        <v>0</v>
      </c>
      <c r="AH32" s="145">
        <v>80101101</v>
      </c>
      <c r="AI32" s="90">
        <v>0</v>
      </c>
      <c r="AJ32" s="90">
        <v>0</v>
      </c>
      <c r="AK32" s="27">
        <v>0</v>
      </c>
      <c r="AL32" s="123">
        <f>_xlfn.XLOOKUP(H32,'#각종 참고'!$B$11:$B$20,'#각종 참고'!$D$11:$D$20)</f>
        <v>0</v>
      </c>
      <c r="AM32" s="27">
        <v>0</v>
      </c>
      <c r="AN32" s="27">
        <v>1</v>
      </c>
      <c r="AO32" s="124">
        <f t="shared" si="0"/>
        <v>0</v>
      </c>
      <c r="AP32" s="27">
        <v>0</v>
      </c>
    </row>
    <row r="33" spans="1:47" s="68" customFormat="1" x14ac:dyDescent="0.3">
      <c r="A33" s="65"/>
      <c r="B33" s="110">
        <v>11110001</v>
      </c>
      <c r="C33" s="99" t="str">
        <f t="shared" si="1"/>
        <v>1</v>
      </c>
      <c r="D33" s="120">
        <f>COUNTIFS($F$33:F33,F33, $G$33:G33,G33, $C$33:C33,C33, $L$33:L33,L33)</f>
        <v>1</v>
      </c>
      <c r="E33" s="20">
        <v>1</v>
      </c>
      <c r="F33" s="66">
        <v>0</v>
      </c>
      <c r="G33" s="66">
        <v>1</v>
      </c>
      <c r="H33" s="103" t="s">
        <v>959</v>
      </c>
      <c r="I33" s="66" t="s">
        <v>1569</v>
      </c>
      <c r="J33" s="104" t="str">
        <f t="shared" si="2"/>
        <v>Item_Name_11110001</v>
      </c>
      <c r="K33" s="66">
        <v>10101001</v>
      </c>
      <c r="L33" s="66">
        <v>1</v>
      </c>
      <c r="M33" s="105">
        <f>IF(D33=0, 0, _xlfn.XLOOKUP($F33,'#무게관련'!$B:$B,'#무게관련'!$C:$C)*_xlfn.XLOOKUP($L33,'#무게관련'!$F:$F,'#무게관련'!$G:$G)*100)</f>
        <v>14000</v>
      </c>
      <c r="N33" s="20">
        <v>20100</v>
      </c>
      <c r="O33" s="20">
        <v>1</v>
      </c>
      <c r="P33" s="66">
        <v>15</v>
      </c>
      <c r="Q33" s="20">
        <v>1</v>
      </c>
      <c r="R33" s="66">
        <v>100</v>
      </c>
      <c r="S33" s="66">
        <v>1</v>
      </c>
      <c r="T33" s="66" t="s">
        <v>1849</v>
      </c>
      <c r="U33" s="104" t="str">
        <f>"item_bg_grade_0"&amp;L33</f>
        <v>item_bg_grade_01</v>
      </c>
      <c r="V33" s="66" t="s">
        <v>317</v>
      </c>
      <c r="W33" s="66" t="s">
        <v>329</v>
      </c>
      <c r="X33" s="104">
        <v>0</v>
      </c>
      <c r="Y33" s="104">
        <v>0</v>
      </c>
      <c r="Z33" s="104">
        <v>0</v>
      </c>
      <c r="AA33" s="104">
        <v>0</v>
      </c>
      <c r="AB33" s="104">
        <v>0</v>
      </c>
      <c r="AC33" s="104">
        <v>0</v>
      </c>
      <c r="AD33" s="142">
        <v>0</v>
      </c>
      <c r="AE33" s="67">
        <v>10</v>
      </c>
      <c r="AF33" s="70">
        <v>1100010</v>
      </c>
      <c r="AG33" s="105" cm="1">
        <f t="array" ref="AG33">_xlfn.SWITCH(L33,3,1,
           4,1,
           5,1,
           6,1,0)</f>
        <v>0</v>
      </c>
      <c r="AH33" s="145">
        <v>80100101</v>
      </c>
      <c r="AI33" s="90">
        <v>0</v>
      </c>
      <c r="AJ33" s="90">
        <v>0</v>
      </c>
      <c r="AK33" s="27">
        <v>0</v>
      </c>
      <c r="AL33" s="123">
        <f>_xlfn.XLOOKUP(H33,'#각종 참고'!$B$11:$B$20,'#각종 참고'!$D$11:$D$20)</f>
        <v>0</v>
      </c>
      <c r="AM33" s="27">
        <v>1</v>
      </c>
      <c r="AN33" s="27">
        <v>1</v>
      </c>
      <c r="AO33" s="124">
        <f t="shared" si="0"/>
        <v>1</v>
      </c>
      <c r="AP33" s="27">
        <v>1</v>
      </c>
      <c r="AQ33" s="21">
        <v>11110001</v>
      </c>
      <c r="AR33" s="68" t="s">
        <v>1569</v>
      </c>
    </row>
    <row r="34" spans="1:47" s="68" customFormat="1" x14ac:dyDescent="0.3">
      <c r="A34" s="65"/>
      <c r="B34" s="131" t="s">
        <v>1917</v>
      </c>
      <c r="C34" s="99" t="str">
        <f t="shared" ref="C34:C35" si="3">IF(K34&gt;0,MID(K34,5, 1), 0)</f>
        <v>1</v>
      </c>
      <c r="D34" s="120">
        <f>COUNTIFS($F$33:F34,F34, $G$33:G34,G34, $C$33:C34,C34, $L$33:L34,L34)</f>
        <v>2</v>
      </c>
      <c r="E34" s="20">
        <v>1</v>
      </c>
      <c r="F34" s="66">
        <v>0</v>
      </c>
      <c r="G34" s="66">
        <v>1</v>
      </c>
      <c r="H34" s="103" t="s">
        <v>959</v>
      </c>
      <c r="I34" s="66" t="s">
        <v>2028</v>
      </c>
      <c r="J34" s="104" t="str">
        <f t="shared" si="2"/>
        <v>Item_Name_11110002</v>
      </c>
      <c r="K34" s="66">
        <v>10101001</v>
      </c>
      <c r="L34" s="66">
        <v>1</v>
      </c>
      <c r="M34" s="105">
        <f>IF(D34=0, 0, _xlfn.XLOOKUP($F34,'#무게관련'!$B:$B,'#무게관련'!$C:$C)*_xlfn.XLOOKUP($L34,'#무게관련'!$F:$F,'#무게관련'!$G:$G)*100)</f>
        <v>14000</v>
      </c>
      <c r="N34" s="20">
        <v>20100</v>
      </c>
      <c r="O34" s="20">
        <v>1</v>
      </c>
      <c r="P34" s="66">
        <v>15</v>
      </c>
      <c r="Q34" s="20">
        <v>1</v>
      </c>
      <c r="R34" s="66">
        <v>100</v>
      </c>
      <c r="S34" s="66">
        <v>1</v>
      </c>
      <c r="T34" s="66" t="s">
        <v>1849</v>
      </c>
      <c r="U34" s="104" t="str">
        <f t="shared" ref="U34:U35" si="4">"item_bg_grade_0"&amp;L34</f>
        <v>item_bg_grade_01</v>
      </c>
      <c r="V34" s="66" t="s">
        <v>317</v>
      </c>
      <c r="W34" s="66" t="s">
        <v>329</v>
      </c>
      <c r="X34" s="104">
        <v>0</v>
      </c>
      <c r="Y34" s="104">
        <v>0</v>
      </c>
      <c r="Z34" s="104">
        <v>0</v>
      </c>
      <c r="AA34" s="104">
        <v>0</v>
      </c>
      <c r="AB34" s="104">
        <v>0</v>
      </c>
      <c r="AC34" s="104">
        <v>0</v>
      </c>
      <c r="AD34" s="142">
        <v>0</v>
      </c>
      <c r="AE34" s="67">
        <v>10</v>
      </c>
      <c r="AF34" s="70">
        <v>1100020</v>
      </c>
      <c r="AG34" s="105" cm="1">
        <f t="array" ref="AG34">_xlfn.SWITCH(L34,3,1,
           4,1,
           5,1,
           6,1,0)</f>
        <v>0</v>
      </c>
      <c r="AH34" s="145">
        <v>80100101</v>
      </c>
      <c r="AI34" s="90">
        <v>0</v>
      </c>
      <c r="AJ34" s="90">
        <v>0</v>
      </c>
      <c r="AK34" s="27">
        <v>0</v>
      </c>
      <c r="AL34" s="123">
        <f>_xlfn.XLOOKUP(H34,'#각종 참고'!$B$11:$B$20,'#각종 참고'!$D$11:$D$20)</f>
        <v>0</v>
      </c>
      <c r="AM34" s="27">
        <v>1</v>
      </c>
      <c r="AN34" s="27">
        <v>1</v>
      </c>
      <c r="AO34" s="124">
        <f t="shared" si="0"/>
        <v>1</v>
      </c>
      <c r="AP34" s="27">
        <v>1</v>
      </c>
      <c r="AQ34" s="21">
        <v>11110011</v>
      </c>
      <c r="AR34" s="68" t="s">
        <v>2245</v>
      </c>
    </row>
    <row r="35" spans="1:47" s="68" customFormat="1" x14ac:dyDescent="0.3">
      <c r="A35" s="65"/>
      <c r="B35" s="110">
        <v>11110003</v>
      </c>
      <c r="C35" s="99" t="str">
        <f t="shared" si="3"/>
        <v>1</v>
      </c>
      <c r="D35" s="120">
        <f>COUNTIFS($F$33:F35,F35, $G$33:G35,G35, $C$33:C35,C35, $L$33:L35,L35)</f>
        <v>3</v>
      </c>
      <c r="E35" s="20">
        <v>1</v>
      </c>
      <c r="F35" s="66">
        <v>0</v>
      </c>
      <c r="G35" s="66">
        <v>1</v>
      </c>
      <c r="H35" s="103" t="s">
        <v>959</v>
      </c>
      <c r="I35" s="66" t="s">
        <v>2027</v>
      </c>
      <c r="J35" s="104" t="str">
        <f t="shared" si="2"/>
        <v>Item_Name_11110003</v>
      </c>
      <c r="K35" s="66">
        <v>10101001</v>
      </c>
      <c r="L35" s="66">
        <v>1</v>
      </c>
      <c r="M35" s="105">
        <f>IF(D35=0, 0, _xlfn.XLOOKUP($F35,'#무게관련'!$B:$B,'#무게관련'!$C:$C)*_xlfn.XLOOKUP($L35,'#무게관련'!$F:$F,'#무게관련'!$G:$G)*100)</f>
        <v>14000</v>
      </c>
      <c r="N35" s="20">
        <v>20100</v>
      </c>
      <c r="O35" s="20">
        <v>1</v>
      </c>
      <c r="P35" s="66">
        <v>15</v>
      </c>
      <c r="Q35" s="20">
        <v>1</v>
      </c>
      <c r="R35" s="66">
        <v>100</v>
      </c>
      <c r="S35" s="66">
        <v>1</v>
      </c>
      <c r="T35" s="66" t="s">
        <v>1849</v>
      </c>
      <c r="U35" s="104" t="str">
        <f t="shared" si="4"/>
        <v>item_bg_grade_01</v>
      </c>
      <c r="V35" s="66" t="s">
        <v>317</v>
      </c>
      <c r="W35" s="66" t="s">
        <v>329</v>
      </c>
      <c r="X35" s="104">
        <v>0</v>
      </c>
      <c r="Y35" s="104">
        <v>0</v>
      </c>
      <c r="Z35" s="104">
        <v>0</v>
      </c>
      <c r="AA35" s="104">
        <v>0</v>
      </c>
      <c r="AB35" s="104">
        <v>0</v>
      </c>
      <c r="AC35" s="104">
        <v>0</v>
      </c>
      <c r="AD35" s="142">
        <v>0</v>
      </c>
      <c r="AE35" s="67">
        <v>10</v>
      </c>
      <c r="AF35" s="70">
        <v>1100030</v>
      </c>
      <c r="AG35" s="105" cm="1">
        <f t="array" ref="AG35">_xlfn.SWITCH(L35,3,1,
           4,1,
           5,1,
           6,1,0)</f>
        <v>0</v>
      </c>
      <c r="AH35" s="145">
        <v>80100101</v>
      </c>
      <c r="AI35" s="90">
        <v>0</v>
      </c>
      <c r="AJ35" s="90">
        <v>0</v>
      </c>
      <c r="AK35" s="27">
        <v>0</v>
      </c>
      <c r="AL35" s="123">
        <f>_xlfn.XLOOKUP(H35,'#각종 참고'!$B$11:$B$20,'#각종 참고'!$D$11:$D$20)</f>
        <v>0</v>
      </c>
      <c r="AM35" s="27">
        <v>1</v>
      </c>
      <c r="AN35" s="27">
        <v>1</v>
      </c>
      <c r="AO35" s="124">
        <f t="shared" si="0"/>
        <v>1</v>
      </c>
      <c r="AP35" s="27">
        <v>1</v>
      </c>
      <c r="AQ35" s="21">
        <v>11110021</v>
      </c>
      <c r="AR35" s="68" t="s">
        <v>2246</v>
      </c>
    </row>
    <row r="36" spans="1:47" x14ac:dyDescent="0.3">
      <c r="A36" s="19"/>
      <c r="B36" s="109">
        <v>11120001</v>
      </c>
      <c r="C36" s="99" t="str">
        <f t="shared" si="1"/>
        <v>1</v>
      </c>
      <c r="D36" s="121">
        <f>COUNTIFS($F$33:F36,F36, $G$33:G36,G36, $C$33:C36,C36, $L$33:L36,L36)</f>
        <v>1</v>
      </c>
      <c r="E36" s="20">
        <v>1</v>
      </c>
      <c r="F36" s="20">
        <v>0</v>
      </c>
      <c r="G36" s="20">
        <v>1</v>
      </c>
      <c r="H36" s="103" t="s">
        <v>959</v>
      </c>
      <c r="I36" s="20" t="s">
        <v>1570</v>
      </c>
      <c r="J36" s="104" t="str">
        <f t="shared" si="2"/>
        <v>Item_Name_11120001</v>
      </c>
      <c r="K36" s="20">
        <v>10101001</v>
      </c>
      <c r="L36" s="20">
        <v>2</v>
      </c>
      <c r="M36" s="105">
        <f>IF(D36=0, 0, _xlfn.XLOOKUP($F36,'#무게관련'!$B:$B,'#무게관련'!$C:$C)*_xlfn.XLOOKUP($L36,'#무게관련'!$F:$F,'#무게관련'!$G:$G)*100)</f>
        <v>14000</v>
      </c>
      <c r="N36" s="20">
        <v>20100</v>
      </c>
      <c r="O36" s="20">
        <v>1</v>
      </c>
      <c r="P36" s="20">
        <v>15</v>
      </c>
      <c r="Q36" s="20">
        <v>1</v>
      </c>
      <c r="R36" s="20">
        <v>100</v>
      </c>
      <c r="S36" s="20">
        <v>1</v>
      </c>
      <c r="T36" s="20" t="s">
        <v>1850</v>
      </c>
      <c r="U36" s="104" t="str">
        <f t="shared" ref="U36:U162" si="5">"item_bg_grade_0"&amp;L36</f>
        <v>item_bg_grade_02</v>
      </c>
      <c r="V36" s="20" t="s">
        <v>317</v>
      </c>
      <c r="W36" s="20" t="s">
        <v>329</v>
      </c>
      <c r="X36" s="104">
        <v>0</v>
      </c>
      <c r="Y36" s="104">
        <v>0</v>
      </c>
      <c r="Z36" s="104">
        <v>0</v>
      </c>
      <c r="AA36" s="104">
        <v>0</v>
      </c>
      <c r="AB36" s="104">
        <v>0</v>
      </c>
      <c r="AC36" s="104">
        <v>0</v>
      </c>
      <c r="AD36" s="142">
        <v>0</v>
      </c>
      <c r="AE36" s="31">
        <v>20</v>
      </c>
      <c r="AF36" s="70">
        <v>1200010</v>
      </c>
      <c r="AG36" s="105" cm="1">
        <f t="array" ref="AG36">_xlfn.SWITCH(L36,3,1,
           4,1,
           5,1,
           6,1,0)</f>
        <v>0</v>
      </c>
      <c r="AH36" s="145">
        <v>80100201</v>
      </c>
      <c r="AI36" s="90">
        <v>6000</v>
      </c>
      <c r="AJ36" s="90">
        <v>2001</v>
      </c>
      <c r="AK36" s="27">
        <v>2000</v>
      </c>
      <c r="AL36" s="123">
        <f>_xlfn.XLOOKUP(H36,'#각종 참고'!$B$11:$B$20,'#각종 참고'!$D$11:$D$20)</f>
        <v>0</v>
      </c>
      <c r="AM36" s="27">
        <v>1</v>
      </c>
      <c r="AN36" s="27">
        <v>1</v>
      </c>
      <c r="AO36" s="124">
        <f t="shared" si="0"/>
        <v>1</v>
      </c>
      <c r="AP36" s="27">
        <v>1</v>
      </c>
      <c r="AQ36" s="21">
        <v>11120001</v>
      </c>
      <c r="AR36" s="21" t="s">
        <v>1570</v>
      </c>
      <c r="AS36" s="68"/>
      <c r="AT36" s="68"/>
      <c r="AU36" s="68"/>
    </row>
    <row r="37" spans="1:47" x14ac:dyDescent="0.3">
      <c r="A37" s="19"/>
      <c r="B37" s="109">
        <v>11120002</v>
      </c>
      <c r="C37" s="99" t="str">
        <f t="shared" ref="C37:C38" si="6">IF(K37&gt;0,MID(K37,5, 1), 0)</f>
        <v>1</v>
      </c>
      <c r="D37" s="121">
        <f>COUNTIFS($F$33:F37,F37, $G$33:G37,G37, $C$33:C37,C37, $L$33:L37,L37)</f>
        <v>2</v>
      </c>
      <c r="E37" s="20">
        <v>1</v>
      </c>
      <c r="F37" s="20">
        <v>0</v>
      </c>
      <c r="G37" s="20">
        <v>1</v>
      </c>
      <c r="H37" s="103" t="s">
        <v>959</v>
      </c>
      <c r="I37" s="20" t="s">
        <v>2029</v>
      </c>
      <c r="J37" s="104" t="str">
        <f t="shared" si="2"/>
        <v>Item_Name_11120002</v>
      </c>
      <c r="K37" s="20">
        <v>10101001</v>
      </c>
      <c r="L37" s="20">
        <v>2</v>
      </c>
      <c r="M37" s="105">
        <f>IF(D37=0, 0, _xlfn.XLOOKUP($F37,'#무게관련'!$B:$B,'#무게관련'!$C:$C)*_xlfn.XLOOKUP($L37,'#무게관련'!$F:$F,'#무게관련'!$G:$G)*100)</f>
        <v>14000</v>
      </c>
      <c r="N37" s="20">
        <v>20100</v>
      </c>
      <c r="O37" s="20">
        <v>1</v>
      </c>
      <c r="P37" s="20">
        <v>15</v>
      </c>
      <c r="Q37" s="20">
        <v>1</v>
      </c>
      <c r="R37" s="20">
        <v>100</v>
      </c>
      <c r="S37" s="20">
        <v>1</v>
      </c>
      <c r="T37" s="20" t="s">
        <v>1850</v>
      </c>
      <c r="U37" s="104" t="str">
        <f t="shared" ref="U37:U38" si="7">"item_bg_grade_0"&amp;L37</f>
        <v>item_bg_grade_02</v>
      </c>
      <c r="V37" s="20" t="s">
        <v>317</v>
      </c>
      <c r="W37" s="20" t="s">
        <v>329</v>
      </c>
      <c r="X37" s="104">
        <v>0</v>
      </c>
      <c r="Y37" s="104">
        <v>0</v>
      </c>
      <c r="Z37" s="104">
        <v>0</v>
      </c>
      <c r="AA37" s="104">
        <v>0</v>
      </c>
      <c r="AB37" s="104">
        <v>0</v>
      </c>
      <c r="AC37" s="104">
        <v>0</v>
      </c>
      <c r="AD37" s="142">
        <v>0</v>
      </c>
      <c r="AE37" s="31">
        <v>20</v>
      </c>
      <c r="AF37" s="70">
        <v>1200020</v>
      </c>
      <c r="AG37" s="105" cm="1">
        <f t="array" ref="AG37">_xlfn.SWITCH(L37,3,1,
           4,1,
           5,1,
           6,1,0)</f>
        <v>0</v>
      </c>
      <c r="AH37" s="145">
        <v>80100201</v>
      </c>
      <c r="AI37" s="90">
        <v>6000</v>
      </c>
      <c r="AJ37" s="90">
        <v>2001</v>
      </c>
      <c r="AK37" s="27">
        <v>2000</v>
      </c>
      <c r="AL37" s="123">
        <f>_xlfn.XLOOKUP(H37,'#각종 참고'!$B$11:$B$20,'#각종 참고'!$D$11:$D$20)</f>
        <v>0</v>
      </c>
      <c r="AM37" s="27">
        <v>1</v>
      </c>
      <c r="AN37" s="27">
        <v>1</v>
      </c>
      <c r="AO37" s="124">
        <f t="shared" si="0"/>
        <v>1</v>
      </c>
      <c r="AP37" s="27">
        <v>1</v>
      </c>
      <c r="AQ37" s="21">
        <v>11120011</v>
      </c>
      <c r="AR37" s="21" t="s">
        <v>2247</v>
      </c>
      <c r="AS37" s="68"/>
      <c r="AT37" s="68"/>
      <c r="AU37" s="68"/>
    </row>
    <row r="38" spans="1:47" x14ac:dyDescent="0.3">
      <c r="A38" s="19"/>
      <c r="B38" s="109">
        <v>11120003</v>
      </c>
      <c r="C38" s="99" t="str">
        <f t="shared" si="6"/>
        <v>1</v>
      </c>
      <c r="D38" s="121">
        <f>COUNTIFS($F$33:F38,F38, $G$33:G38,G38, $C$33:C38,C38, $L$33:L38,L38)</f>
        <v>3</v>
      </c>
      <c r="E38" s="20">
        <v>1</v>
      </c>
      <c r="F38" s="20">
        <v>0</v>
      </c>
      <c r="G38" s="20">
        <v>1</v>
      </c>
      <c r="H38" s="103" t="s">
        <v>959</v>
      </c>
      <c r="I38" s="20" t="s">
        <v>1972</v>
      </c>
      <c r="J38" s="104" t="str">
        <f t="shared" si="2"/>
        <v>Item_Name_11120003</v>
      </c>
      <c r="K38" s="20">
        <v>10101001</v>
      </c>
      <c r="L38" s="20">
        <v>2</v>
      </c>
      <c r="M38" s="105">
        <f>IF(D38=0, 0, _xlfn.XLOOKUP($F38,'#무게관련'!$B:$B,'#무게관련'!$C:$C)*_xlfn.XLOOKUP($L38,'#무게관련'!$F:$F,'#무게관련'!$G:$G)*100)</f>
        <v>14000</v>
      </c>
      <c r="N38" s="20">
        <v>20100</v>
      </c>
      <c r="O38" s="20">
        <v>1</v>
      </c>
      <c r="P38" s="20">
        <v>15</v>
      </c>
      <c r="Q38" s="20">
        <v>1</v>
      </c>
      <c r="R38" s="20">
        <v>100</v>
      </c>
      <c r="S38" s="20">
        <v>1</v>
      </c>
      <c r="T38" s="20" t="s">
        <v>1850</v>
      </c>
      <c r="U38" s="104" t="str">
        <f t="shared" si="7"/>
        <v>item_bg_grade_02</v>
      </c>
      <c r="V38" s="20" t="s">
        <v>317</v>
      </c>
      <c r="W38" s="20" t="s">
        <v>329</v>
      </c>
      <c r="X38" s="104">
        <v>0</v>
      </c>
      <c r="Y38" s="104">
        <v>0</v>
      </c>
      <c r="Z38" s="104">
        <v>0</v>
      </c>
      <c r="AA38" s="104">
        <v>0</v>
      </c>
      <c r="AB38" s="104">
        <v>0</v>
      </c>
      <c r="AC38" s="104">
        <v>0</v>
      </c>
      <c r="AD38" s="142">
        <v>0</v>
      </c>
      <c r="AE38" s="31">
        <v>20</v>
      </c>
      <c r="AF38" s="70">
        <v>1200030</v>
      </c>
      <c r="AG38" s="105" cm="1">
        <f t="array" ref="AG38">_xlfn.SWITCH(L38,3,1,
           4,1,
           5,1,
           6,1,0)</f>
        <v>0</v>
      </c>
      <c r="AH38" s="145">
        <v>80100201</v>
      </c>
      <c r="AI38" s="90">
        <v>6000</v>
      </c>
      <c r="AJ38" s="90">
        <v>2001</v>
      </c>
      <c r="AK38" s="27">
        <v>2000</v>
      </c>
      <c r="AL38" s="123">
        <f>_xlfn.XLOOKUP(H38,'#각종 참고'!$B$11:$B$20,'#각종 참고'!$D$11:$D$20)</f>
        <v>0</v>
      </c>
      <c r="AM38" s="27">
        <v>1</v>
      </c>
      <c r="AN38" s="27">
        <v>1</v>
      </c>
      <c r="AO38" s="124">
        <f t="shared" si="0"/>
        <v>1</v>
      </c>
      <c r="AP38" s="27">
        <v>1</v>
      </c>
      <c r="AQ38" s="21">
        <v>11120021</v>
      </c>
      <c r="AR38" s="21" t="s">
        <v>2248</v>
      </c>
      <c r="AS38" s="68"/>
      <c r="AT38" s="68"/>
      <c r="AU38" s="68"/>
    </row>
    <row r="39" spans="1:47" x14ac:dyDescent="0.3">
      <c r="A39" s="19"/>
      <c r="B39" s="109">
        <v>11130001</v>
      </c>
      <c r="C39" s="99" t="str">
        <f t="shared" si="1"/>
        <v>1</v>
      </c>
      <c r="D39" s="121">
        <f>COUNTIFS($F$33:F39,F39, $G$33:G39,G39, $C$33:C39,C39, $L$33:L39,L39)</f>
        <v>1</v>
      </c>
      <c r="E39" s="20">
        <v>1</v>
      </c>
      <c r="F39" s="20">
        <v>0</v>
      </c>
      <c r="G39" s="20">
        <v>1</v>
      </c>
      <c r="H39" s="103" t="s">
        <v>959</v>
      </c>
      <c r="I39" s="20" t="s">
        <v>1571</v>
      </c>
      <c r="J39" s="104" t="str">
        <f t="shared" si="2"/>
        <v>Item_Name_11130001</v>
      </c>
      <c r="K39" s="20">
        <v>10101001</v>
      </c>
      <c r="L39" s="20">
        <v>3</v>
      </c>
      <c r="M39" s="105">
        <f>IF(D39=0, 0, _xlfn.XLOOKUP($F39,'#무게관련'!$B:$B,'#무게관련'!$C:$C)*_xlfn.XLOOKUP($L39,'#무게관련'!$F:$F,'#무게관련'!$G:$G)*100)</f>
        <v>14000</v>
      </c>
      <c r="N39" s="20">
        <v>20100</v>
      </c>
      <c r="O39" s="20">
        <v>1</v>
      </c>
      <c r="P39" s="20">
        <v>15</v>
      </c>
      <c r="Q39" s="20">
        <v>1</v>
      </c>
      <c r="R39" s="20">
        <v>100</v>
      </c>
      <c r="S39" s="20">
        <v>1</v>
      </c>
      <c r="T39" s="20" t="s">
        <v>1851</v>
      </c>
      <c r="U39" s="104" t="str">
        <f t="shared" si="5"/>
        <v>item_bg_grade_03</v>
      </c>
      <c r="V39" s="20" t="s">
        <v>317</v>
      </c>
      <c r="W39" s="20" t="s">
        <v>329</v>
      </c>
      <c r="X39" s="104">
        <v>0</v>
      </c>
      <c r="Y39" s="104">
        <v>0</v>
      </c>
      <c r="Z39" s="104">
        <v>0</v>
      </c>
      <c r="AA39" s="104">
        <v>0</v>
      </c>
      <c r="AB39" s="104">
        <v>0</v>
      </c>
      <c r="AC39" s="104">
        <v>0</v>
      </c>
      <c r="AD39" s="142">
        <v>0</v>
      </c>
      <c r="AE39" s="31">
        <v>30</v>
      </c>
      <c r="AF39" s="70">
        <v>1300010</v>
      </c>
      <c r="AG39" s="105" cm="1">
        <f t="array" ref="AG39">_xlfn.SWITCH(L39,3,1,
           4,1,
           5,1,
           6,1,0)</f>
        <v>1</v>
      </c>
      <c r="AH39" s="145">
        <v>80100301</v>
      </c>
      <c r="AI39" s="90">
        <v>6001</v>
      </c>
      <c r="AJ39" s="90">
        <v>2003</v>
      </c>
      <c r="AK39" s="27">
        <v>3000</v>
      </c>
      <c r="AL39" s="123">
        <f>_xlfn.XLOOKUP(H39,'#각종 참고'!$B$11:$B$20,'#각종 참고'!$D$11:$D$20)</f>
        <v>0</v>
      </c>
      <c r="AM39" s="27">
        <v>1</v>
      </c>
      <c r="AN39" s="27">
        <v>1</v>
      </c>
      <c r="AO39" s="124">
        <f t="shared" si="0"/>
        <v>1</v>
      </c>
      <c r="AP39" s="27">
        <v>1</v>
      </c>
      <c r="AQ39" s="21">
        <v>11130001</v>
      </c>
      <c r="AR39" s="21" t="s">
        <v>1571</v>
      </c>
      <c r="AS39" s="68"/>
      <c r="AT39" s="68"/>
      <c r="AU39" s="68"/>
    </row>
    <row r="40" spans="1:47" x14ac:dyDescent="0.3">
      <c r="A40" s="19"/>
      <c r="B40" s="109">
        <v>11130002</v>
      </c>
      <c r="C40" s="99" t="str">
        <f t="shared" ref="C40:C41" si="8">IF(K40&gt;0,MID(K40,5, 1), 0)</f>
        <v>1</v>
      </c>
      <c r="D40" s="121">
        <f>COUNTIFS($F$33:F40,F40, $G$33:G40,G40, $C$33:C40,C40, $L$33:L40,L40)</f>
        <v>2</v>
      </c>
      <c r="E40" s="20">
        <v>1</v>
      </c>
      <c r="F40" s="20">
        <v>0</v>
      </c>
      <c r="G40" s="20">
        <v>1</v>
      </c>
      <c r="H40" s="103" t="s">
        <v>959</v>
      </c>
      <c r="I40" s="20" t="s">
        <v>1572</v>
      </c>
      <c r="J40" s="104" t="str">
        <f t="shared" si="2"/>
        <v>Item_Name_11130002</v>
      </c>
      <c r="K40" s="20">
        <v>10101001</v>
      </c>
      <c r="L40" s="20">
        <v>3</v>
      </c>
      <c r="M40" s="105">
        <f>IF(D40=0, 0, _xlfn.XLOOKUP($F40,'#무게관련'!$B:$B,'#무게관련'!$C:$C)*_xlfn.XLOOKUP($L40,'#무게관련'!$F:$F,'#무게관련'!$G:$G)*100)</f>
        <v>14000</v>
      </c>
      <c r="N40" s="20">
        <v>20100</v>
      </c>
      <c r="O40" s="20">
        <v>1</v>
      </c>
      <c r="P40" s="20">
        <v>15</v>
      </c>
      <c r="Q40" s="20">
        <v>1</v>
      </c>
      <c r="R40" s="20">
        <v>100</v>
      </c>
      <c r="S40" s="20">
        <v>1</v>
      </c>
      <c r="T40" s="20" t="s">
        <v>1851</v>
      </c>
      <c r="U40" s="104" t="str">
        <f t="shared" ref="U40:U41" si="9">"item_bg_grade_0"&amp;L40</f>
        <v>item_bg_grade_03</v>
      </c>
      <c r="V40" s="20" t="s">
        <v>317</v>
      </c>
      <c r="W40" s="20" t="s">
        <v>329</v>
      </c>
      <c r="X40" s="104">
        <v>0</v>
      </c>
      <c r="Y40" s="104">
        <v>0</v>
      </c>
      <c r="Z40" s="104">
        <v>0</v>
      </c>
      <c r="AA40" s="104">
        <v>0</v>
      </c>
      <c r="AB40" s="104">
        <v>0</v>
      </c>
      <c r="AC40" s="104">
        <v>0</v>
      </c>
      <c r="AD40" s="142">
        <v>0</v>
      </c>
      <c r="AE40" s="31">
        <v>30</v>
      </c>
      <c r="AF40" s="70">
        <v>1300020</v>
      </c>
      <c r="AG40" s="105" cm="1">
        <f t="array" ref="AG40">_xlfn.SWITCH(L40,3,1,
           4,1,
           5,1,
           6,1,0)</f>
        <v>1</v>
      </c>
      <c r="AH40" s="145">
        <v>80100301</v>
      </c>
      <c r="AI40" s="90">
        <v>6001</v>
      </c>
      <c r="AJ40" s="90">
        <v>2003</v>
      </c>
      <c r="AK40" s="27">
        <v>3000</v>
      </c>
      <c r="AL40" s="123">
        <f>_xlfn.XLOOKUP(H40,'#각종 참고'!$B$11:$B$20,'#각종 참고'!$D$11:$D$20)</f>
        <v>0</v>
      </c>
      <c r="AM40" s="27">
        <v>1</v>
      </c>
      <c r="AN40" s="27">
        <v>1</v>
      </c>
      <c r="AO40" s="124">
        <f t="shared" si="0"/>
        <v>1</v>
      </c>
      <c r="AP40" s="27">
        <v>1</v>
      </c>
      <c r="AQ40" s="21">
        <v>11130011</v>
      </c>
      <c r="AR40" s="21" t="s">
        <v>2249</v>
      </c>
      <c r="AS40" s="68"/>
      <c r="AT40" s="68"/>
      <c r="AU40" s="68"/>
    </row>
    <row r="41" spans="1:47" x14ac:dyDescent="0.3">
      <c r="A41" s="19"/>
      <c r="B41" s="109">
        <v>11130003</v>
      </c>
      <c r="C41" s="99" t="str">
        <f t="shared" si="8"/>
        <v>1</v>
      </c>
      <c r="D41" s="121">
        <f>COUNTIFS($F$33:F41,F41, $G$33:G41,G41, $C$33:C41,C41, $L$33:L41,L41)</f>
        <v>3</v>
      </c>
      <c r="E41" s="20">
        <v>1</v>
      </c>
      <c r="F41" s="20">
        <v>0</v>
      </c>
      <c r="G41" s="20">
        <v>1</v>
      </c>
      <c r="H41" s="103" t="s">
        <v>959</v>
      </c>
      <c r="I41" s="20" t="s">
        <v>2030</v>
      </c>
      <c r="J41" s="104" t="str">
        <f t="shared" si="2"/>
        <v>Item_Name_11130003</v>
      </c>
      <c r="K41" s="20">
        <v>10101001</v>
      </c>
      <c r="L41" s="20">
        <v>3</v>
      </c>
      <c r="M41" s="105">
        <f>IF(D41=0, 0, _xlfn.XLOOKUP($F41,'#무게관련'!$B:$B,'#무게관련'!$C:$C)*_xlfn.XLOOKUP($L41,'#무게관련'!$F:$F,'#무게관련'!$G:$G)*100)</f>
        <v>14000</v>
      </c>
      <c r="N41" s="20">
        <v>20100</v>
      </c>
      <c r="O41" s="20">
        <v>1</v>
      </c>
      <c r="P41" s="20">
        <v>15</v>
      </c>
      <c r="Q41" s="20">
        <v>1</v>
      </c>
      <c r="R41" s="20">
        <v>100</v>
      </c>
      <c r="S41" s="20">
        <v>1</v>
      </c>
      <c r="T41" s="20" t="s">
        <v>1851</v>
      </c>
      <c r="U41" s="104" t="str">
        <f t="shared" si="9"/>
        <v>item_bg_grade_03</v>
      </c>
      <c r="V41" s="20" t="s">
        <v>317</v>
      </c>
      <c r="W41" s="20" t="s">
        <v>329</v>
      </c>
      <c r="X41" s="104">
        <v>0</v>
      </c>
      <c r="Y41" s="104">
        <v>0</v>
      </c>
      <c r="Z41" s="104">
        <v>0</v>
      </c>
      <c r="AA41" s="104">
        <v>0</v>
      </c>
      <c r="AB41" s="104">
        <v>0</v>
      </c>
      <c r="AC41" s="104">
        <v>0</v>
      </c>
      <c r="AD41" s="142">
        <v>0</v>
      </c>
      <c r="AE41" s="31">
        <v>30</v>
      </c>
      <c r="AF41" s="70">
        <v>1300030</v>
      </c>
      <c r="AG41" s="105" cm="1">
        <f t="array" ref="AG41">_xlfn.SWITCH(L41,3,1,
           4,1,
           5,1,
           6,1,0)</f>
        <v>1</v>
      </c>
      <c r="AH41" s="145">
        <v>80100301</v>
      </c>
      <c r="AI41" s="90">
        <v>6001</v>
      </c>
      <c r="AJ41" s="90">
        <v>2003</v>
      </c>
      <c r="AK41" s="27">
        <v>3000</v>
      </c>
      <c r="AL41" s="123">
        <f>_xlfn.XLOOKUP(H41,'#각종 참고'!$B$11:$B$20,'#각종 참고'!$D$11:$D$20)</f>
        <v>0</v>
      </c>
      <c r="AM41" s="27">
        <v>1</v>
      </c>
      <c r="AN41" s="27">
        <v>1</v>
      </c>
      <c r="AO41" s="124">
        <f t="shared" si="0"/>
        <v>1</v>
      </c>
      <c r="AP41" s="27">
        <v>1</v>
      </c>
      <c r="AQ41" s="21">
        <v>11130021</v>
      </c>
      <c r="AR41" s="21" t="s">
        <v>2250</v>
      </c>
      <c r="AS41" s="68"/>
      <c r="AT41" s="68"/>
      <c r="AU41" s="68"/>
    </row>
    <row r="42" spans="1:47" x14ac:dyDescent="0.3">
      <c r="A42" s="19"/>
      <c r="B42" s="109">
        <v>11140001</v>
      </c>
      <c r="C42" s="99" t="str">
        <f t="shared" si="1"/>
        <v>1</v>
      </c>
      <c r="D42" s="121">
        <f>COUNTIFS($F$33:F42,F42, $G$33:G42,G42, $C$33:C42,C42, $L$33:L42,L42)</f>
        <v>1</v>
      </c>
      <c r="E42" s="20">
        <v>1</v>
      </c>
      <c r="F42" s="20">
        <v>0</v>
      </c>
      <c r="G42" s="20">
        <v>1</v>
      </c>
      <c r="H42" s="103" t="s">
        <v>959</v>
      </c>
      <c r="I42" s="20" t="s">
        <v>1573</v>
      </c>
      <c r="J42" s="104" t="str">
        <f t="shared" si="2"/>
        <v>Item_Name_11140001</v>
      </c>
      <c r="K42" s="20">
        <v>10101001</v>
      </c>
      <c r="L42" s="20">
        <v>4</v>
      </c>
      <c r="M42" s="105">
        <f>IF(D42=0, 0, _xlfn.XLOOKUP($F42,'#무게관련'!$B:$B,'#무게관련'!$C:$C)*_xlfn.XLOOKUP($L42,'#무게관련'!$F:$F,'#무게관련'!$G:$G)*100)</f>
        <v>14000</v>
      </c>
      <c r="N42" s="20">
        <v>20100</v>
      </c>
      <c r="O42" s="20">
        <v>1</v>
      </c>
      <c r="P42" s="20">
        <v>15</v>
      </c>
      <c r="Q42" s="20">
        <v>1</v>
      </c>
      <c r="R42" s="20">
        <v>100</v>
      </c>
      <c r="S42" s="20">
        <v>1</v>
      </c>
      <c r="T42" s="20" t="s">
        <v>1852</v>
      </c>
      <c r="U42" s="104" t="str">
        <f t="shared" si="5"/>
        <v>item_bg_grade_04</v>
      </c>
      <c r="V42" s="20" t="s">
        <v>317</v>
      </c>
      <c r="W42" s="20" t="s">
        <v>329</v>
      </c>
      <c r="X42" s="104">
        <v>0</v>
      </c>
      <c r="Y42" s="104">
        <v>0</v>
      </c>
      <c r="Z42" s="104">
        <v>0</v>
      </c>
      <c r="AA42" s="104">
        <v>0</v>
      </c>
      <c r="AB42" s="104">
        <v>0</v>
      </c>
      <c r="AC42" s="104">
        <v>0</v>
      </c>
      <c r="AD42" s="142">
        <v>0</v>
      </c>
      <c r="AE42" s="31">
        <v>40</v>
      </c>
      <c r="AF42" s="70">
        <v>1400010</v>
      </c>
      <c r="AG42" s="105" cm="1">
        <f t="array" ref="AG42">_xlfn.SWITCH(L42,3,1,
           4,1,
           5,1,
           6,1,0)</f>
        <v>1</v>
      </c>
      <c r="AH42" s="145">
        <v>80100401</v>
      </c>
      <c r="AI42" s="90">
        <v>6002</v>
      </c>
      <c r="AJ42" s="90">
        <v>2005</v>
      </c>
      <c r="AK42" s="27">
        <v>4000</v>
      </c>
      <c r="AL42" s="123">
        <f>_xlfn.XLOOKUP(H42,'#각종 참고'!$B$11:$B$20,'#각종 참고'!$D$11:$D$20)</f>
        <v>0</v>
      </c>
      <c r="AM42" s="27">
        <v>1</v>
      </c>
      <c r="AN42" s="27">
        <v>1</v>
      </c>
      <c r="AO42" s="124">
        <f t="shared" si="0"/>
        <v>1</v>
      </c>
      <c r="AP42" s="27">
        <v>1</v>
      </c>
      <c r="AQ42" s="21">
        <v>11140001</v>
      </c>
      <c r="AR42" s="21" t="s">
        <v>1573</v>
      </c>
      <c r="AS42" s="68"/>
      <c r="AT42" s="68"/>
      <c r="AU42" s="68"/>
    </row>
    <row r="43" spans="1:47" x14ac:dyDescent="0.3">
      <c r="A43" s="19"/>
      <c r="B43" s="109">
        <v>11140002</v>
      </c>
      <c r="C43" s="99" t="str">
        <f t="shared" ref="C43:C44" si="10">IF(K43&gt;0,MID(K43,5, 1), 0)</f>
        <v>1</v>
      </c>
      <c r="D43" s="121">
        <f>COUNTIFS($F$33:F43,F43, $G$33:G43,G43, $C$33:C43,C43, $L$33:L43,L43)</f>
        <v>2</v>
      </c>
      <c r="E43" s="20">
        <v>1</v>
      </c>
      <c r="F43" s="20">
        <v>0</v>
      </c>
      <c r="G43" s="20">
        <v>1</v>
      </c>
      <c r="H43" s="103" t="s">
        <v>959</v>
      </c>
      <c r="I43" s="20" t="s">
        <v>1574</v>
      </c>
      <c r="J43" s="104" t="str">
        <f t="shared" si="2"/>
        <v>Item_Name_11140002</v>
      </c>
      <c r="K43" s="20">
        <v>10101001</v>
      </c>
      <c r="L43" s="20">
        <v>4</v>
      </c>
      <c r="M43" s="105">
        <f>IF(D43=0, 0, _xlfn.XLOOKUP($F43,'#무게관련'!$B:$B,'#무게관련'!$C:$C)*_xlfn.XLOOKUP($L43,'#무게관련'!$F:$F,'#무게관련'!$G:$G)*100)</f>
        <v>14000</v>
      </c>
      <c r="N43" s="20">
        <v>20100</v>
      </c>
      <c r="O43" s="20">
        <v>1</v>
      </c>
      <c r="P43" s="20">
        <v>15</v>
      </c>
      <c r="Q43" s="20">
        <v>1</v>
      </c>
      <c r="R43" s="20">
        <v>100</v>
      </c>
      <c r="S43" s="20">
        <v>1</v>
      </c>
      <c r="T43" s="20" t="s">
        <v>1852</v>
      </c>
      <c r="U43" s="104" t="str">
        <f t="shared" ref="U43:U44" si="11">"item_bg_grade_0"&amp;L43</f>
        <v>item_bg_grade_04</v>
      </c>
      <c r="V43" s="20" t="s">
        <v>317</v>
      </c>
      <c r="W43" s="20" t="s">
        <v>329</v>
      </c>
      <c r="X43" s="104">
        <v>0</v>
      </c>
      <c r="Y43" s="104">
        <v>0</v>
      </c>
      <c r="Z43" s="104">
        <v>0</v>
      </c>
      <c r="AA43" s="104">
        <v>0</v>
      </c>
      <c r="AB43" s="104">
        <v>0</v>
      </c>
      <c r="AC43" s="104">
        <v>0</v>
      </c>
      <c r="AD43" s="142">
        <v>0</v>
      </c>
      <c r="AE43" s="31">
        <v>40</v>
      </c>
      <c r="AF43" s="70">
        <v>1400020</v>
      </c>
      <c r="AG43" s="105" cm="1">
        <f t="array" ref="AG43">_xlfn.SWITCH(L43,3,1,
           4,1,
           5,1,
           6,1,0)</f>
        <v>1</v>
      </c>
      <c r="AH43" s="145">
        <v>80100401</v>
      </c>
      <c r="AI43" s="90">
        <v>6002</v>
      </c>
      <c r="AJ43" s="90">
        <v>2005</v>
      </c>
      <c r="AK43" s="27">
        <v>4000</v>
      </c>
      <c r="AL43" s="123">
        <f>_xlfn.XLOOKUP(H43,'#각종 참고'!$B$11:$B$20,'#각종 참고'!$D$11:$D$20)</f>
        <v>0</v>
      </c>
      <c r="AM43" s="27">
        <v>1</v>
      </c>
      <c r="AN43" s="27">
        <v>1</v>
      </c>
      <c r="AO43" s="124">
        <f t="shared" si="0"/>
        <v>1</v>
      </c>
      <c r="AP43" s="27">
        <v>1</v>
      </c>
      <c r="AQ43" s="21">
        <v>11140011</v>
      </c>
      <c r="AR43" s="21" t="s">
        <v>2251</v>
      </c>
      <c r="AS43" s="68"/>
      <c r="AT43" s="68"/>
      <c r="AU43" s="68"/>
    </row>
    <row r="44" spans="1:47" x14ac:dyDescent="0.3">
      <c r="A44" s="19"/>
      <c r="B44" s="109">
        <v>11140003</v>
      </c>
      <c r="C44" s="99" t="str">
        <f t="shared" si="10"/>
        <v>1</v>
      </c>
      <c r="D44" s="121">
        <f>COUNTIFS($F$33:F44,F44, $G$33:G44,G44, $C$33:C44,C44, $L$33:L44,L44)</f>
        <v>3</v>
      </c>
      <c r="E44" s="20">
        <v>1</v>
      </c>
      <c r="F44" s="20">
        <v>0</v>
      </c>
      <c r="G44" s="20">
        <v>1</v>
      </c>
      <c r="H44" s="103" t="s">
        <v>959</v>
      </c>
      <c r="I44" s="20" t="s">
        <v>2004</v>
      </c>
      <c r="J44" s="104" t="str">
        <f t="shared" si="2"/>
        <v>Item_Name_11140003</v>
      </c>
      <c r="K44" s="20">
        <v>10101001</v>
      </c>
      <c r="L44" s="20">
        <v>4</v>
      </c>
      <c r="M44" s="105">
        <f>IF(D44=0, 0, _xlfn.XLOOKUP($F44,'#무게관련'!$B:$B,'#무게관련'!$C:$C)*_xlfn.XLOOKUP($L44,'#무게관련'!$F:$F,'#무게관련'!$G:$G)*100)</f>
        <v>14000</v>
      </c>
      <c r="N44" s="20">
        <v>20100</v>
      </c>
      <c r="O44" s="20">
        <v>1</v>
      </c>
      <c r="P44" s="20">
        <v>15</v>
      </c>
      <c r="Q44" s="20">
        <v>1</v>
      </c>
      <c r="R44" s="20">
        <v>100</v>
      </c>
      <c r="S44" s="20">
        <v>1</v>
      </c>
      <c r="T44" s="20" t="s">
        <v>1852</v>
      </c>
      <c r="U44" s="104" t="str">
        <f t="shared" si="11"/>
        <v>item_bg_grade_04</v>
      </c>
      <c r="V44" s="20" t="s">
        <v>317</v>
      </c>
      <c r="W44" s="20" t="s">
        <v>329</v>
      </c>
      <c r="X44" s="104">
        <v>0</v>
      </c>
      <c r="Y44" s="104">
        <v>0</v>
      </c>
      <c r="Z44" s="104">
        <v>0</v>
      </c>
      <c r="AA44" s="104">
        <v>0</v>
      </c>
      <c r="AB44" s="104">
        <v>0</v>
      </c>
      <c r="AC44" s="104">
        <v>0</v>
      </c>
      <c r="AD44" s="142">
        <v>0</v>
      </c>
      <c r="AE44" s="31">
        <v>40</v>
      </c>
      <c r="AF44" s="70">
        <v>1400030</v>
      </c>
      <c r="AG44" s="105" cm="1">
        <f t="array" ref="AG44">_xlfn.SWITCH(L44,3,1,
           4,1,
           5,1,
           6,1,0)</f>
        <v>1</v>
      </c>
      <c r="AH44" s="145">
        <v>80100401</v>
      </c>
      <c r="AI44" s="90">
        <v>6002</v>
      </c>
      <c r="AJ44" s="90">
        <v>2005</v>
      </c>
      <c r="AK44" s="27">
        <v>4000</v>
      </c>
      <c r="AL44" s="123">
        <f>_xlfn.XLOOKUP(H44,'#각종 참고'!$B$11:$B$20,'#각종 참고'!$D$11:$D$20)</f>
        <v>0</v>
      </c>
      <c r="AM44" s="27">
        <v>1</v>
      </c>
      <c r="AN44" s="27">
        <v>1</v>
      </c>
      <c r="AO44" s="124">
        <f t="shared" si="0"/>
        <v>1</v>
      </c>
      <c r="AP44" s="27">
        <v>1</v>
      </c>
      <c r="AQ44" s="21">
        <v>11140021</v>
      </c>
      <c r="AR44" s="21" t="s">
        <v>2252</v>
      </c>
      <c r="AS44" s="68"/>
      <c r="AT44" s="68"/>
      <c r="AU44" s="68"/>
    </row>
    <row r="45" spans="1:47" x14ac:dyDescent="0.3">
      <c r="A45" s="19"/>
      <c r="B45" s="109">
        <v>11150001</v>
      </c>
      <c r="C45" s="99" t="str">
        <f t="shared" ref="C45" si="12">IF(K45&gt;0,MID(K45,5, 1), 0)</f>
        <v>1</v>
      </c>
      <c r="D45" s="121">
        <f>COUNTIFS($F$33:F45,F45, $G$33:G45,G45, $C$33:C45,C45, $L$33:L45,L45)</f>
        <v>1</v>
      </c>
      <c r="E45" s="20">
        <v>1</v>
      </c>
      <c r="F45" s="20">
        <v>0</v>
      </c>
      <c r="G45" s="20">
        <v>1</v>
      </c>
      <c r="H45" s="103" t="s">
        <v>959</v>
      </c>
      <c r="I45" s="20" t="s">
        <v>1575</v>
      </c>
      <c r="J45" s="104" t="str">
        <f t="shared" si="2"/>
        <v>Item_Name_11150001</v>
      </c>
      <c r="K45" s="20">
        <v>10101001</v>
      </c>
      <c r="L45" s="20">
        <v>5</v>
      </c>
      <c r="M45" s="105">
        <f>IF(D45=0, 0, _xlfn.XLOOKUP($F45,'#무게관련'!$B:$B,'#무게관련'!$C:$C)*_xlfn.XLOOKUP($L45,'#무게관련'!$F:$F,'#무게관련'!$G:$G)*100)</f>
        <v>14000</v>
      </c>
      <c r="N45" s="20">
        <v>20100</v>
      </c>
      <c r="O45" s="20">
        <v>1</v>
      </c>
      <c r="P45" s="20">
        <v>15</v>
      </c>
      <c r="Q45" s="20">
        <v>1</v>
      </c>
      <c r="R45" s="20">
        <v>100</v>
      </c>
      <c r="S45" s="20">
        <v>1</v>
      </c>
      <c r="T45" s="20" t="s">
        <v>1853</v>
      </c>
      <c r="U45" s="104" t="str">
        <f t="shared" si="5"/>
        <v>item_bg_grade_05</v>
      </c>
      <c r="V45" s="20" t="s">
        <v>317</v>
      </c>
      <c r="W45" s="20" t="s">
        <v>329</v>
      </c>
      <c r="X45" s="104">
        <v>0</v>
      </c>
      <c r="Y45" s="104">
        <v>0</v>
      </c>
      <c r="Z45" s="104">
        <v>0</v>
      </c>
      <c r="AA45" s="104">
        <v>0</v>
      </c>
      <c r="AB45" s="104">
        <v>0</v>
      </c>
      <c r="AC45" s="104">
        <v>0</v>
      </c>
      <c r="AD45" s="142">
        <v>0</v>
      </c>
      <c r="AE45" s="31">
        <v>50</v>
      </c>
      <c r="AF45" s="70">
        <v>1500010</v>
      </c>
      <c r="AG45" s="105" cm="1">
        <f t="array" ref="AG45">_xlfn.SWITCH(L45,3,1,
           4,1,
           5,1,
           6,1,0)</f>
        <v>1</v>
      </c>
      <c r="AH45" s="145">
        <v>80100501</v>
      </c>
      <c r="AI45" s="90">
        <v>6003</v>
      </c>
      <c r="AJ45" s="90">
        <v>2007</v>
      </c>
      <c r="AK45" s="27">
        <v>5000</v>
      </c>
      <c r="AL45" s="123">
        <f>_xlfn.XLOOKUP(H45,'#각종 참고'!$B$11:$B$20,'#각종 참고'!$D$11:$D$20)</f>
        <v>0</v>
      </c>
      <c r="AM45" s="27">
        <v>1</v>
      </c>
      <c r="AN45" s="27">
        <v>1</v>
      </c>
      <c r="AO45" s="124">
        <f t="shared" si="0"/>
        <v>1</v>
      </c>
      <c r="AP45" s="27">
        <v>1</v>
      </c>
      <c r="AQ45" s="21">
        <v>11150001</v>
      </c>
      <c r="AR45" s="21" t="s">
        <v>1575</v>
      </c>
      <c r="AS45" s="68"/>
      <c r="AT45" s="68"/>
      <c r="AU45" s="68"/>
    </row>
    <row r="46" spans="1:47" x14ac:dyDescent="0.3">
      <c r="A46" s="19"/>
      <c r="B46" s="109">
        <v>11150002</v>
      </c>
      <c r="C46" s="99" t="str">
        <f t="shared" ref="C46:C47" si="13">IF(K46&gt;0,MID(K46,5, 1), 0)</f>
        <v>1</v>
      </c>
      <c r="D46" s="121">
        <f>COUNTIFS($F$33:F46,F46, $G$33:G46,G46, $C$33:C46,C46, $L$33:L46,L46)</f>
        <v>2</v>
      </c>
      <c r="E46" s="20">
        <v>1</v>
      </c>
      <c r="F46" s="20">
        <v>0</v>
      </c>
      <c r="G46" s="20">
        <v>1</v>
      </c>
      <c r="H46" s="103" t="s">
        <v>959</v>
      </c>
      <c r="I46" s="20" t="s">
        <v>1576</v>
      </c>
      <c r="J46" s="104" t="str">
        <f t="shared" si="2"/>
        <v>Item_Name_11150002</v>
      </c>
      <c r="K46" s="20">
        <v>10101001</v>
      </c>
      <c r="L46" s="20">
        <v>5</v>
      </c>
      <c r="M46" s="105">
        <f>IF(D46=0, 0, _xlfn.XLOOKUP($F46,'#무게관련'!$B:$B,'#무게관련'!$C:$C)*_xlfn.XLOOKUP($L46,'#무게관련'!$F:$F,'#무게관련'!$G:$G)*100)</f>
        <v>14000</v>
      </c>
      <c r="N46" s="20">
        <v>20100</v>
      </c>
      <c r="O46" s="20">
        <v>1</v>
      </c>
      <c r="P46" s="20">
        <v>15</v>
      </c>
      <c r="Q46" s="20">
        <v>1</v>
      </c>
      <c r="R46" s="20">
        <v>100</v>
      </c>
      <c r="S46" s="20">
        <v>1</v>
      </c>
      <c r="T46" s="20" t="s">
        <v>1853</v>
      </c>
      <c r="U46" s="104" t="str">
        <f t="shared" ref="U46:U47" si="14">"item_bg_grade_0"&amp;L46</f>
        <v>item_bg_grade_05</v>
      </c>
      <c r="V46" s="20" t="s">
        <v>317</v>
      </c>
      <c r="W46" s="20" t="s">
        <v>329</v>
      </c>
      <c r="X46" s="104">
        <v>0</v>
      </c>
      <c r="Y46" s="104">
        <v>0</v>
      </c>
      <c r="Z46" s="104">
        <v>0</v>
      </c>
      <c r="AA46" s="104">
        <v>0</v>
      </c>
      <c r="AB46" s="104">
        <v>0</v>
      </c>
      <c r="AC46" s="104">
        <v>0</v>
      </c>
      <c r="AD46" s="142">
        <v>0</v>
      </c>
      <c r="AE46" s="31">
        <v>50</v>
      </c>
      <c r="AF46" s="70">
        <v>1500020</v>
      </c>
      <c r="AG46" s="105" cm="1">
        <f t="array" ref="AG46">_xlfn.SWITCH(L46,3,1,
           4,1,
           5,1,
           6,1,0)</f>
        <v>1</v>
      </c>
      <c r="AH46" s="145">
        <v>80100501</v>
      </c>
      <c r="AI46" s="90">
        <v>6003</v>
      </c>
      <c r="AJ46" s="90">
        <v>2007</v>
      </c>
      <c r="AK46" s="27">
        <v>5000</v>
      </c>
      <c r="AL46" s="123">
        <f>_xlfn.XLOOKUP(H46,'#각종 참고'!$B$11:$B$20,'#각종 참고'!$D$11:$D$20)</f>
        <v>0</v>
      </c>
      <c r="AM46" s="27">
        <v>1</v>
      </c>
      <c r="AN46" s="27">
        <v>1</v>
      </c>
      <c r="AO46" s="124">
        <f t="shared" si="0"/>
        <v>1</v>
      </c>
      <c r="AP46" s="27">
        <v>1</v>
      </c>
      <c r="AQ46" s="21">
        <v>11150011</v>
      </c>
      <c r="AR46" s="21" t="s">
        <v>2253</v>
      </c>
      <c r="AS46" s="68"/>
      <c r="AT46" s="68"/>
      <c r="AU46" s="68"/>
    </row>
    <row r="47" spans="1:47" x14ac:dyDescent="0.3">
      <c r="A47" s="19"/>
      <c r="B47" s="109">
        <v>11150003</v>
      </c>
      <c r="C47" s="99" t="str">
        <f t="shared" si="13"/>
        <v>1</v>
      </c>
      <c r="D47" s="121">
        <f>COUNTIFS($F$33:F47,F47, $G$33:G47,G47, $C$33:C47,C47, $L$33:L47,L47)</f>
        <v>3</v>
      </c>
      <c r="E47" s="20">
        <v>1</v>
      </c>
      <c r="F47" s="20">
        <v>0</v>
      </c>
      <c r="G47" s="20">
        <v>1</v>
      </c>
      <c r="H47" s="103" t="s">
        <v>959</v>
      </c>
      <c r="I47" s="20" t="s">
        <v>1964</v>
      </c>
      <c r="J47" s="104" t="str">
        <f t="shared" si="2"/>
        <v>Item_Name_11150003</v>
      </c>
      <c r="K47" s="20">
        <v>10101001</v>
      </c>
      <c r="L47" s="20">
        <v>5</v>
      </c>
      <c r="M47" s="105">
        <f>IF(D47=0, 0, _xlfn.XLOOKUP($F47,'#무게관련'!$B:$B,'#무게관련'!$C:$C)*_xlfn.XLOOKUP($L47,'#무게관련'!$F:$F,'#무게관련'!$G:$G)*100)</f>
        <v>14000</v>
      </c>
      <c r="N47" s="20">
        <v>20100</v>
      </c>
      <c r="O47" s="20">
        <v>1</v>
      </c>
      <c r="P47" s="20">
        <v>15</v>
      </c>
      <c r="Q47" s="20">
        <v>1</v>
      </c>
      <c r="R47" s="20">
        <v>100</v>
      </c>
      <c r="S47" s="20">
        <v>1</v>
      </c>
      <c r="T47" s="20" t="s">
        <v>1853</v>
      </c>
      <c r="U47" s="104" t="str">
        <f t="shared" si="14"/>
        <v>item_bg_grade_05</v>
      </c>
      <c r="V47" s="20" t="s">
        <v>317</v>
      </c>
      <c r="W47" s="20" t="s">
        <v>329</v>
      </c>
      <c r="X47" s="104">
        <v>0</v>
      </c>
      <c r="Y47" s="104">
        <v>0</v>
      </c>
      <c r="Z47" s="104">
        <v>0</v>
      </c>
      <c r="AA47" s="104">
        <v>0</v>
      </c>
      <c r="AB47" s="104">
        <v>0</v>
      </c>
      <c r="AC47" s="104">
        <v>0</v>
      </c>
      <c r="AD47" s="142">
        <v>0</v>
      </c>
      <c r="AE47" s="31">
        <v>50</v>
      </c>
      <c r="AF47" s="70">
        <v>1500030</v>
      </c>
      <c r="AG47" s="105" cm="1">
        <f t="array" ref="AG47">_xlfn.SWITCH(L47,3,1,
           4,1,
           5,1,
           6,1,0)</f>
        <v>1</v>
      </c>
      <c r="AH47" s="145">
        <v>80100501</v>
      </c>
      <c r="AI47" s="90">
        <v>6003</v>
      </c>
      <c r="AJ47" s="90">
        <v>2007</v>
      </c>
      <c r="AK47" s="27">
        <v>5000</v>
      </c>
      <c r="AL47" s="123">
        <f>_xlfn.XLOOKUP(H47,'#각종 참고'!$B$11:$B$20,'#각종 참고'!$D$11:$D$20)</f>
        <v>0</v>
      </c>
      <c r="AM47" s="27">
        <v>1</v>
      </c>
      <c r="AN47" s="27">
        <v>1</v>
      </c>
      <c r="AO47" s="124">
        <f t="shared" si="0"/>
        <v>1</v>
      </c>
      <c r="AP47" s="27">
        <v>1</v>
      </c>
      <c r="AQ47" s="21">
        <v>11150021</v>
      </c>
      <c r="AR47" s="21" t="s">
        <v>2254</v>
      </c>
      <c r="AS47" s="68"/>
      <c r="AT47" s="68"/>
      <c r="AU47" s="68"/>
    </row>
    <row r="48" spans="1:47" x14ac:dyDescent="0.3">
      <c r="A48" s="19"/>
      <c r="B48" s="109">
        <v>11160001</v>
      </c>
      <c r="C48" s="99" t="str">
        <f t="shared" ref="C48" si="15">IF(K48&gt;0,MID(K48,5, 1), 0)</f>
        <v>1</v>
      </c>
      <c r="D48" s="121">
        <f>COUNTIFS($F$33:F48,F48, $G$33:G48,G48, $C$33:C48,C48, $L$33:L48,L48)</f>
        <v>1</v>
      </c>
      <c r="E48" s="20">
        <v>1</v>
      </c>
      <c r="F48" s="20">
        <v>0</v>
      </c>
      <c r="G48" s="20">
        <v>1</v>
      </c>
      <c r="H48" s="103" t="s">
        <v>959</v>
      </c>
      <c r="I48" s="20" t="s">
        <v>1577</v>
      </c>
      <c r="J48" s="104" t="str">
        <f t="shared" si="2"/>
        <v>Item_Name_11160001</v>
      </c>
      <c r="K48" s="20">
        <v>10101001</v>
      </c>
      <c r="L48" s="20">
        <v>6</v>
      </c>
      <c r="M48" s="105">
        <f>IF(D48=0, 0, _xlfn.XLOOKUP($F48,'#무게관련'!$B:$B,'#무게관련'!$C:$C)*_xlfn.XLOOKUP($L48,'#무게관련'!$F:$F,'#무게관련'!$G:$G)*100)</f>
        <v>14000</v>
      </c>
      <c r="N48" s="20">
        <v>20100</v>
      </c>
      <c r="O48" s="20">
        <v>1</v>
      </c>
      <c r="P48" s="20">
        <v>15</v>
      </c>
      <c r="Q48" s="20">
        <v>1</v>
      </c>
      <c r="R48" s="20">
        <v>100</v>
      </c>
      <c r="S48" s="20">
        <v>1</v>
      </c>
      <c r="T48" s="109" t="s">
        <v>1853</v>
      </c>
      <c r="U48" s="104" t="str">
        <f t="shared" si="5"/>
        <v>item_bg_grade_06</v>
      </c>
      <c r="V48" s="20" t="s">
        <v>317</v>
      </c>
      <c r="W48" s="20" t="s">
        <v>329</v>
      </c>
      <c r="X48" s="104">
        <v>0</v>
      </c>
      <c r="Y48" s="104">
        <v>0</v>
      </c>
      <c r="Z48" s="104">
        <v>0</v>
      </c>
      <c r="AA48" s="104">
        <v>0</v>
      </c>
      <c r="AB48" s="104">
        <v>0</v>
      </c>
      <c r="AC48" s="104">
        <v>0</v>
      </c>
      <c r="AD48" s="142">
        <v>0</v>
      </c>
      <c r="AE48" s="31">
        <v>70</v>
      </c>
      <c r="AF48" s="70">
        <v>1600010</v>
      </c>
      <c r="AG48" s="105" cm="1">
        <f t="array" ref="AG48">_xlfn.SWITCH(L48,3,1,
           4,1,
           5,1,
           6,1,0)</f>
        <v>1</v>
      </c>
      <c r="AH48" s="145">
        <v>0</v>
      </c>
      <c r="AI48" s="90">
        <v>6004</v>
      </c>
      <c r="AJ48" s="90">
        <v>2009</v>
      </c>
      <c r="AK48" s="27">
        <v>6000</v>
      </c>
      <c r="AL48" s="123">
        <f>_xlfn.XLOOKUP(H48,'#각종 참고'!$B$11:$B$20,'#각종 참고'!$D$11:$D$20)</f>
        <v>0</v>
      </c>
      <c r="AM48" s="27">
        <v>1</v>
      </c>
      <c r="AN48" s="27">
        <v>1</v>
      </c>
      <c r="AO48" s="124">
        <f t="shared" si="0"/>
        <v>1</v>
      </c>
      <c r="AP48" s="27">
        <v>1</v>
      </c>
      <c r="AQ48" s="21">
        <v>11160001</v>
      </c>
      <c r="AR48" s="21" t="s">
        <v>1577</v>
      </c>
      <c r="AS48" s="68"/>
      <c r="AT48" s="68"/>
      <c r="AU48" s="68"/>
    </row>
    <row r="49" spans="1:47" x14ac:dyDescent="0.3">
      <c r="A49" s="19" t="s">
        <v>513</v>
      </c>
      <c r="B49" s="109">
        <v>11160002</v>
      </c>
      <c r="C49" s="99" t="str">
        <f t="shared" ref="C49:C50" si="16">IF(K49&gt;0,MID(K49,5, 1), 0)</f>
        <v>1</v>
      </c>
      <c r="D49" s="121">
        <f>COUNTIFS($F$33:F49,F49, $G$33:G49,G49, $C$33:C49,C49, $L$33:L49,L49)</f>
        <v>2</v>
      </c>
      <c r="E49" s="20">
        <v>1</v>
      </c>
      <c r="F49" s="20">
        <v>0</v>
      </c>
      <c r="G49" s="20">
        <v>1</v>
      </c>
      <c r="H49" s="103" t="s">
        <v>959</v>
      </c>
      <c r="I49" s="20" t="s">
        <v>2032</v>
      </c>
      <c r="J49" s="104" t="str">
        <f t="shared" si="2"/>
        <v>Item_Name_11160002</v>
      </c>
      <c r="K49" s="20">
        <v>10101001</v>
      </c>
      <c r="L49" s="20">
        <v>6</v>
      </c>
      <c r="M49" s="105">
        <f>IF(D49=0, 0, _xlfn.XLOOKUP($F49,'#무게관련'!$B:$B,'#무게관련'!$C:$C)*_xlfn.XLOOKUP($L49,'#무게관련'!$F:$F,'#무게관련'!$G:$G)*100)</f>
        <v>14000</v>
      </c>
      <c r="N49" s="20">
        <v>20100</v>
      </c>
      <c r="O49" s="20">
        <v>1</v>
      </c>
      <c r="P49" s="20">
        <v>15</v>
      </c>
      <c r="Q49" s="20">
        <v>1</v>
      </c>
      <c r="R49" s="20">
        <v>100</v>
      </c>
      <c r="S49" s="20">
        <v>1</v>
      </c>
      <c r="T49" s="109" t="s">
        <v>1853</v>
      </c>
      <c r="U49" s="104" t="str">
        <f t="shared" ref="U49:U50" si="17">"item_bg_grade_0"&amp;L49</f>
        <v>item_bg_grade_06</v>
      </c>
      <c r="V49" s="20" t="s">
        <v>317</v>
      </c>
      <c r="W49" s="20" t="s">
        <v>329</v>
      </c>
      <c r="X49" s="104">
        <v>0</v>
      </c>
      <c r="Y49" s="104">
        <v>0</v>
      </c>
      <c r="Z49" s="104">
        <v>0</v>
      </c>
      <c r="AA49" s="104">
        <v>0</v>
      </c>
      <c r="AB49" s="104">
        <v>0</v>
      </c>
      <c r="AC49" s="104">
        <v>0</v>
      </c>
      <c r="AD49" s="142">
        <v>0</v>
      </c>
      <c r="AE49" s="31">
        <v>70</v>
      </c>
      <c r="AF49" s="70">
        <v>1600010</v>
      </c>
      <c r="AG49" s="105" cm="1">
        <f t="array" ref="AG49">_xlfn.SWITCH(L49,3,1,
           4,1,
           5,1,
           6,1,0)</f>
        <v>1</v>
      </c>
      <c r="AH49" s="145">
        <v>0</v>
      </c>
      <c r="AI49" s="90">
        <v>6004</v>
      </c>
      <c r="AJ49" s="90">
        <v>2009</v>
      </c>
      <c r="AK49" s="27">
        <v>6000</v>
      </c>
      <c r="AL49" s="123">
        <f>_xlfn.XLOOKUP(H49,'#각종 참고'!$B$11:$B$20,'#각종 참고'!$D$11:$D$20)</f>
        <v>0</v>
      </c>
      <c r="AM49" s="27">
        <v>1</v>
      </c>
      <c r="AN49" s="27">
        <v>1</v>
      </c>
      <c r="AO49" s="124">
        <f t="shared" si="0"/>
        <v>1</v>
      </c>
      <c r="AP49" s="27">
        <v>1</v>
      </c>
      <c r="AQ49" s="21">
        <v>11160011</v>
      </c>
      <c r="AR49" s="21" t="s">
        <v>2255</v>
      </c>
      <c r="AS49" s="68"/>
      <c r="AT49" s="68"/>
      <c r="AU49" s="68"/>
    </row>
    <row r="50" spans="1:47" x14ac:dyDescent="0.3">
      <c r="A50" s="19" t="s">
        <v>513</v>
      </c>
      <c r="B50" s="109">
        <v>11160003</v>
      </c>
      <c r="C50" s="99" t="str">
        <f t="shared" si="16"/>
        <v>1</v>
      </c>
      <c r="D50" s="121">
        <f>COUNTIFS($F$33:F50,F50, $G$33:G50,G50, $C$33:C50,C50, $L$33:L50,L50)</f>
        <v>3</v>
      </c>
      <c r="E50" s="20">
        <v>1</v>
      </c>
      <c r="F50" s="20">
        <v>0</v>
      </c>
      <c r="G50" s="20">
        <v>1</v>
      </c>
      <c r="H50" s="103" t="s">
        <v>959</v>
      </c>
      <c r="I50" s="20" t="s">
        <v>2031</v>
      </c>
      <c r="J50" s="104" t="str">
        <f t="shared" si="2"/>
        <v>Item_Name_11160003</v>
      </c>
      <c r="K50" s="20">
        <v>10101001</v>
      </c>
      <c r="L50" s="20">
        <v>6</v>
      </c>
      <c r="M50" s="105">
        <f>IF(D50=0, 0, _xlfn.XLOOKUP($F50,'#무게관련'!$B:$B,'#무게관련'!$C:$C)*_xlfn.XLOOKUP($L50,'#무게관련'!$F:$F,'#무게관련'!$G:$G)*100)</f>
        <v>14000</v>
      </c>
      <c r="N50" s="20">
        <v>20100</v>
      </c>
      <c r="O50" s="20">
        <v>1</v>
      </c>
      <c r="P50" s="20">
        <v>15</v>
      </c>
      <c r="Q50" s="20">
        <v>1</v>
      </c>
      <c r="R50" s="20">
        <v>100</v>
      </c>
      <c r="S50" s="20">
        <v>1</v>
      </c>
      <c r="T50" s="109" t="s">
        <v>1853</v>
      </c>
      <c r="U50" s="104" t="str">
        <f t="shared" si="17"/>
        <v>item_bg_grade_06</v>
      </c>
      <c r="V50" s="20" t="s">
        <v>317</v>
      </c>
      <c r="W50" s="20" t="s">
        <v>329</v>
      </c>
      <c r="X50" s="104">
        <v>0</v>
      </c>
      <c r="Y50" s="104">
        <v>0</v>
      </c>
      <c r="Z50" s="104">
        <v>0</v>
      </c>
      <c r="AA50" s="104">
        <v>0</v>
      </c>
      <c r="AB50" s="104">
        <v>0</v>
      </c>
      <c r="AC50" s="104">
        <v>0</v>
      </c>
      <c r="AD50" s="142">
        <v>0</v>
      </c>
      <c r="AE50" s="31">
        <v>70</v>
      </c>
      <c r="AF50" s="70">
        <v>1600010</v>
      </c>
      <c r="AG50" s="105" cm="1">
        <f t="array" ref="AG50">_xlfn.SWITCH(L50,3,1,
           4,1,
           5,1,
           6,1,0)</f>
        <v>1</v>
      </c>
      <c r="AH50" s="145">
        <v>0</v>
      </c>
      <c r="AI50" s="90">
        <v>6004</v>
      </c>
      <c r="AJ50" s="90">
        <v>2009</v>
      </c>
      <c r="AK50" s="27">
        <v>6000</v>
      </c>
      <c r="AL50" s="123">
        <f>_xlfn.XLOOKUP(H50,'#각종 참고'!$B$11:$B$20,'#각종 참고'!$D$11:$D$20)</f>
        <v>0</v>
      </c>
      <c r="AM50" s="27">
        <v>1</v>
      </c>
      <c r="AN50" s="27">
        <v>1</v>
      </c>
      <c r="AO50" s="124">
        <f t="shared" si="0"/>
        <v>1</v>
      </c>
      <c r="AP50" s="27">
        <v>1</v>
      </c>
      <c r="AQ50" s="21">
        <v>11160021</v>
      </c>
      <c r="AR50" s="21" t="s">
        <v>2256</v>
      </c>
      <c r="AS50" s="68"/>
      <c r="AT50" s="68"/>
      <c r="AU50" s="68"/>
    </row>
    <row r="51" spans="1:47" s="68" customFormat="1" x14ac:dyDescent="0.3">
      <c r="A51" s="65"/>
      <c r="B51" s="110">
        <v>12110001</v>
      </c>
      <c r="C51" s="99" t="str">
        <f t="shared" si="1"/>
        <v>2</v>
      </c>
      <c r="D51" s="120">
        <f>COUNTIFS($F$33:F51,F51, $G$33:G51,G51, $C$33:C51,C51, $L$33:L51,L51)</f>
        <v>1</v>
      </c>
      <c r="E51" s="20">
        <v>1</v>
      </c>
      <c r="F51" s="66">
        <v>0</v>
      </c>
      <c r="G51" s="66">
        <v>1</v>
      </c>
      <c r="H51" s="103" t="s">
        <v>959</v>
      </c>
      <c r="I51" s="66" t="s">
        <v>1578</v>
      </c>
      <c r="J51" s="104" t="str">
        <f t="shared" si="2"/>
        <v>Item_Name_12110001</v>
      </c>
      <c r="K51" s="66">
        <v>10102001</v>
      </c>
      <c r="L51" s="106">
        <f t="shared" ref="L51:L114" si="18">L33</f>
        <v>1</v>
      </c>
      <c r="M51" s="105">
        <f>IF(D51=0, 0, _xlfn.XLOOKUP($F51,'#무게관련'!$B:$B,'#무게관련'!$C:$C)*_xlfn.XLOOKUP($L51,'#무게관련'!$F:$F,'#무게관련'!$G:$G)*100)</f>
        <v>14000</v>
      </c>
      <c r="N51" s="20">
        <v>20100</v>
      </c>
      <c r="O51" s="20">
        <v>2</v>
      </c>
      <c r="P51" s="66">
        <v>15</v>
      </c>
      <c r="Q51" s="20">
        <v>1</v>
      </c>
      <c r="R51" s="66">
        <v>100</v>
      </c>
      <c r="S51" s="66">
        <v>1</v>
      </c>
      <c r="T51" s="66" t="s">
        <v>1849</v>
      </c>
      <c r="U51" s="104" t="str">
        <f t="shared" si="5"/>
        <v>item_bg_grade_01</v>
      </c>
      <c r="V51" s="66" t="s">
        <v>318</v>
      </c>
      <c r="W51" s="66" t="s">
        <v>329</v>
      </c>
      <c r="X51" s="104">
        <v>0</v>
      </c>
      <c r="Y51" s="104">
        <v>0</v>
      </c>
      <c r="Z51" s="104">
        <v>0</v>
      </c>
      <c r="AA51" s="104">
        <v>0</v>
      </c>
      <c r="AB51" s="104">
        <v>0</v>
      </c>
      <c r="AC51" s="104">
        <v>0</v>
      </c>
      <c r="AD51" s="142">
        <v>0</v>
      </c>
      <c r="AE51" s="111">
        <f t="shared" ref="AE51:AE114" si="19">AE33</f>
        <v>10</v>
      </c>
      <c r="AF51" s="70">
        <v>2100010</v>
      </c>
      <c r="AG51" s="105" cm="1">
        <f t="array" ref="AG51">_xlfn.SWITCH(L51,3,1,
           4,1,
           5,1,
           6,1,0)</f>
        <v>0</v>
      </c>
      <c r="AH51" s="146">
        <f t="shared" ref="AH51:AH82" si="20">AH33</f>
        <v>80100101</v>
      </c>
      <c r="AI51" s="90">
        <v>0</v>
      </c>
      <c r="AJ51" s="90">
        <v>0</v>
      </c>
      <c r="AK51" s="27">
        <v>0</v>
      </c>
      <c r="AL51" s="123">
        <f>_xlfn.XLOOKUP(H51,'#각종 참고'!$B$11:$B$20,'#각종 참고'!$D$11:$D$20)</f>
        <v>0</v>
      </c>
      <c r="AM51" s="27">
        <v>1</v>
      </c>
      <c r="AN51" s="27">
        <v>1</v>
      </c>
      <c r="AO51" s="124">
        <f t="shared" si="0"/>
        <v>1</v>
      </c>
      <c r="AP51" s="27">
        <v>1</v>
      </c>
      <c r="AQ51" s="21">
        <v>12110001</v>
      </c>
      <c r="AR51" s="68" t="s">
        <v>1578</v>
      </c>
    </row>
    <row r="52" spans="1:47" s="68" customFormat="1" x14ac:dyDescent="0.3">
      <c r="A52" s="65"/>
      <c r="B52" s="110">
        <v>12110002</v>
      </c>
      <c r="C52" s="99" t="str">
        <f t="shared" ref="C52:C53" si="21">IF(K52&gt;0,MID(K52,5, 1), 0)</f>
        <v>2</v>
      </c>
      <c r="D52" s="120">
        <f>COUNTIFS($F$33:F52,F52, $G$33:G52,G52, $C$33:C52,C52, $L$33:L52,L52)</f>
        <v>2</v>
      </c>
      <c r="E52" s="20">
        <v>1</v>
      </c>
      <c r="F52" s="66">
        <v>0</v>
      </c>
      <c r="G52" s="66">
        <v>1</v>
      </c>
      <c r="H52" s="103" t="s">
        <v>959</v>
      </c>
      <c r="I52" s="66" t="s">
        <v>2034</v>
      </c>
      <c r="J52" s="104" t="str">
        <f t="shared" si="2"/>
        <v>Item_Name_12110002</v>
      </c>
      <c r="K52" s="66">
        <v>10102001</v>
      </c>
      <c r="L52" s="106">
        <f t="shared" si="18"/>
        <v>1</v>
      </c>
      <c r="M52" s="105">
        <f>IF(D52=0, 0, _xlfn.XLOOKUP($F52,'#무게관련'!$B:$B,'#무게관련'!$C:$C)*_xlfn.XLOOKUP($L52,'#무게관련'!$F:$F,'#무게관련'!$G:$G)*100)</f>
        <v>14000</v>
      </c>
      <c r="N52" s="20">
        <v>20100</v>
      </c>
      <c r="O52" s="20">
        <v>2</v>
      </c>
      <c r="P52" s="66">
        <v>15</v>
      </c>
      <c r="Q52" s="20">
        <v>1</v>
      </c>
      <c r="R52" s="66">
        <v>100</v>
      </c>
      <c r="S52" s="66">
        <v>1</v>
      </c>
      <c r="T52" s="66" t="s">
        <v>1849</v>
      </c>
      <c r="U52" s="104" t="str">
        <f t="shared" ref="U52:U53" si="22">"item_bg_grade_0"&amp;L52</f>
        <v>item_bg_grade_01</v>
      </c>
      <c r="V52" s="66" t="s">
        <v>318</v>
      </c>
      <c r="W52" s="66" t="s">
        <v>329</v>
      </c>
      <c r="X52" s="104">
        <v>0</v>
      </c>
      <c r="Y52" s="104">
        <v>0</v>
      </c>
      <c r="Z52" s="104">
        <v>0</v>
      </c>
      <c r="AA52" s="104">
        <v>0</v>
      </c>
      <c r="AB52" s="104">
        <v>0</v>
      </c>
      <c r="AC52" s="104">
        <v>0</v>
      </c>
      <c r="AD52" s="142">
        <v>0</v>
      </c>
      <c r="AE52" s="111">
        <f t="shared" si="19"/>
        <v>10</v>
      </c>
      <c r="AF52" s="70">
        <v>2100020</v>
      </c>
      <c r="AG52" s="105" cm="1">
        <f t="array" ref="AG52">_xlfn.SWITCH(L52,3,1,
           4,1,
           5,1,
           6,1,0)</f>
        <v>0</v>
      </c>
      <c r="AH52" s="146">
        <f t="shared" si="20"/>
        <v>80100101</v>
      </c>
      <c r="AI52" s="90">
        <v>0</v>
      </c>
      <c r="AJ52" s="90">
        <v>0</v>
      </c>
      <c r="AK52" s="27">
        <v>0</v>
      </c>
      <c r="AL52" s="123">
        <f>_xlfn.XLOOKUP(H52,'#각종 참고'!$B$11:$B$20,'#각종 참고'!$D$11:$D$20)</f>
        <v>0</v>
      </c>
      <c r="AM52" s="27">
        <v>1</v>
      </c>
      <c r="AN52" s="27">
        <v>1</v>
      </c>
      <c r="AO52" s="124">
        <f t="shared" si="0"/>
        <v>1</v>
      </c>
      <c r="AP52" s="27">
        <v>1</v>
      </c>
      <c r="AQ52" s="21">
        <v>12110011</v>
      </c>
      <c r="AR52" s="68" t="s">
        <v>2257</v>
      </c>
    </row>
    <row r="53" spans="1:47" s="68" customFormat="1" x14ac:dyDescent="0.3">
      <c r="A53" s="65"/>
      <c r="B53" s="110">
        <v>12110003</v>
      </c>
      <c r="C53" s="99" t="str">
        <f t="shared" si="21"/>
        <v>2</v>
      </c>
      <c r="D53" s="120">
        <f>COUNTIFS($F$33:F53,F53, $G$33:G53,G53, $C$33:C53,C53, $L$33:L53,L53)</f>
        <v>3</v>
      </c>
      <c r="E53" s="20">
        <v>1</v>
      </c>
      <c r="F53" s="66">
        <v>0</v>
      </c>
      <c r="G53" s="66">
        <v>1</v>
      </c>
      <c r="H53" s="103" t="s">
        <v>959</v>
      </c>
      <c r="I53" s="66" t="s">
        <v>2033</v>
      </c>
      <c r="J53" s="104" t="str">
        <f t="shared" si="2"/>
        <v>Item_Name_12110003</v>
      </c>
      <c r="K53" s="66">
        <v>10102001</v>
      </c>
      <c r="L53" s="106">
        <f t="shared" si="18"/>
        <v>1</v>
      </c>
      <c r="M53" s="105">
        <f>IF(D53=0, 0, _xlfn.XLOOKUP($F53,'#무게관련'!$B:$B,'#무게관련'!$C:$C)*_xlfn.XLOOKUP($L53,'#무게관련'!$F:$F,'#무게관련'!$G:$G)*100)</f>
        <v>14000</v>
      </c>
      <c r="N53" s="20">
        <v>20100</v>
      </c>
      <c r="O53" s="20">
        <v>2</v>
      </c>
      <c r="P53" s="66">
        <v>15</v>
      </c>
      <c r="Q53" s="20">
        <v>1</v>
      </c>
      <c r="R53" s="66">
        <v>100</v>
      </c>
      <c r="S53" s="66">
        <v>1</v>
      </c>
      <c r="T53" s="66" t="s">
        <v>1849</v>
      </c>
      <c r="U53" s="104" t="str">
        <f t="shared" si="22"/>
        <v>item_bg_grade_01</v>
      </c>
      <c r="V53" s="66" t="s">
        <v>318</v>
      </c>
      <c r="W53" s="66" t="s">
        <v>329</v>
      </c>
      <c r="X53" s="104">
        <v>0</v>
      </c>
      <c r="Y53" s="104">
        <v>0</v>
      </c>
      <c r="Z53" s="104">
        <v>0</v>
      </c>
      <c r="AA53" s="104">
        <v>0</v>
      </c>
      <c r="AB53" s="104">
        <v>0</v>
      </c>
      <c r="AC53" s="104">
        <v>0</v>
      </c>
      <c r="AD53" s="142">
        <v>0</v>
      </c>
      <c r="AE53" s="111">
        <f t="shared" si="19"/>
        <v>10</v>
      </c>
      <c r="AF53" s="70">
        <v>2100030</v>
      </c>
      <c r="AG53" s="105" cm="1">
        <f t="array" ref="AG53">_xlfn.SWITCH(L53,3,1,
           4,1,
           5,1,
           6,1,0)</f>
        <v>0</v>
      </c>
      <c r="AH53" s="146">
        <f t="shared" si="20"/>
        <v>80100101</v>
      </c>
      <c r="AI53" s="90">
        <v>0</v>
      </c>
      <c r="AJ53" s="90">
        <v>0</v>
      </c>
      <c r="AK53" s="27">
        <v>0</v>
      </c>
      <c r="AL53" s="123">
        <f>_xlfn.XLOOKUP(H53,'#각종 참고'!$B$11:$B$20,'#각종 참고'!$D$11:$D$20)</f>
        <v>0</v>
      </c>
      <c r="AM53" s="27">
        <v>1</v>
      </c>
      <c r="AN53" s="27">
        <v>1</v>
      </c>
      <c r="AO53" s="124">
        <f t="shared" si="0"/>
        <v>1</v>
      </c>
      <c r="AP53" s="27">
        <v>1</v>
      </c>
      <c r="AQ53" s="21">
        <v>12110021</v>
      </c>
      <c r="AR53" s="68" t="s">
        <v>2258</v>
      </c>
    </row>
    <row r="54" spans="1:47" s="71" customFormat="1" x14ac:dyDescent="0.3">
      <c r="A54" s="69"/>
      <c r="B54" s="109">
        <v>12120001</v>
      </c>
      <c r="C54" s="99" t="str">
        <f t="shared" si="1"/>
        <v>2</v>
      </c>
      <c r="D54" s="122">
        <f>COUNTIFS($F$33:F54,F54, $G$33:G54,G54, $C$33:C54,C54, $L$33:L54,L54)</f>
        <v>1</v>
      </c>
      <c r="E54" s="20">
        <v>1</v>
      </c>
      <c r="F54" s="70">
        <v>0</v>
      </c>
      <c r="G54" s="70">
        <v>1</v>
      </c>
      <c r="H54" s="103" t="s">
        <v>959</v>
      </c>
      <c r="I54" s="70" t="s">
        <v>1579</v>
      </c>
      <c r="J54" s="104" t="str">
        <f t="shared" si="2"/>
        <v>Item_Name_12120001</v>
      </c>
      <c r="K54" s="70">
        <v>10102001</v>
      </c>
      <c r="L54" s="107">
        <f t="shared" si="18"/>
        <v>2</v>
      </c>
      <c r="M54" s="105">
        <f>IF(D54=0, 0, _xlfn.XLOOKUP($F54,'#무게관련'!$B:$B,'#무게관련'!$C:$C)*_xlfn.XLOOKUP($L54,'#무게관련'!$F:$F,'#무게관련'!$G:$G)*100)</f>
        <v>14000</v>
      </c>
      <c r="N54" s="20">
        <v>20100</v>
      </c>
      <c r="O54" s="20">
        <v>2</v>
      </c>
      <c r="P54" s="70">
        <v>15</v>
      </c>
      <c r="Q54" s="20">
        <v>1</v>
      </c>
      <c r="R54" s="70">
        <v>100</v>
      </c>
      <c r="S54" s="70">
        <v>1</v>
      </c>
      <c r="T54" s="70" t="s">
        <v>1850</v>
      </c>
      <c r="U54" s="104" t="str">
        <f t="shared" si="5"/>
        <v>item_bg_grade_02</v>
      </c>
      <c r="V54" s="70" t="s">
        <v>318</v>
      </c>
      <c r="W54" s="70" t="s">
        <v>329</v>
      </c>
      <c r="X54" s="104">
        <v>0</v>
      </c>
      <c r="Y54" s="104">
        <v>0</v>
      </c>
      <c r="Z54" s="104">
        <v>0</v>
      </c>
      <c r="AA54" s="104">
        <v>0</v>
      </c>
      <c r="AB54" s="104">
        <v>0</v>
      </c>
      <c r="AC54" s="104">
        <v>0</v>
      </c>
      <c r="AD54" s="142">
        <v>0</v>
      </c>
      <c r="AE54" s="112">
        <f t="shared" si="19"/>
        <v>20</v>
      </c>
      <c r="AF54" s="70">
        <v>2200010</v>
      </c>
      <c r="AG54" s="105" cm="1">
        <f t="array" ref="AG54">_xlfn.SWITCH(L54,3,1,
           4,1,
           5,1,
           6,1,0)</f>
        <v>0</v>
      </c>
      <c r="AH54" s="146">
        <f t="shared" si="20"/>
        <v>80100201</v>
      </c>
      <c r="AI54" s="90">
        <v>6000</v>
      </c>
      <c r="AJ54" s="90">
        <v>2001</v>
      </c>
      <c r="AK54" s="27">
        <v>2000</v>
      </c>
      <c r="AL54" s="123">
        <f>_xlfn.XLOOKUP(H54,'#각종 참고'!$B$11:$B$20,'#각종 참고'!$D$11:$D$20)</f>
        <v>0</v>
      </c>
      <c r="AM54" s="27">
        <v>1</v>
      </c>
      <c r="AN54" s="27">
        <v>1</v>
      </c>
      <c r="AO54" s="124">
        <f t="shared" si="0"/>
        <v>1</v>
      </c>
      <c r="AP54" s="27">
        <v>1</v>
      </c>
      <c r="AQ54" s="21">
        <v>12120001</v>
      </c>
      <c r="AR54" s="71" t="s">
        <v>1579</v>
      </c>
      <c r="AS54" s="68"/>
      <c r="AT54" s="68"/>
      <c r="AU54" s="68"/>
    </row>
    <row r="55" spans="1:47" s="71" customFormat="1" x14ac:dyDescent="0.3">
      <c r="A55" s="69"/>
      <c r="B55" s="109">
        <v>12120002</v>
      </c>
      <c r="C55" s="99" t="str">
        <f t="shared" ref="C55:C56" si="23">IF(K55&gt;0,MID(K55,5, 1), 0)</f>
        <v>2</v>
      </c>
      <c r="D55" s="122">
        <f>COUNTIFS($F$33:F55,F55, $G$33:G55,G55, $C$33:C55,C55, $L$33:L55,L55)</f>
        <v>2</v>
      </c>
      <c r="E55" s="20">
        <v>1</v>
      </c>
      <c r="F55" s="70">
        <v>0</v>
      </c>
      <c r="G55" s="70">
        <v>1</v>
      </c>
      <c r="H55" s="103" t="s">
        <v>959</v>
      </c>
      <c r="I55" s="70" t="s">
        <v>2035</v>
      </c>
      <c r="J55" s="104" t="str">
        <f t="shared" si="2"/>
        <v>Item_Name_12120002</v>
      </c>
      <c r="K55" s="70">
        <v>10102001</v>
      </c>
      <c r="L55" s="107">
        <f t="shared" si="18"/>
        <v>2</v>
      </c>
      <c r="M55" s="105">
        <f>IF(D55=0, 0, _xlfn.XLOOKUP($F55,'#무게관련'!$B:$B,'#무게관련'!$C:$C)*_xlfn.XLOOKUP($L55,'#무게관련'!$F:$F,'#무게관련'!$G:$G)*100)</f>
        <v>14000</v>
      </c>
      <c r="N55" s="20">
        <v>20100</v>
      </c>
      <c r="O55" s="20">
        <v>2</v>
      </c>
      <c r="P55" s="70">
        <v>15</v>
      </c>
      <c r="Q55" s="20">
        <v>1</v>
      </c>
      <c r="R55" s="70">
        <v>100</v>
      </c>
      <c r="S55" s="70">
        <v>1</v>
      </c>
      <c r="T55" s="70" t="s">
        <v>1850</v>
      </c>
      <c r="U55" s="104" t="str">
        <f t="shared" ref="U55:U56" si="24">"item_bg_grade_0"&amp;L55</f>
        <v>item_bg_grade_02</v>
      </c>
      <c r="V55" s="70" t="s">
        <v>318</v>
      </c>
      <c r="W55" s="70" t="s">
        <v>329</v>
      </c>
      <c r="X55" s="104">
        <v>0</v>
      </c>
      <c r="Y55" s="104">
        <v>0</v>
      </c>
      <c r="Z55" s="104">
        <v>0</v>
      </c>
      <c r="AA55" s="104">
        <v>0</v>
      </c>
      <c r="AB55" s="104">
        <v>0</v>
      </c>
      <c r="AC55" s="104">
        <v>0</v>
      </c>
      <c r="AD55" s="142">
        <v>0</v>
      </c>
      <c r="AE55" s="112">
        <f t="shared" si="19"/>
        <v>20</v>
      </c>
      <c r="AF55" s="70">
        <v>2200020</v>
      </c>
      <c r="AG55" s="105" cm="1">
        <f t="array" ref="AG55">_xlfn.SWITCH(L55,3,1,
           4,1,
           5,1,
           6,1,0)</f>
        <v>0</v>
      </c>
      <c r="AH55" s="146">
        <f t="shared" si="20"/>
        <v>80100201</v>
      </c>
      <c r="AI55" s="90">
        <v>6000</v>
      </c>
      <c r="AJ55" s="90">
        <v>2001</v>
      </c>
      <c r="AK55" s="27">
        <v>2000</v>
      </c>
      <c r="AL55" s="123">
        <f>_xlfn.XLOOKUP(H55,'#각종 참고'!$B$11:$B$20,'#각종 참고'!$D$11:$D$20)</f>
        <v>0</v>
      </c>
      <c r="AM55" s="27">
        <v>1</v>
      </c>
      <c r="AN55" s="27">
        <v>1</v>
      </c>
      <c r="AO55" s="124">
        <f t="shared" si="0"/>
        <v>1</v>
      </c>
      <c r="AP55" s="27">
        <v>1</v>
      </c>
      <c r="AQ55" s="21">
        <v>12120011</v>
      </c>
      <c r="AR55" s="71" t="s">
        <v>2259</v>
      </c>
      <c r="AS55" s="68"/>
      <c r="AT55" s="68"/>
      <c r="AU55" s="68"/>
    </row>
    <row r="56" spans="1:47" s="71" customFormat="1" x14ac:dyDescent="0.3">
      <c r="A56" s="69"/>
      <c r="B56" s="109">
        <v>12120003</v>
      </c>
      <c r="C56" s="99" t="str">
        <f t="shared" si="23"/>
        <v>2</v>
      </c>
      <c r="D56" s="122">
        <f>COUNTIFS($F$33:F56,F56, $G$33:G56,G56, $C$33:C56,C56, $L$33:L56,L56)</f>
        <v>3</v>
      </c>
      <c r="E56" s="20">
        <v>1</v>
      </c>
      <c r="F56" s="70">
        <v>0</v>
      </c>
      <c r="G56" s="70">
        <v>1</v>
      </c>
      <c r="H56" s="103" t="s">
        <v>959</v>
      </c>
      <c r="I56" s="70" t="s">
        <v>1980</v>
      </c>
      <c r="J56" s="104" t="str">
        <f t="shared" si="2"/>
        <v>Item_Name_12120003</v>
      </c>
      <c r="K56" s="70">
        <v>10102001</v>
      </c>
      <c r="L56" s="107">
        <f t="shared" si="18"/>
        <v>2</v>
      </c>
      <c r="M56" s="105">
        <f>IF(D56=0, 0, _xlfn.XLOOKUP($F56,'#무게관련'!$B:$B,'#무게관련'!$C:$C)*_xlfn.XLOOKUP($L56,'#무게관련'!$F:$F,'#무게관련'!$G:$G)*100)</f>
        <v>14000</v>
      </c>
      <c r="N56" s="20">
        <v>20100</v>
      </c>
      <c r="O56" s="20">
        <v>2</v>
      </c>
      <c r="P56" s="70">
        <v>15</v>
      </c>
      <c r="Q56" s="20">
        <v>1</v>
      </c>
      <c r="R56" s="70">
        <v>100</v>
      </c>
      <c r="S56" s="70">
        <v>1</v>
      </c>
      <c r="T56" s="70" t="s">
        <v>1850</v>
      </c>
      <c r="U56" s="104" t="str">
        <f t="shared" si="24"/>
        <v>item_bg_grade_02</v>
      </c>
      <c r="V56" s="70" t="s">
        <v>318</v>
      </c>
      <c r="W56" s="70" t="s">
        <v>329</v>
      </c>
      <c r="X56" s="104">
        <v>0</v>
      </c>
      <c r="Y56" s="104">
        <v>0</v>
      </c>
      <c r="Z56" s="104">
        <v>0</v>
      </c>
      <c r="AA56" s="104">
        <v>0</v>
      </c>
      <c r="AB56" s="104">
        <v>0</v>
      </c>
      <c r="AC56" s="104">
        <v>0</v>
      </c>
      <c r="AD56" s="142">
        <v>0</v>
      </c>
      <c r="AE56" s="112">
        <f t="shared" si="19"/>
        <v>20</v>
      </c>
      <c r="AF56" s="70">
        <v>2200030</v>
      </c>
      <c r="AG56" s="105" cm="1">
        <f t="array" ref="AG56">_xlfn.SWITCH(L56,3,1,
           4,1,
           5,1,
           6,1,0)</f>
        <v>0</v>
      </c>
      <c r="AH56" s="146">
        <f t="shared" si="20"/>
        <v>80100201</v>
      </c>
      <c r="AI56" s="90">
        <v>6000</v>
      </c>
      <c r="AJ56" s="90">
        <v>2001</v>
      </c>
      <c r="AK56" s="27">
        <v>2000</v>
      </c>
      <c r="AL56" s="123">
        <f>_xlfn.XLOOKUP(H56,'#각종 참고'!$B$11:$B$20,'#각종 참고'!$D$11:$D$20)</f>
        <v>0</v>
      </c>
      <c r="AM56" s="27">
        <v>1</v>
      </c>
      <c r="AN56" s="27">
        <v>1</v>
      </c>
      <c r="AO56" s="124">
        <f t="shared" si="0"/>
        <v>1</v>
      </c>
      <c r="AP56" s="27">
        <v>1</v>
      </c>
      <c r="AQ56" s="21">
        <v>12120021</v>
      </c>
      <c r="AR56" s="71" t="s">
        <v>2260</v>
      </c>
      <c r="AS56" s="68"/>
      <c r="AT56" s="68"/>
      <c r="AU56" s="68"/>
    </row>
    <row r="57" spans="1:47" x14ac:dyDescent="0.3">
      <c r="A57" s="19"/>
      <c r="B57" s="109">
        <v>12130001</v>
      </c>
      <c r="C57" s="99" t="str">
        <f t="shared" si="1"/>
        <v>2</v>
      </c>
      <c r="D57" s="121">
        <f>COUNTIFS($F$33:F57,F57, $G$33:G57,G57, $C$33:C57,C57, $L$33:L57,L57)</f>
        <v>1</v>
      </c>
      <c r="E57" s="20">
        <v>1</v>
      </c>
      <c r="F57" s="20">
        <v>0</v>
      </c>
      <c r="G57" s="20">
        <v>1</v>
      </c>
      <c r="H57" s="103" t="s">
        <v>959</v>
      </c>
      <c r="I57" s="20" t="s">
        <v>1551</v>
      </c>
      <c r="J57" s="104" t="str">
        <f t="shared" si="2"/>
        <v>Item_Name_12130001</v>
      </c>
      <c r="K57" s="20">
        <v>10102001</v>
      </c>
      <c r="L57" s="107">
        <f t="shared" si="18"/>
        <v>3</v>
      </c>
      <c r="M57" s="105">
        <f>IF(D57=0, 0, _xlfn.XLOOKUP($F57,'#무게관련'!$B:$B,'#무게관련'!$C:$C)*_xlfn.XLOOKUP($L57,'#무게관련'!$F:$F,'#무게관련'!$G:$G)*100)</f>
        <v>14000</v>
      </c>
      <c r="N57" s="20">
        <v>20100</v>
      </c>
      <c r="O57" s="20">
        <v>2</v>
      </c>
      <c r="P57" s="20">
        <v>15</v>
      </c>
      <c r="Q57" s="20">
        <v>1</v>
      </c>
      <c r="R57" s="20">
        <v>100</v>
      </c>
      <c r="S57" s="20">
        <v>1</v>
      </c>
      <c r="T57" s="20" t="s">
        <v>1851</v>
      </c>
      <c r="U57" s="104" t="str">
        <f t="shared" si="5"/>
        <v>item_bg_grade_03</v>
      </c>
      <c r="V57" s="20" t="s">
        <v>318</v>
      </c>
      <c r="W57" s="20" t="s">
        <v>329</v>
      </c>
      <c r="X57" s="104">
        <v>0</v>
      </c>
      <c r="Y57" s="104">
        <v>0</v>
      </c>
      <c r="Z57" s="104">
        <v>0</v>
      </c>
      <c r="AA57" s="104">
        <v>0</v>
      </c>
      <c r="AB57" s="104">
        <v>0</v>
      </c>
      <c r="AC57" s="104">
        <v>0</v>
      </c>
      <c r="AD57" s="142">
        <v>0</v>
      </c>
      <c r="AE57" s="112">
        <f t="shared" si="19"/>
        <v>30</v>
      </c>
      <c r="AF57" s="70">
        <v>2300010</v>
      </c>
      <c r="AG57" s="105" cm="1">
        <f t="array" ref="AG57">_xlfn.SWITCH(L57,3,1,
           4,1,
           5,1,
           6,1,0)</f>
        <v>1</v>
      </c>
      <c r="AH57" s="146">
        <f t="shared" si="20"/>
        <v>80100301</v>
      </c>
      <c r="AI57" s="90">
        <v>6001</v>
      </c>
      <c r="AJ57" s="90">
        <v>2003</v>
      </c>
      <c r="AK57" s="27">
        <v>3000</v>
      </c>
      <c r="AL57" s="123">
        <f>_xlfn.XLOOKUP(H57,'#각종 참고'!$B$11:$B$20,'#각종 참고'!$D$11:$D$20)</f>
        <v>0</v>
      </c>
      <c r="AM57" s="27">
        <v>1</v>
      </c>
      <c r="AN57" s="27">
        <v>1</v>
      </c>
      <c r="AO57" s="124">
        <f t="shared" si="0"/>
        <v>1</v>
      </c>
      <c r="AP57" s="27">
        <v>1</v>
      </c>
      <c r="AQ57" s="21">
        <v>12130001</v>
      </c>
      <c r="AR57" s="21" t="s">
        <v>1551</v>
      </c>
      <c r="AS57" s="68"/>
      <c r="AT57" s="68"/>
      <c r="AU57" s="68"/>
    </row>
    <row r="58" spans="1:47" x14ac:dyDescent="0.3">
      <c r="A58" s="19"/>
      <c r="B58" s="109">
        <v>12130002</v>
      </c>
      <c r="C58" s="99" t="str">
        <f t="shared" ref="C58:C59" si="25">IF(K58&gt;0,MID(K58,5, 1), 0)</f>
        <v>2</v>
      </c>
      <c r="D58" s="121">
        <f>COUNTIFS($F$33:F58,F58, $G$33:G58,G58, $C$33:C58,C58, $L$33:L58,L58)</f>
        <v>2</v>
      </c>
      <c r="E58" s="20">
        <v>1</v>
      </c>
      <c r="F58" s="20">
        <v>0</v>
      </c>
      <c r="G58" s="20">
        <v>1</v>
      </c>
      <c r="H58" s="103" t="s">
        <v>959</v>
      </c>
      <c r="I58" s="20" t="s">
        <v>1580</v>
      </c>
      <c r="J58" s="104" t="str">
        <f t="shared" si="2"/>
        <v>Item_Name_12130002</v>
      </c>
      <c r="K58" s="20">
        <v>10102001</v>
      </c>
      <c r="L58" s="107">
        <f t="shared" si="18"/>
        <v>3</v>
      </c>
      <c r="M58" s="105">
        <f>IF(D58=0, 0, _xlfn.XLOOKUP($F58,'#무게관련'!$B:$B,'#무게관련'!$C:$C)*_xlfn.XLOOKUP($L58,'#무게관련'!$F:$F,'#무게관련'!$G:$G)*100)</f>
        <v>14000</v>
      </c>
      <c r="N58" s="20">
        <v>20100</v>
      </c>
      <c r="O58" s="20">
        <v>2</v>
      </c>
      <c r="P58" s="20">
        <v>15</v>
      </c>
      <c r="Q58" s="20">
        <v>1</v>
      </c>
      <c r="R58" s="20">
        <v>100</v>
      </c>
      <c r="S58" s="20">
        <v>1</v>
      </c>
      <c r="T58" s="20" t="s">
        <v>1851</v>
      </c>
      <c r="U58" s="104" t="str">
        <f t="shared" ref="U58:U59" si="26">"item_bg_grade_0"&amp;L58</f>
        <v>item_bg_grade_03</v>
      </c>
      <c r="V58" s="20" t="s">
        <v>318</v>
      </c>
      <c r="W58" s="20" t="s">
        <v>329</v>
      </c>
      <c r="X58" s="104">
        <v>0</v>
      </c>
      <c r="Y58" s="104">
        <v>0</v>
      </c>
      <c r="Z58" s="104">
        <v>0</v>
      </c>
      <c r="AA58" s="104">
        <v>0</v>
      </c>
      <c r="AB58" s="104">
        <v>0</v>
      </c>
      <c r="AC58" s="104">
        <v>0</v>
      </c>
      <c r="AD58" s="142">
        <v>0</v>
      </c>
      <c r="AE58" s="112">
        <f t="shared" si="19"/>
        <v>30</v>
      </c>
      <c r="AF58" s="70">
        <v>2300020</v>
      </c>
      <c r="AG58" s="105" cm="1">
        <f t="array" ref="AG58">_xlfn.SWITCH(L58,3,1,
           4,1,
           5,1,
           6,1,0)</f>
        <v>1</v>
      </c>
      <c r="AH58" s="146">
        <f t="shared" si="20"/>
        <v>80100301</v>
      </c>
      <c r="AI58" s="90">
        <v>6001</v>
      </c>
      <c r="AJ58" s="90">
        <v>2003</v>
      </c>
      <c r="AK58" s="27">
        <v>3000</v>
      </c>
      <c r="AL58" s="123">
        <f>_xlfn.XLOOKUP(H58,'#각종 참고'!$B$11:$B$20,'#각종 참고'!$D$11:$D$20)</f>
        <v>0</v>
      </c>
      <c r="AM58" s="27">
        <v>1</v>
      </c>
      <c r="AN58" s="27">
        <v>1</v>
      </c>
      <c r="AO58" s="124">
        <f t="shared" si="0"/>
        <v>1</v>
      </c>
      <c r="AP58" s="27">
        <v>1</v>
      </c>
      <c r="AQ58" s="21">
        <v>12130011</v>
      </c>
      <c r="AR58" s="21" t="s">
        <v>2261</v>
      </c>
      <c r="AS58" s="68"/>
      <c r="AT58" s="68"/>
      <c r="AU58" s="68"/>
    </row>
    <row r="59" spans="1:47" x14ac:dyDescent="0.3">
      <c r="A59" s="19"/>
      <c r="B59" s="109">
        <v>12130003</v>
      </c>
      <c r="C59" s="99" t="str">
        <f t="shared" si="25"/>
        <v>2</v>
      </c>
      <c r="D59" s="121">
        <f>COUNTIFS($F$33:F59,F59, $G$33:G59,G59, $C$33:C59,C59, $L$33:L59,L59)</f>
        <v>3</v>
      </c>
      <c r="E59" s="20">
        <v>1</v>
      </c>
      <c r="F59" s="20">
        <v>0</v>
      </c>
      <c r="G59" s="20">
        <v>1</v>
      </c>
      <c r="H59" s="103" t="s">
        <v>959</v>
      </c>
      <c r="I59" s="20" t="s">
        <v>2036</v>
      </c>
      <c r="J59" s="104" t="str">
        <f t="shared" si="2"/>
        <v>Item_Name_12130003</v>
      </c>
      <c r="K59" s="20">
        <v>10102001</v>
      </c>
      <c r="L59" s="107">
        <f t="shared" si="18"/>
        <v>3</v>
      </c>
      <c r="M59" s="105">
        <f>IF(D59=0, 0, _xlfn.XLOOKUP($F59,'#무게관련'!$B:$B,'#무게관련'!$C:$C)*_xlfn.XLOOKUP($L59,'#무게관련'!$F:$F,'#무게관련'!$G:$G)*100)</f>
        <v>14000</v>
      </c>
      <c r="N59" s="20">
        <v>20100</v>
      </c>
      <c r="O59" s="20">
        <v>2</v>
      </c>
      <c r="P59" s="20">
        <v>15</v>
      </c>
      <c r="Q59" s="20">
        <v>1</v>
      </c>
      <c r="R59" s="20">
        <v>100</v>
      </c>
      <c r="S59" s="20">
        <v>1</v>
      </c>
      <c r="T59" s="20" t="s">
        <v>1851</v>
      </c>
      <c r="U59" s="104" t="str">
        <f t="shared" si="26"/>
        <v>item_bg_grade_03</v>
      </c>
      <c r="V59" s="20" t="s">
        <v>318</v>
      </c>
      <c r="W59" s="20" t="s">
        <v>329</v>
      </c>
      <c r="X59" s="104">
        <v>0</v>
      </c>
      <c r="Y59" s="104">
        <v>0</v>
      </c>
      <c r="Z59" s="104">
        <v>0</v>
      </c>
      <c r="AA59" s="104">
        <v>0</v>
      </c>
      <c r="AB59" s="104">
        <v>0</v>
      </c>
      <c r="AC59" s="104">
        <v>0</v>
      </c>
      <c r="AD59" s="142">
        <v>0</v>
      </c>
      <c r="AE59" s="112">
        <f t="shared" si="19"/>
        <v>30</v>
      </c>
      <c r="AF59" s="70">
        <v>2300030</v>
      </c>
      <c r="AG59" s="105" cm="1">
        <f t="array" ref="AG59">_xlfn.SWITCH(L59,3,1,
           4,1,
           5,1,
           6,1,0)</f>
        <v>1</v>
      </c>
      <c r="AH59" s="146">
        <f t="shared" si="20"/>
        <v>80100301</v>
      </c>
      <c r="AI59" s="90">
        <v>6001</v>
      </c>
      <c r="AJ59" s="90">
        <v>2003</v>
      </c>
      <c r="AK59" s="27">
        <v>3000</v>
      </c>
      <c r="AL59" s="123">
        <f>_xlfn.XLOOKUP(H59,'#각종 참고'!$B$11:$B$20,'#각종 참고'!$D$11:$D$20)</f>
        <v>0</v>
      </c>
      <c r="AM59" s="27">
        <v>1</v>
      </c>
      <c r="AN59" s="27">
        <v>1</v>
      </c>
      <c r="AO59" s="124">
        <f t="shared" si="0"/>
        <v>1</v>
      </c>
      <c r="AP59" s="27">
        <v>1</v>
      </c>
      <c r="AQ59" s="21">
        <v>12130021</v>
      </c>
      <c r="AR59" s="21" t="s">
        <v>2262</v>
      </c>
      <c r="AS59" s="68"/>
      <c r="AT59" s="68"/>
      <c r="AU59" s="68"/>
    </row>
    <row r="60" spans="1:47" x14ac:dyDescent="0.3">
      <c r="A60" s="19"/>
      <c r="B60" s="109">
        <v>12140001</v>
      </c>
      <c r="C60" s="99" t="str">
        <f t="shared" si="1"/>
        <v>2</v>
      </c>
      <c r="D60" s="121">
        <f>COUNTIFS($F$33:F60,F60, $G$33:G60,G60, $C$33:C60,C60, $L$33:L60,L60)</f>
        <v>1</v>
      </c>
      <c r="E60" s="20">
        <v>1</v>
      </c>
      <c r="F60" s="20">
        <v>0</v>
      </c>
      <c r="G60" s="20">
        <v>1</v>
      </c>
      <c r="H60" s="103" t="s">
        <v>959</v>
      </c>
      <c r="I60" s="20" t="s">
        <v>1552</v>
      </c>
      <c r="J60" s="104" t="str">
        <f t="shared" si="2"/>
        <v>Item_Name_12140001</v>
      </c>
      <c r="K60" s="20">
        <v>10102001</v>
      </c>
      <c r="L60" s="107">
        <f t="shared" si="18"/>
        <v>4</v>
      </c>
      <c r="M60" s="105">
        <f>IF(D60=0, 0, _xlfn.XLOOKUP($F60,'#무게관련'!$B:$B,'#무게관련'!$C:$C)*_xlfn.XLOOKUP($L60,'#무게관련'!$F:$F,'#무게관련'!$G:$G)*100)</f>
        <v>14000</v>
      </c>
      <c r="N60" s="20">
        <v>20100</v>
      </c>
      <c r="O60" s="20">
        <v>2</v>
      </c>
      <c r="P60" s="20">
        <v>15</v>
      </c>
      <c r="Q60" s="20">
        <v>1</v>
      </c>
      <c r="R60" s="20">
        <v>100</v>
      </c>
      <c r="S60" s="20">
        <v>1</v>
      </c>
      <c r="T60" s="20" t="s">
        <v>1852</v>
      </c>
      <c r="U60" s="104" t="str">
        <f t="shared" si="5"/>
        <v>item_bg_grade_04</v>
      </c>
      <c r="V60" s="20" t="s">
        <v>318</v>
      </c>
      <c r="W60" s="20" t="s">
        <v>329</v>
      </c>
      <c r="X60" s="104">
        <v>0</v>
      </c>
      <c r="Y60" s="104">
        <v>0</v>
      </c>
      <c r="Z60" s="104">
        <v>0</v>
      </c>
      <c r="AA60" s="104">
        <v>0</v>
      </c>
      <c r="AB60" s="104">
        <v>0</v>
      </c>
      <c r="AC60" s="104">
        <v>0</v>
      </c>
      <c r="AD60" s="142">
        <v>0</v>
      </c>
      <c r="AE60" s="112">
        <f t="shared" si="19"/>
        <v>40</v>
      </c>
      <c r="AF60" s="70">
        <v>2400010</v>
      </c>
      <c r="AG60" s="105" cm="1">
        <f t="array" ref="AG60">_xlfn.SWITCH(L60,3,1,
           4,1,
           5,1,
           6,1,0)</f>
        <v>1</v>
      </c>
      <c r="AH60" s="146">
        <f t="shared" si="20"/>
        <v>80100401</v>
      </c>
      <c r="AI60" s="90">
        <v>6002</v>
      </c>
      <c r="AJ60" s="90">
        <v>2005</v>
      </c>
      <c r="AK60" s="27">
        <v>4000</v>
      </c>
      <c r="AL60" s="123">
        <f>_xlfn.XLOOKUP(H60,'#각종 참고'!$B$11:$B$20,'#각종 참고'!$D$11:$D$20)</f>
        <v>0</v>
      </c>
      <c r="AM60" s="27">
        <v>1</v>
      </c>
      <c r="AN60" s="27">
        <v>1</v>
      </c>
      <c r="AO60" s="124">
        <f t="shared" ref="AO60:AO99" si="27">IF(AM60=1,AM60,AL60)</f>
        <v>1</v>
      </c>
      <c r="AP60" s="27">
        <v>1</v>
      </c>
      <c r="AQ60" s="21">
        <v>12140001</v>
      </c>
      <c r="AR60" s="21" t="s">
        <v>1552</v>
      </c>
      <c r="AS60" s="68"/>
      <c r="AT60" s="68"/>
      <c r="AU60" s="68"/>
    </row>
    <row r="61" spans="1:47" x14ac:dyDescent="0.3">
      <c r="A61" s="19"/>
      <c r="B61" s="109">
        <v>12140002</v>
      </c>
      <c r="C61" s="99" t="str">
        <f t="shared" ref="C61:C62" si="28">IF(K61&gt;0,MID(K61,5, 1), 0)</f>
        <v>2</v>
      </c>
      <c r="D61" s="121">
        <f>COUNTIFS($F$33:F61,F61, $G$33:G61,G61, $C$33:C61,C61, $L$33:L61,L61)</f>
        <v>2</v>
      </c>
      <c r="E61" s="20">
        <v>1</v>
      </c>
      <c r="F61" s="20">
        <v>0</v>
      </c>
      <c r="G61" s="20">
        <v>1</v>
      </c>
      <c r="H61" s="103" t="s">
        <v>959</v>
      </c>
      <c r="I61" s="20" t="s">
        <v>1581</v>
      </c>
      <c r="J61" s="104" t="str">
        <f t="shared" si="2"/>
        <v>Item_Name_12140002</v>
      </c>
      <c r="K61" s="20">
        <v>10102001</v>
      </c>
      <c r="L61" s="107">
        <f t="shared" si="18"/>
        <v>4</v>
      </c>
      <c r="M61" s="105">
        <f>IF(D61=0, 0, _xlfn.XLOOKUP($F61,'#무게관련'!$B:$B,'#무게관련'!$C:$C)*_xlfn.XLOOKUP($L61,'#무게관련'!$F:$F,'#무게관련'!$G:$G)*100)</f>
        <v>14000</v>
      </c>
      <c r="N61" s="20">
        <v>20100</v>
      </c>
      <c r="O61" s="20">
        <v>2</v>
      </c>
      <c r="P61" s="20">
        <v>15</v>
      </c>
      <c r="Q61" s="20">
        <v>1</v>
      </c>
      <c r="R61" s="20">
        <v>100</v>
      </c>
      <c r="S61" s="20">
        <v>1</v>
      </c>
      <c r="T61" s="20" t="s">
        <v>1852</v>
      </c>
      <c r="U61" s="104" t="str">
        <f t="shared" ref="U61:U62" si="29">"item_bg_grade_0"&amp;L61</f>
        <v>item_bg_grade_04</v>
      </c>
      <c r="V61" s="20" t="s">
        <v>318</v>
      </c>
      <c r="W61" s="20" t="s">
        <v>329</v>
      </c>
      <c r="X61" s="104">
        <v>0</v>
      </c>
      <c r="Y61" s="104">
        <v>0</v>
      </c>
      <c r="Z61" s="104">
        <v>0</v>
      </c>
      <c r="AA61" s="104">
        <v>0</v>
      </c>
      <c r="AB61" s="104">
        <v>0</v>
      </c>
      <c r="AC61" s="104">
        <v>0</v>
      </c>
      <c r="AD61" s="142">
        <v>0</v>
      </c>
      <c r="AE61" s="112">
        <f t="shared" si="19"/>
        <v>40</v>
      </c>
      <c r="AF61" s="70">
        <v>2400020</v>
      </c>
      <c r="AG61" s="105" cm="1">
        <f t="array" ref="AG61">_xlfn.SWITCH(L61,3,1,
           4,1,
           5,1,
           6,1,0)</f>
        <v>1</v>
      </c>
      <c r="AH61" s="146">
        <f t="shared" si="20"/>
        <v>80100401</v>
      </c>
      <c r="AI61" s="90">
        <v>6002</v>
      </c>
      <c r="AJ61" s="90">
        <v>2005</v>
      </c>
      <c r="AK61" s="27">
        <v>4000</v>
      </c>
      <c r="AL61" s="123">
        <f>_xlfn.XLOOKUP(H61,'#각종 참고'!$B$11:$B$20,'#각종 참고'!$D$11:$D$20)</f>
        <v>0</v>
      </c>
      <c r="AM61" s="27">
        <v>1</v>
      </c>
      <c r="AN61" s="27">
        <v>1</v>
      </c>
      <c r="AO61" s="124">
        <f t="shared" si="27"/>
        <v>1</v>
      </c>
      <c r="AP61" s="27">
        <v>1</v>
      </c>
      <c r="AQ61" s="21">
        <v>12140011</v>
      </c>
      <c r="AR61" s="21" t="s">
        <v>2263</v>
      </c>
      <c r="AS61" s="68"/>
      <c r="AT61" s="68"/>
      <c r="AU61" s="68"/>
    </row>
    <row r="62" spans="1:47" x14ac:dyDescent="0.3">
      <c r="A62" s="19"/>
      <c r="B62" s="109">
        <v>12140003</v>
      </c>
      <c r="C62" s="99" t="str">
        <f t="shared" si="28"/>
        <v>2</v>
      </c>
      <c r="D62" s="121">
        <f>COUNTIFS($F$33:F62,F62, $G$33:G62,G62, $C$33:C62,C62, $L$33:L62,L62)</f>
        <v>3</v>
      </c>
      <c r="E62" s="20">
        <v>1</v>
      </c>
      <c r="F62" s="20">
        <v>0</v>
      </c>
      <c r="G62" s="20">
        <v>1</v>
      </c>
      <c r="H62" s="103" t="s">
        <v>959</v>
      </c>
      <c r="I62" s="20" t="s">
        <v>1996</v>
      </c>
      <c r="J62" s="104" t="str">
        <f t="shared" si="2"/>
        <v>Item_Name_12140003</v>
      </c>
      <c r="K62" s="20">
        <v>10102001</v>
      </c>
      <c r="L62" s="107">
        <f t="shared" si="18"/>
        <v>4</v>
      </c>
      <c r="M62" s="105">
        <f>IF(D62=0, 0, _xlfn.XLOOKUP($F62,'#무게관련'!$B:$B,'#무게관련'!$C:$C)*_xlfn.XLOOKUP($L62,'#무게관련'!$F:$F,'#무게관련'!$G:$G)*100)</f>
        <v>14000</v>
      </c>
      <c r="N62" s="20">
        <v>20100</v>
      </c>
      <c r="O62" s="20">
        <v>2</v>
      </c>
      <c r="P62" s="20">
        <v>15</v>
      </c>
      <c r="Q62" s="20">
        <v>1</v>
      </c>
      <c r="R62" s="20">
        <v>100</v>
      </c>
      <c r="S62" s="20">
        <v>1</v>
      </c>
      <c r="T62" s="20" t="s">
        <v>1852</v>
      </c>
      <c r="U62" s="104" t="str">
        <f t="shared" si="29"/>
        <v>item_bg_grade_04</v>
      </c>
      <c r="V62" s="20" t="s">
        <v>318</v>
      </c>
      <c r="W62" s="20" t="s">
        <v>329</v>
      </c>
      <c r="X62" s="104">
        <v>0</v>
      </c>
      <c r="Y62" s="104">
        <v>0</v>
      </c>
      <c r="Z62" s="104">
        <v>0</v>
      </c>
      <c r="AA62" s="104">
        <v>0</v>
      </c>
      <c r="AB62" s="104">
        <v>0</v>
      </c>
      <c r="AC62" s="104">
        <v>0</v>
      </c>
      <c r="AD62" s="142">
        <v>0</v>
      </c>
      <c r="AE62" s="112">
        <f t="shared" si="19"/>
        <v>40</v>
      </c>
      <c r="AF62" s="70">
        <v>2400030</v>
      </c>
      <c r="AG62" s="105" cm="1">
        <f t="array" ref="AG62">_xlfn.SWITCH(L62,3,1,
           4,1,
           5,1,
           6,1,0)</f>
        <v>1</v>
      </c>
      <c r="AH62" s="146">
        <f t="shared" si="20"/>
        <v>80100401</v>
      </c>
      <c r="AI62" s="90">
        <v>6002</v>
      </c>
      <c r="AJ62" s="90">
        <v>2005</v>
      </c>
      <c r="AK62" s="27">
        <v>4000</v>
      </c>
      <c r="AL62" s="123">
        <f>_xlfn.XLOOKUP(H62,'#각종 참고'!$B$11:$B$20,'#각종 참고'!$D$11:$D$20)</f>
        <v>0</v>
      </c>
      <c r="AM62" s="27">
        <v>1</v>
      </c>
      <c r="AN62" s="27">
        <v>1</v>
      </c>
      <c r="AO62" s="124">
        <f t="shared" si="27"/>
        <v>1</v>
      </c>
      <c r="AP62" s="27">
        <v>1</v>
      </c>
      <c r="AQ62" s="21">
        <v>12140021</v>
      </c>
      <c r="AR62" s="21" t="s">
        <v>2264</v>
      </c>
      <c r="AS62" s="68"/>
      <c r="AT62" s="68"/>
      <c r="AU62" s="68"/>
    </row>
    <row r="63" spans="1:47" x14ac:dyDescent="0.3">
      <c r="A63" s="19"/>
      <c r="B63" s="109">
        <v>12150001</v>
      </c>
      <c r="C63" s="99" t="str">
        <f t="shared" ref="C63" si="30">IF(K63&gt;0,MID(K63,5, 1), 0)</f>
        <v>2</v>
      </c>
      <c r="D63" s="121">
        <f>COUNTIFS($F$33:F63,F63, $G$33:G63,G63, $C$33:C63,C63, $L$33:L63,L63)</f>
        <v>1</v>
      </c>
      <c r="E63" s="20">
        <v>1</v>
      </c>
      <c r="F63" s="20">
        <v>0</v>
      </c>
      <c r="G63" s="20">
        <v>1</v>
      </c>
      <c r="H63" s="103" t="s">
        <v>959</v>
      </c>
      <c r="I63" s="20" t="s">
        <v>1582</v>
      </c>
      <c r="J63" s="104" t="str">
        <f t="shared" si="2"/>
        <v>Item_Name_12150001</v>
      </c>
      <c r="K63" s="20">
        <v>10102001</v>
      </c>
      <c r="L63" s="107">
        <f t="shared" si="18"/>
        <v>5</v>
      </c>
      <c r="M63" s="105">
        <f>IF(D63=0, 0, _xlfn.XLOOKUP($F63,'#무게관련'!$B:$B,'#무게관련'!$C:$C)*_xlfn.XLOOKUP($L63,'#무게관련'!$F:$F,'#무게관련'!$G:$G)*100)</f>
        <v>14000</v>
      </c>
      <c r="N63" s="20">
        <v>20100</v>
      </c>
      <c r="O63" s="20">
        <v>2</v>
      </c>
      <c r="P63" s="20">
        <v>15</v>
      </c>
      <c r="Q63" s="20">
        <v>1</v>
      </c>
      <c r="R63" s="20">
        <v>100</v>
      </c>
      <c r="S63" s="20">
        <v>1</v>
      </c>
      <c r="T63" s="20" t="s">
        <v>1853</v>
      </c>
      <c r="U63" s="104" t="str">
        <f t="shared" si="5"/>
        <v>item_bg_grade_05</v>
      </c>
      <c r="V63" s="20" t="s">
        <v>318</v>
      </c>
      <c r="W63" s="20" t="s">
        <v>329</v>
      </c>
      <c r="X63" s="104">
        <v>0</v>
      </c>
      <c r="Y63" s="104">
        <v>0</v>
      </c>
      <c r="Z63" s="104">
        <v>0</v>
      </c>
      <c r="AA63" s="104">
        <v>0</v>
      </c>
      <c r="AB63" s="104">
        <v>0</v>
      </c>
      <c r="AC63" s="104">
        <v>0</v>
      </c>
      <c r="AD63" s="142">
        <v>0</v>
      </c>
      <c r="AE63" s="112">
        <f t="shared" si="19"/>
        <v>50</v>
      </c>
      <c r="AF63" s="70">
        <v>2500010</v>
      </c>
      <c r="AG63" s="105" cm="1">
        <f t="array" ref="AG63">_xlfn.SWITCH(L63,3,1,
           4,1,
           5,1,
           6,1,0)</f>
        <v>1</v>
      </c>
      <c r="AH63" s="146">
        <f t="shared" si="20"/>
        <v>80100501</v>
      </c>
      <c r="AI63" s="90">
        <v>6003</v>
      </c>
      <c r="AJ63" s="90">
        <v>2007</v>
      </c>
      <c r="AK63" s="27">
        <v>5000</v>
      </c>
      <c r="AL63" s="123">
        <f>_xlfn.XLOOKUP(H63,'#각종 참고'!$B$11:$B$20,'#각종 참고'!$D$11:$D$20)</f>
        <v>0</v>
      </c>
      <c r="AM63" s="27">
        <v>1</v>
      </c>
      <c r="AN63" s="27">
        <v>1</v>
      </c>
      <c r="AO63" s="124">
        <f t="shared" si="27"/>
        <v>1</v>
      </c>
      <c r="AP63" s="27">
        <v>1</v>
      </c>
      <c r="AQ63" s="21">
        <v>12150001</v>
      </c>
      <c r="AR63" s="21" t="s">
        <v>1582</v>
      </c>
      <c r="AS63" s="68"/>
      <c r="AT63" s="68"/>
      <c r="AU63" s="68"/>
    </row>
    <row r="64" spans="1:47" x14ac:dyDescent="0.3">
      <c r="A64" s="19"/>
      <c r="B64" s="109">
        <v>12150002</v>
      </c>
      <c r="C64" s="99" t="str">
        <f t="shared" ref="C64:C65" si="31">IF(K64&gt;0,MID(K64,5, 1), 0)</f>
        <v>2</v>
      </c>
      <c r="D64" s="121">
        <f>COUNTIFS($F$33:F64,F64, $G$33:G64,G64, $C$33:C64,C64, $L$33:L64,L64)</f>
        <v>2</v>
      </c>
      <c r="E64" s="20">
        <v>1</v>
      </c>
      <c r="F64" s="20">
        <v>0</v>
      </c>
      <c r="G64" s="20">
        <v>1</v>
      </c>
      <c r="H64" s="103" t="s">
        <v>959</v>
      </c>
      <c r="I64" s="20" t="s">
        <v>2037</v>
      </c>
      <c r="J64" s="104" t="str">
        <f t="shared" si="2"/>
        <v>Item_Name_12150002</v>
      </c>
      <c r="K64" s="20">
        <v>10102001</v>
      </c>
      <c r="L64" s="107">
        <f t="shared" si="18"/>
        <v>5</v>
      </c>
      <c r="M64" s="105">
        <f>IF(D64=0, 0, _xlfn.XLOOKUP($F64,'#무게관련'!$B:$B,'#무게관련'!$C:$C)*_xlfn.XLOOKUP($L64,'#무게관련'!$F:$F,'#무게관련'!$G:$G)*100)</f>
        <v>14000</v>
      </c>
      <c r="N64" s="20">
        <v>20100</v>
      </c>
      <c r="O64" s="20">
        <v>2</v>
      </c>
      <c r="P64" s="20">
        <v>15</v>
      </c>
      <c r="Q64" s="20">
        <v>1</v>
      </c>
      <c r="R64" s="20">
        <v>100</v>
      </c>
      <c r="S64" s="20">
        <v>1</v>
      </c>
      <c r="T64" s="20" t="s">
        <v>1853</v>
      </c>
      <c r="U64" s="104" t="str">
        <f t="shared" ref="U64:U65" si="32">"item_bg_grade_0"&amp;L64</f>
        <v>item_bg_grade_05</v>
      </c>
      <c r="V64" s="20" t="s">
        <v>318</v>
      </c>
      <c r="W64" s="20" t="s">
        <v>329</v>
      </c>
      <c r="X64" s="104">
        <v>0</v>
      </c>
      <c r="Y64" s="104">
        <v>0</v>
      </c>
      <c r="Z64" s="104">
        <v>0</v>
      </c>
      <c r="AA64" s="104">
        <v>0</v>
      </c>
      <c r="AB64" s="104">
        <v>0</v>
      </c>
      <c r="AC64" s="104">
        <v>0</v>
      </c>
      <c r="AD64" s="142">
        <v>0</v>
      </c>
      <c r="AE64" s="112">
        <f t="shared" si="19"/>
        <v>50</v>
      </c>
      <c r="AF64" s="70">
        <v>2500020</v>
      </c>
      <c r="AG64" s="105" cm="1">
        <f t="array" ref="AG64">_xlfn.SWITCH(L64,3,1,
           4,1,
           5,1,
           6,1,0)</f>
        <v>1</v>
      </c>
      <c r="AH64" s="146">
        <f t="shared" si="20"/>
        <v>80100501</v>
      </c>
      <c r="AI64" s="90">
        <v>6003</v>
      </c>
      <c r="AJ64" s="90">
        <v>2007</v>
      </c>
      <c r="AK64" s="27">
        <v>5000</v>
      </c>
      <c r="AL64" s="123">
        <f>_xlfn.XLOOKUP(H64,'#각종 참고'!$B$11:$B$20,'#각종 참고'!$D$11:$D$20)</f>
        <v>0</v>
      </c>
      <c r="AM64" s="27">
        <v>1</v>
      </c>
      <c r="AN64" s="27">
        <v>1</v>
      </c>
      <c r="AO64" s="124">
        <f t="shared" si="27"/>
        <v>1</v>
      </c>
      <c r="AP64" s="27">
        <v>1</v>
      </c>
      <c r="AQ64" s="21">
        <v>12150011</v>
      </c>
      <c r="AR64" s="21" t="s">
        <v>2265</v>
      </c>
      <c r="AS64" s="68"/>
      <c r="AT64" s="68"/>
      <c r="AU64" s="68"/>
    </row>
    <row r="65" spans="1:47" x14ac:dyDescent="0.3">
      <c r="A65" s="19"/>
      <c r="B65" s="109">
        <v>12150003</v>
      </c>
      <c r="C65" s="99" t="str">
        <f t="shared" si="31"/>
        <v>2</v>
      </c>
      <c r="D65" s="121">
        <f>COUNTIFS($F$33:F65,F65, $G$33:G65,G65, $C$33:C65,C65, $L$33:L65,L65)</f>
        <v>3</v>
      </c>
      <c r="E65" s="20">
        <v>1</v>
      </c>
      <c r="F65" s="20">
        <v>0</v>
      </c>
      <c r="G65" s="20">
        <v>1</v>
      </c>
      <c r="H65" s="103" t="s">
        <v>959</v>
      </c>
      <c r="I65" s="20" t="s">
        <v>1583</v>
      </c>
      <c r="J65" s="104" t="str">
        <f t="shared" si="2"/>
        <v>Item_Name_12150003</v>
      </c>
      <c r="K65" s="20">
        <v>10102001</v>
      </c>
      <c r="L65" s="107">
        <f t="shared" si="18"/>
        <v>5</v>
      </c>
      <c r="M65" s="105">
        <f>IF(D65=0, 0, _xlfn.XLOOKUP($F65,'#무게관련'!$B:$B,'#무게관련'!$C:$C)*_xlfn.XLOOKUP($L65,'#무게관련'!$F:$F,'#무게관련'!$G:$G)*100)</f>
        <v>14000</v>
      </c>
      <c r="N65" s="20">
        <v>20100</v>
      </c>
      <c r="O65" s="20">
        <v>2</v>
      </c>
      <c r="P65" s="20">
        <v>15</v>
      </c>
      <c r="Q65" s="20">
        <v>1</v>
      </c>
      <c r="R65" s="20">
        <v>100</v>
      </c>
      <c r="S65" s="20">
        <v>1</v>
      </c>
      <c r="T65" s="20" t="s">
        <v>1853</v>
      </c>
      <c r="U65" s="104" t="str">
        <f t="shared" si="32"/>
        <v>item_bg_grade_05</v>
      </c>
      <c r="V65" s="20" t="s">
        <v>318</v>
      </c>
      <c r="W65" s="20" t="s">
        <v>329</v>
      </c>
      <c r="X65" s="104">
        <v>0</v>
      </c>
      <c r="Y65" s="104">
        <v>0</v>
      </c>
      <c r="Z65" s="104">
        <v>0</v>
      </c>
      <c r="AA65" s="104">
        <v>0</v>
      </c>
      <c r="AB65" s="104">
        <v>0</v>
      </c>
      <c r="AC65" s="104">
        <v>0</v>
      </c>
      <c r="AD65" s="142">
        <v>0</v>
      </c>
      <c r="AE65" s="112">
        <f t="shared" si="19"/>
        <v>50</v>
      </c>
      <c r="AF65" s="70">
        <v>2500030</v>
      </c>
      <c r="AG65" s="105" cm="1">
        <f t="array" ref="AG65">_xlfn.SWITCH(L65,3,1,
           4,1,
           5,1,
           6,1,0)</f>
        <v>1</v>
      </c>
      <c r="AH65" s="146">
        <f t="shared" si="20"/>
        <v>80100501</v>
      </c>
      <c r="AI65" s="90">
        <v>6003</v>
      </c>
      <c r="AJ65" s="90">
        <v>2007</v>
      </c>
      <c r="AK65" s="27">
        <v>5000</v>
      </c>
      <c r="AL65" s="123">
        <f>_xlfn.XLOOKUP(H65,'#각종 참고'!$B$11:$B$20,'#각종 참고'!$D$11:$D$20)</f>
        <v>0</v>
      </c>
      <c r="AM65" s="27">
        <v>1</v>
      </c>
      <c r="AN65" s="27">
        <v>1</v>
      </c>
      <c r="AO65" s="124">
        <f t="shared" si="27"/>
        <v>1</v>
      </c>
      <c r="AP65" s="27">
        <v>1</v>
      </c>
      <c r="AQ65" s="21">
        <v>12150021</v>
      </c>
      <c r="AR65" s="21" t="s">
        <v>2266</v>
      </c>
      <c r="AS65" s="68"/>
      <c r="AT65" s="68"/>
      <c r="AU65" s="68"/>
    </row>
    <row r="66" spans="1:47" x14ac:dyDescent="0.3">
      <c r="A66" s="19"/>
      <c r="B66" s="109">
        <v>12160001</v>
      </c>
      <c r="C66" s="99" t="str">
        <f t="shared" ref="C66" si="33">IF(K66&gt;0,MID(K66,5, 1), 0)</f>
        <v>2</v>
      </c>
      <c r="D66" s="121">
        <f>COUNTIFS($F$33:F66,F66, $G$33:G66,G66, $C$33:C66,C66, $L$33:L66,L66)</f>
        <v>1</v>
      </c>
      <c r="E66" s="20">
        <v>1</v>
      </c>
      <c r="F66" s="20">
        <v>0</v>
      </c>
      <c r="G66" s="20">
        <v>1</v>
      </c>
      <c r="H66" s="103" t="s">
        <v>959</v>
      </c>
      <c r="I66" s="20" t="s">
        <v>1584</v>
      </c>
      <c r="J66" s="104" t="str">
        <f t="shared" si="2"/>
        <v>Item_Name_12160001</v>
      </c>
      <c r="K66" s="20">
        <v>10102001</v>
      </c>
      <c r="L66" s="107">
        <f t="shared" si="18"/>
        <v>6</v>
      </c>
      <c r="M66" s="105">
        <f>IF(D66=0, 0, _xlfn.XLOOKUP($F66,'#무게관련'!$B:$B,'#무게관련'!$C:$C)*_xlfn.XLOOKUP($L66,'#무게관련'!$F:$F,'#무게관련'!$G:$G)*100)</f>
        <v>14000</v>
      </c>
      <c r="N66" s="20">
        <v>20100</v>
      </c>
      <c r="O66" s="20">
        <v>2</v>
      </c>
      <c r="P66" s="20">
        <v>15</v>
      </c>
      <c r="Q66" s="20">
        <v>1</v>
      </c>
      <c r="R66" s="20">
        <v>100</v>
      </c>
      <c r="S66" s="20">
        <v>1</v>
      </c>
      <c r="T66" s="109" t="s">
        <v>1853</v>
      </c>
      <c r="U66" s="104" t="str">
        <f t="shared" si="5"/>
        <v>item_bg_grade_06</v>
      </c>
      <c r="V66" s="20" t="s">
        <v>318</v>
      </c>
      <c r="W66" s="20" t="s">
        <v>329</v>
      </c>
      <c r="X66" s="104">
        <v>0</v>
      </c>
      <c r="Y66" s="104">
        <v>0</v>
      </c>
      <c r="Z66" s="104">
        <v>0</v>
      </c>
      <c r="AA66" s="104">
        <v>0</v>
      </c>
      <c r="AB66" s="104">
        <v>0</v>
      </c>
      <c r="AC66" s="104">
        <v>0</v>
      </c>
      <c r="AD66" s="142">
        <v>0</v>
      </c>
      <c r="AE66" s="112">
        <f t="shared" si="19"/>
        <v>70</v>
      </c>
      <c r="AF66" s="70">
        <v>2600010</v>
      </c>
      <c r="AG66" s="105" cm="1">
        <f t="array" ref="AG66">_xlfn.SWITCH(L66,3,1,
           4,1,
           5,1,
           6,1,0)</f>
        <v>1</v>
      </c>
      <c r="AH66" s="146">
        <f t="shared" si="20"/>
        <v>0</v>
      </c>
      <c r="AI66" s="90">
        <v>6004</v>
      </c>
      <c r="AJ66" s="90">
        <v>2009</v>
      </c>
      <c r="AK66" s="27">
        <v>6000</v>
      </c>
      <c r="AL66" s="123">
        <f>_xlfn.XLOOKUP(H66,'#각종 참고'!$B$11:$B$20,'#각종 참고'!$D$11:$D$20)</f>
        <v>0</v>
      </c>
      <c r="AM66" s="27">
        <v>1</v>
      </c>
      <c r="AN66" s="27">
        <v>1</v>
      </c>
      <c r="AO66" s="124">
        <f t="shared" si="27"/>
        <v>1</v>
      </c>
      <c r="AP66" s="27">
        <v>1</v>
      </c>
      <c r="AQ66" s="21">
        <v>12160001</v>
      </c>
      <c r="AR66" s="21" t="s">
        <v>1584</v>
      </c>
      <c r="AS66" s="68"/>
      <c r="AT66" s="68"/>
      <c r="AU66" s="68"/>
    </row>
    <row r="67" spans="1:47" x14ac:dyDescent="0.3">
      <c r="A67" s="19" t="s">
        <v>513</v>
      </c>
      <c r="B67" s="109">
        <v>12160002</v>
      </c>
      <c r="C67" s="99" t="str">
        <f t="shared" ref="C67:C68" si="34">IF(K67&gt;0,MID(K67,5, 1), 0)</f>
        <v>2</v>
      </c>
      <c r="D67" s="121">
        <f>COUNTIFS($F$33:F67,F67, $G$33:G67,G67, $C$33:C67,C67, $L$33:L67,L67)</f>
        <v>2</v>
      </c>
      <c r="E67" s="20">
        <v>1</v>
      </c>
      <c r="F67" s="20">
        <v>0</v>
      </c>
      <c r="G67" s="20">
        <v>1</v>
      </c>
      <c r="H67" s="103" t="s">
        <v>959</v>
      </c>
      <c r="I67" s="20" t="s">
        <v>2039</v>
      </c>
      <c r="J67" s="104" t="str">
        <f t="shared" si="2"/>
        <v>Item_Name_12160002</v>
      </c>
      <c r="K67" s="20">
        <v>10102001</v>
      </c>
      <c r="L67" s="107">
        <f t="shared" si="18"/>
        <v>6</v>
      </c>
      <c r="M67" s="105">
        <f>IF(D67=0, 0, _xlfn.XLOOKUP($F67,'#무게관련'!$B:$B,'#무게관련'!$C:$C)*_xlfn.XLOOKUP($L67,'#무게관련'!$F:$F,'#무게관련'!$G:$G)*100)</f>
        <v>14000</v>
      </c>
      <c r="N67" s="20">
        <v>20100</v>
      </c>
      <c r="O67" s="20">
        <v>2</v>
      </c>
      <c r="P67" s="20">
        <v>15</v>
      </c>
      <c r="Q67" s="20">
        <v>1</v>
      </c>
      <c r="R67" s="20">
        <v>100</v>
      </c>
      <c r="S67" s="20">
        <v>1</v>
      </c>
      <c r="T67" s="109" t="s">
        <v>1853</v>
      </c>
      <c r="U67" s="104" t="str">
        <f t="shared" ref="U67:U68" si="35">"item_bg_grade_0"&amp;L67</f>
        <v>item_bg_grade_06</v>
      </c>
      <c r="V67" s="20" t="s">
        <v>318</v>
      </c>
      <c r="W67" s="20" t="s">
        <v>329</v>
      </c>
      <c r="X67" s="104">
        <v>0</v>
      </c>
      <c r="Y67" s="104">
        <v>0</v>
      </c>
      <c r="Z67" s="104">
        <v>0</v>
      </c>
      <c r="AA67" s="104">
        <v>0</v>
      </c>
      <c r="AB67" s="104">
        <v>0</v>
      </c>
      <c r="AC67" s="104">
        <v>0</v>
      </c>
      <c r="AD67" s="142">
        <v>0</v>
      </c>
      <c r="AE67" s="112">
        <f t="shared" si="19"/>
        <v>70</v>
      </c>
      <c r="AF67" s="70">
        <v>2600010</v>
      </c>
      <c r="AG67" s="105" cm="1">
        <f t="array" ref="AG67">_xlfn.SWITCH(L67,3,1,
           4,1,
           5,1,
           6,1,0)</f>
        <v>1</v>
      </c>
      <c r="AH67" s="146">
        <f t="shared" si="20"/>
        <v>0</v>
      </c>
      <c r="AI67" s="90">
        <v>6004</v>
      </c>
      <c r="AJ67" s="90">
        <v>2009</v>
      </c>
      <c r="AK67" s="27">
        <v>6000</v>
      </c>
      <c r="AL67" s="123">
        <f>_xlfn.XLOOKUP(H67,'#각종 참고'!$B$11:$B$20,'#각종 참고'!$D$11:$D$20)</f>
        <v>0</v>
      </c>
      <c r="AM67" s="27">
        <v>1</v>
      </c>
      <c r="AN67" s="27">
        <v>1</v>
      </c>
      <c r="AO67" s="124">
        <f t="shared" si="27"/>
        <v>1</v>
      </c>
      <c r="AP67" s="27">
        <v>1</v>
      </c>
      <c r="AQ67" s="21">
        <v>12160011</v>
      </c>
      <c r="AR67" s="21" t="s">
        <v>2267</v>
      </c>
      <c r="AS67" s="68"/>
      <c r="AT67" s="68"/>
      <c r="AU67" s="68"/>
    </row>
    <row r="68" spans="1:47" x14ac:dyDescent="0.3">
      <c r="A68" s="19" t="s">
        <v>513</v>
      </c>
      <c r="B68" s="109">
        <v>12160003</v>
      </c>
      <c r="C68" s="99" t="str">
        <f t="shared" si="34"/>
        <v>2</v>
      </c>
      <c r="D68" s="121">
        <f>COUNTIFS($F$33:F68,F68, $G$33:G68,G68, $C$33:C68,C68, $L$33:L68,L68)</f>
        <v>3</v>
      </c>
      <c r="E68" s="20">
        <v>1</v>
      </c>
      <c r="F68" s="20">
        <v>0</v>
      </c>
      <c r="G68" s="20">
        <v>1</v>
      </c>
      <c r="H68" s="103" t="s">
        <v>959</v>
      </c>
      <c r="I68" s="20" t="s">
        <v>2038</v>
      </c>
      <c r="J68" s="104" t="str">
        <f t="shared" si="2"/>
        <v>Item_Name_12160003</v>
      </c>
      <c r="K68" s="20">
        <v>10102001</v>
      </c>
      <c r="L68" s="107">
        <f t="shared" si="18"/>
        <v>6</v>
      </c>
      <c r="M68" s="105">
        <f>IF(D68=0, 0, _xlfn.XLOOKUP($F68,'#무게관련'!$B:$B,'#무게관련'!$C:$C)*_xlfn.XLOOKUP($L68,'#무게관련'!$F:$F,'#무게관련'!$G:$G)*100)</f>
        <v>14000</v>
      </c>
      <c r="N68" s="20">
        <v>20100</v>
      </c>
      <c r="O68" s="20">
        <v>2</v>
      </c>
      <c r="P68" s="20">
        <v>15</v>
      </c>
      <c r="Q68" s="20">
        <v>1</v>
      </c>
      <c r="R68" s="20">
        <v>100</v>
      </c>
      <c r="S68" s="20">
        <v>1</v>
      </c>
      <c r="T68" s="109" t="s">
        <v>1853</v>
      </c>
      <c r="U68" s="104" t="str">
        <f t="shared" si="35"/>
        <v>item_bg_grade_06</v>
      </c>
      <c r="V68" s="20" t="s">
        <v>318</v>
      </c>
      <c r="W68" s="20" t="s">
        <v>329</v>
      </c>
      <c r="X68" s="104">
        <v>0</v>
      </c>
      <c r="Y68" s="104">
        <v>0</v>
      </c>
      <c r="Z68" s="104">
        <v>0</v>
      </c>
      <c r="AA68" s="104">
        <v>0</v>
      </c>
      <c r="AB68" s="104">
        <v>0</v>
      </c>
      <c r="AC68" s="104">
        <v>0</v>
      </c>
      <c r="AD68" s="142">
        <v>0</v>
      </c>
      <c r="AE68" s="112">
        <f t="shared" si="19"/>
        <v>70</v>
      </c>
      <c r="AF68" s="70">
        <v>2600010</v>
      </c>
      <c r="AG68" s="105" cm="1">
        <f t="array" ref="AG68">_xlfn.SWITCH(L68,3,1,
           4,1,
           5,1,
           6,1,0)</f>
        <v>1</v>
      </c>
      <c r="AH68" s="146">
        <f t="shared" si="20"/>
        <v>0</v>
      </c>
      <c r="AI68" s="90">
        <v>6004</v>
      </c>
      <c r="AJ68" s="90">
        <v>2009</v>
      </c>
      <c r="AK68" s="27">
        <v>6000</v>
      </c>
      <c r="AL68" s="123">
        <f>_xlfn.XLOOKUP(H68,'#각종 참고'!$B$11:$B$20,'#각종 참고'!$D$11:$D$20)</f>
        <v>0</v>
      </c>
      <c r="AM68" s="27">
        <v>1</v>
      </c>
      <c r="AN68" s="27">
        <v>1</v>
      </c>
      <c r="AO68" s="124">
        <f t="shared" si="27"/>
        <v>1</v>
      </c>
      <c r="AP68" s="27">
        <v>1</v>
      </c>
      <c r="AQ68" s="21">
        <v>12160021</v>
      </c>
      <c r="AR68" s="21" t="s">
        <v>2268</v>
      </c>
      <c r="AS68" s="68"/>
      <c r="AT68" s="68"/>
      <c r="AU68" s="68"/>
    </row>
    <row r="69" spans="1:47" s="68" customFormat="1" x14ac:dyDescent="0.3">
      <c r="A69" s="65"/>
      <c r="B69" s="110">
        <v>13110001</v>
      </c>
      <c r="C69" s="99" t="str">
        <f t="shared" si="1"/>
        <v>3</v>
      </c>
      <c r="D69" s="120">
        <f>COUNTIFS($F$33:F69,F69, $G$33:G69,G69, $C$33:C69,C69, $L$33:L69,L69)</f>
        <v>1</v>
      </c>
      <c r="E69" s="20">
        <v>1</v>
      </c>
      <c r="F69" s="66">
        <v>0</v>
      </c>
      <c r="G69" s="66">
        <v>1</v>
      </c>
      <c r="H69" s="103" t="s">
        <v>959</v>
      </c>
      <c r="I69" s="66" t="s">
        <v>1585</v>
      </c>
      <c r="J69" s="104" t="str">
        <f t="shared" si="2"/>
        <v>Item_Name_13110001</v>
      </c>
      <c r="K69" s="66">
        <v>10103001</v>
      </c>
      <c r="L69" s="106">
        <f t="shared" si="18"/>
        <v>1</v>
      </c>
      <c r="M69" s="105">
        <f>IF(D69=0, 0, _xlfn.XLOOKUP($F69,'#무게관련'!$B:$B,'#무게관련'!$C:$C)*_xlfn.XLOOKUP($L69,'#무게관련'!$F:$F,'#무게관련'!$G:$G)*100)</f>
        <v>14000</v>
      </c>
      <c r="N69" s="20">
        <v>20100</v>
      </c>
      <c r="O69" s="20">
        <v>3</v>
      </c>
      <c r="P69" s="66">
        <v>15</v>
      </c>
      <c r="Q69" s="20">
        <v>1</v>
      </c>
      <c r="R69" s="66">
        <v>100</v>
      </c>
      <c r="S69" s="66">
        <v>1</v>
      </c>
      <c r="T69" s="66" t="s">
        <v>1849</v>
      </c>
      <c r="U69" s="104" t="str">
        <f t="shared" si="5"/>
        <v>item_bg_grade_01</v>
      </c>
      <c r="V69" s="66" t="s">
        <v>523</v>
      </c>
      <c r="W69" s="66" t="s">
        <v>329</v>
      </c>
      <c r="X69" s="104">
        <v>0</v>
      </c>
      <c r="Y69" s="104">
        <v>0</v>
      </c>
      <c r="Z69" s="104">
        <v>0</v>
      </c>
      <c r="AA69" s="104">
        <v>0</v>
      </c>
      <c r="AB69" s="104">
        <v>0</v>
      </c>
      <c r="AC69" s="104">
        <v>0</v>
      </c>
      <c r="AD69" s="142">
        <v>0</v>
      </c>
      <c r="AE69" s="111">
        <f t="shared" si="19"/>
        <v>10</v>
      </c>
      <c r="AF69" s="70">
        <v>3100010</v>
      </c>
      <c r="AG69" s="105" cm="1">
        <f t="array" ref="AG69">_xlfn.SWITCH(L69,3,1,
           4,1,
           5,1,
           6,1,0)</f>
        <v>0</v>
      </c>
      <c r="AH69" s="146">
        <f t="shared" si="20"/>
        <v>80100101</v>
      </c>
      <c r="AI69" s="90">
        <v>0</v>
      </c>
      <c r="AJ69" s="90">
        <v>0</v>
      </c>
      <c r="AK69" s="27">
        <v>0</v>
      </c>
      <c r="AL69" s="123">
        <f>_xlfn.XLOOKUP(H69,'#각종 참고'!$B$11:$B$20,'#각종 참고'!$D$11:$D$20)</f>
        <v>0</v>
      </c>
      <c r="AM69" s="27">
        <v>1</v>
      </c>
      <c r="AN69" s="27">
        <v>1</v>
      </c>
      <c r="AO69" s="124">
        <f t="shared" si="27"/>
        <v>1</v>
      </c>
      <c r="AP69" s="27">
        <v>1</v>
      </c>
      <c r="AQ69" s="21">
        <v>13110001</v>
      </c>
      <c r="AR69" s="68" t="s">
        <v>1585</v>
      </c>
    </row>
    <row r="70" spans="1:47" s="68" customFormat="1" x14ac:dyDescent="0.3">
      <c r="A70" s="65"/>
      <c r="B70" s="110">
        <v>13110002</v>
      </c>
      <c r="C70" s="99" t="str">
        <f t="shared" ref="C70:C71" si="36">IF(K70&gt;0,MID(K70,5, 1), 0)</f>
        <v>3</v>
      </c>
      <c r="D70" s="120">
        <f>COUNTIFS($F$33:F70,F70, $G$33:G70,G70, $C$33:C70,C70, $L$33:L70,L70)</f>
        <v>2</v>
      </c>
      <c r="E70" s="20">
        <v>1</v>
      </c>
      <c r="F70" s="66">
        <v>0</v>
      </c>
      <c r="G70" s="66">
        <v>1</v>
      </c>
      <c r="H70" s="103" t="s">
        <v>959</v>
      </c>
      <c r="I70" s="66" t="s">
        <v>2041</v>
      </c>
      <c r="J70" s="104" t="str">
        <f t="shared" si="2"/>
        <v>Item_Name_13110002</v>
      </c>
      <c r="K70" s="66">
        <v>10103001</v>
      </c>
      <c r="L70" s="106">
        <f t="shared" si="18"/>
        <v>1</v>
      </c>
      <c r="M70" s="105">
        <f>IF(D70=0, 0, _xlfn.XLOOKUP($F70,'#무게관련'!$B:$B,'#무게관련'!$C:$C)*_xlfn.XLOOKUP($L70,'#무게관련'!$F:$F,'#무게관련'!$G:$G)*100)</f>
        <v>14000</v>
      </c>
      <c r="N70" s="20">
        <v>20100</v>
      </c>
      <c r="O70" s="20">
        <v>3</v>
      </c>
      <c r="P70" s="66">
        <v>15</v>
      </c>
      <c r="Q70" s="20">
        <v>1</v>
      </c>
      <c r="R70" s="66">
        <v>100</v>
      </c>
      <c r="S70" s="66">
        <v>1</v>
      </c>
      <c r="T70" s="66" t="s">
        <v>1849</v>
      </c>
      <c r="U70" s="104" t="str">
        <f t="shared" ref="U70:U71" si="37">"item_bg_grade_0"&amp;L70</f>
        <v>item_bg_grade_01</v>
      </c>
      <c r="V70" s="66" t="s">
        <v>523</v>
      </c>
      <c r="W70" s="66" t="s">
        <v>329</v>
      </c>
      <c r="X70" s="104">
        <v>0</v>
      </c>
      <c r="Y70" s="104">
        <v>0</v>
      </c>
      <c r="Z70" s="104">
        <v>0</v>
      </c>
      <c r="AA70" s="104">
        <v>0</v>
      </c>
      <c r="AB70" s="104">
        <v>0</v>
      </c>
      <c r="AC70" s="104">
        <v>0</v>
      </c>
      <c r="AD70" s="142">
        <v>0</v>
      </c>
      <c r="AE70" s="111">
        <f t="shared" si="19"/>
        <v>10</v>
      </c>
      <c r="AF70" s="70">
        <v>3100020</v>
      </c>
      <c r="AG70" s="105" cm="1">
        <f t="array" ref="AG70">_xlfn.SWITCH(L70,3,1,
           4,1,
           5,1,
           6,1,0)</f>
        <v>0</v>
      </c>
      <c r="AH70" s="146">
        <f t="shared" si="20"/>
        <v>80100101</v>
      </c>
      <c r="AI70" s="90">
        <v>0</v>
      </c>
      <c r="AJ70" s="90">
        <v>0</v>
      </c>
      <c r="AK70" s="27">
        <v>0</v>
      </c>
      <c r="AL70" s="123">
        <f>_xlfn.XLOOKUP(H70,'#각종 참고'!$B$11:$B$20,'#각종 참고'!$D$11:$D$20)</f>
        <v>0</v>
      </c>
      <c r="AM70" s="27">
        <v>1</v>
      </c>
      <c r="AN70" s="27">
        <v>1</v>
      </c>
      <c r="AO70" s="124">
        <f t="shared" si="27"/>
        <v>1</v>
      </c>
      <c r="AP70" s="27">
        <v>1</v>
      </c>
      <c r="AQ70" s="21">
        <v>13110011</v>
      </c>
      <c r="AR70" s="68" t="s">
        <v>2269</v>
      </c>
    </row>
    <row r="71" spans="1:47" s="68" customFormat="1" x14ac:dyDescent="0.3">
      <c r="A71" s="65"/>
      <c r="B71" s="110">
        <v>13110003</v>
      </c>
      <c r="C71" s="99" t="str">
        <f t="shared" si="36"/>
        <v>3</v>
      </c>
      <c r="D71" s="120">
        <f>COUNTIFS($F$33:F71,F71, $G$33:G71,G71, $C$33:C71,C71, $L$33:L71,L71)</f>
        <v>3</v>
      </c>
      <c r="E71" s="20">
        <v>1</v>
      </c>
      <c r="F71" s="66">
        <v>0</v>
      </c>
      <c r="G71" s="66">
        <v>1</v>
      </c>
      <c r="H71" s="103" t="s">
        <v>959</v>
      </c>
      <c r="I71" s="66" t="s">
        <v>2040</v>
      </c>
      <c r="J71" s="104" t="str">
        <f t="shared" si="2"/>
        <v>Item_Name_13110003</v>
      </c>
      <c r="K71" s="66">
        <v>10103001</v>
      </c>
      <c r="L71" s="106">
        <f t="shared" si="18"/>
        <v>1</v>
      </c>
      <c r="M71" s="105">
        <f>IF(D71=0, 0, _xlfn.XLOOKUP($F71,'#무게관련'!$B:$B,'#무게관련'!$C:$C)*_xlfn.XLOOKUP($L71,'#무게관련'!$F:$F,'#무게관련'!$G:$G)*100)</f>
        <v>14000</v>
      </c>
      <c r="N71" s="20">
        <v>20100</v>
      </c>
      <c r="O71" s="20">
        <v>3</v>
      </c>
      <c r="P71" s="66">
        <v>15</v>
      </c>
      <c r="Q71" s="20">
        <v>1</v>
      </c>
      <c r="R71" s="66">
        <v>100</v>
      </c>
      <c r="S71" s="66">
        <v>1</v>
      </c>
      <c r="T71" s="66" t="s">
        <v>1849</v>
      </c>
      <c r="U71" s="104" t="str">
        <f t="shared" si="37"/>
        <v>item_bg_grade_01</v>
      </c>
      <c r="V71" s="66" t="s">
        <v>523</v>
      </c>
      <c r="W71" s="66" t="s">
        <v>329</v>
      </c>
      <c r="X71" s="104">
        <v>0</v>
      </c>
      <c r="Y71" s="104">
        <v>0</v>
      </c>
      <c r="Z71" s="104">
        <v>0</v>
      </c>
      <c r="AA71" s="104">
        <v>0</v>
      </c>
      <c r="AB71" s="104">
        <v>0</v>
      </c>
      <c r="AC71" s="104">
        <v>0</v>
      </c>
      <c r="AD71" s="142">
        <v>0</v>
      </c>
      <c r="AE71" s="111">
        <f t="shared" si="19"/>
        <v>10</v>
      </c>
      <c r="AF71" s="70">
        <v>3100030</v>
      </c>
      <c r="AG71" s="105" cm="1">
        <f t="array" ref="AG71">_xlfn.SWITCH(L71,3,1,
           4,1,
           5,1,
           6,1,0)</f>
        <v>0</v>
      </c>
      <c r="AH71" s="146">
        <f t="shared" si="20"/>
        <v>80100101</v>
      </c>
      <c r="AI71" s="90">
        <v>0</v>
      </c>
      <c r="AJ71" s="90">
        <v>0</v>
      </c>
      <c r="AK71" s="27">
        <v>0</v>
      </c>
      <c r="AL71" s="123">
        <f>_xlfn.XLOOKUP(H71,'#각종 참고'!$B$11:$B$20,'#각종 참고'!$D$11:$D$20)</f>
        <v>0</v>
      </c>
      <c r="AM71" s="27">
        <v>1</v>
      </c>
      <c r="AN71" s="27">
        <v>1</v>
      </c>
      <c r="AO71" s="124">
        <f t="shared" si="27"/>
        <v>1</v>
      </c>
      <c r="AP71" s="27">
        <v>1</v>
      </c>
      <c r="AQ71" s="21">
        <v>13110021</v>
      </c>
      <c r="AR71" s="68" t="s">
        <v>2270</v>
      </c>
    </row>
    <row r="72" spans="1:47" x14ac:dyDescent="0.3">
      <c r="A72" s="19"/>
      <c r="B72" s="109">
        <v>13120001</v>
      </c>
      <c r="C72" s="99" t="str">
        <f t="shared" si="1"/>
        <v>3</v>
      </c>
      <c r="D72" s="121">
        <f>COUNTIFS($F$33:F72,F72, $G$33:G72,G72, $C$33:C72,C72, $L$33:L72,L72)</f>
        <v>1</v>
      </c>
      <c r="E72" s="20">
        <v>1</v>
      </c>
      <c r="F72" s="20">
        <v>0</v>
      </c>
      <c r="G72" s="20">
        <v>1</v>
      </c>
      <c r="H72" s="103" t="s">
        <v>959</v>
      </c>
      <c r="I72" s="20" t="s">
        <v>1586</v>
      </c>
      <c r="J72" s="104" t="str">
        <f t="shared" si="2"/>
        <v>Item_Name_13120001</v>
      </c>
      <c r="K72" s="20">
        <v>10103001</v>
      </c>
      <c r="L72" s="108">
        <f t="shared" si="18"/>
        <v>2</v>
      </c>
      <c r="M72" s="105">
        <f>IF(D72=0, 0, _xlfn.XLOOKUP($F72,'#무게관련'!$B:$B,'#무게관련'!$C:$C)*_xlfn.XLOOKUP($L72,'#무게관련'!$F:$F,'#무게관련'!$G:$G)*100)</f>
        <v>14000</v>
      </c>
      <c r="N72" s="20">
        <v>20100</v>
      </c>
      <c r="O72" s="20">
        <v>3</v>
      </c>
      <c r="P72" s="20">
        <v>15</v>
      </c>
      <c r="Q72" s="20">
        <v>1</v>
      </c>
      <c r="R72" s="20">
        <v>100</v>
      </c>
      <c r="S72" s="20">
        <v>1</v>
      </c>
      <c r="T72" s="20" t="s">
        <v>1850</v>
      </c>
      <c r="U72" s="104" t="str">
        <f t="shared" si="5"/>
        <v>item_bg_grade_02</v>
      </c>
      <c r="V72" s="20" t="s">
        <v>523</v>
      </c>
      <c r="W72" s="20" t="s">
        <v>329</v>
      </c>
      <c r="X72" s="104">
        <v>0</v>
      </c>
      <c r="Y72" s="104">
        <v>0</v>
      </c>
      <c r="Z72" s="104">
        <v>0</v>
      </c>
      <c r="AA72" s="104">
        <v>0</v>
      </c>
      <c r="AB72" s="104">
        <v>0</v>
      </c>
      <c r="AC72" s="104">
        <v>0</v>
      </c>
      <c r="AD72" s="142">
        <v>0</v>
      </c>
      <c r="AE72" s="112">
        <f t="shared" si="19"/>
        <v>20</v>
      </c>
      <c r="AF72" s="70">
        <v>3200010</v>
      </c>
      <c r="AG72" s="105" cm="1">
        <f t="array" ref="AG72">_xlfn.SWITCH(L72,3,1,
           4,1,
           5,1,
           6,1,0)</f>
        <v>0</v>
      </c>
      <c r="AH72" s="146">
        <f t="shared" si="20"/>
        <v>80100201</v>
      </c>
      <c r="AI72" s="90">
        <v>6000</v>
      </c>
      <c r="AJ72" s="90">
        <v>2002</v>
      </c>
      <c r="AK72" s="27">
        <v>2000</v>
      </c>
      <c r="AL72" s="123">
        <f>_xlfn.XLOOKUP(H72,'#각종 참고'!$B$11:$B$20,'#각종 참고'!$D$11:$D$20)</f>
        <v>0</v>
      </c>
      <c r="AM72" s="27">
        <v>1</v>
      </c>
      <c r="AN72" s="27">
        <v>1</v>
      </c>
      <c r="AO72" s="124">
        <f t="shared" si="27"/>
        <v>1</v>
      </c>
      <c r="AP72" s="27">
        <v>1</v>
      </c>
      <c r="AQ72" s="21">
        <v>13120001</v>
      </c>
      <c r="AR72" s="21" t="s">
        <v>1586</v>
      </c>
      <c r="AS72" s="68"/>
      <c r="AT72" s="68"/>
      <c r="AU72" s="68"/>
    </row>
    <row r="73" spans="1:47" x14ac:dyDescent="0.3">
      <c r="A73" s="19"/>
      <c r="B73" s="109">
        <v>13120002</v>
      </c>
      <c r="C73" s="99" t="str">
        <f t="shared" ref="C73:C74" si="38">IF(K73&gt;0,MID(K73,5, 1), 0)</f>
        <v>3</v>
      </c>
      <c r="D73" s="121">
        <f>COUNTIFS($F$33:F73,F73, $G$33:G73,G73, $C$33:C73,C73, $L$33:L73,L73)</f>
        <v>2</v>
      </c>
      <c r="E73" s="20">
        <v>1</v>
      </c>
      <c r="F73" s="20">
        <v>0</v>
      </c>
      <c r="G73" s="20">
        <v>1</v>
      </c>
      <c r="H73" s="103" t="s">
        <v>959</v>
      </c>
      <c r="I73" s="20" t="s">
        <v>1588</v>
      </c>
      <c r="J73" s="104" t="str">
        <f t="shared" si="2"/>
        <v>Item_Name_13120002</v>
      </c>
      <c r="K73" s="20">
        <v>10103001</v>
      </c>
      <c r="L73" s="108">
        <f t="shared" si="18"/>
        <v>2</v>
      </c>
      <c r="M73" s="105">
        <f>IF(D73=0, 0, _xlfn.XLOOKUP($F73,'#무게관련'!$B:$B,'#무게관련'!$C:$C)*_xlfn.XLOOKUP($L73,'#무게관련'!$F:$F,'#무게관련'!$G:$G)*100)</f>
        <v>14000</v>
      </c>
      <c r="N73" s="20">
        <v>20100</v>
      </c>
      <c r="O73" s="20">
        <v>3</v>
      </c>
      <c r="P73" s="20">
        <v>15</v>
      </c>
      <c r="Q73" s="20">
        <v>1</v>
      </c>
      <c r="R73" s="20">
        <v>100</v>
      </c>
      <c r="S73" s="20">
        <v>1</v>
      </c>
      <c r="T73" s="20" t="s">
        <v>1850</v>
      </c>
      <c r="U73" s="104" t="str">
        <f t="shared" ref="U73:U74" si="39">"item_bg_grade_0"&amp;L73</f>
        <v>item_bg_grade_02</v>
      </c>
      <c r="V73" s="20" t="s">
        <v>523</v>
      </c>
      <c r="W73" s="20" t="s">
        <v>329</v>
      </c>
      <c r="X73" s="104">
        <v>0</v>
      </c>
      <c r="Y73" s="104">
        <v>0</v>
      </c>
      <c r="Z73" s="104">
        <v>0</v>
      </c>
      <c r="AA73" s="104">
        <v>0</v>
      </c>
      <c r="AB73" s="104">
        <v>0</v>
      </c>
      <c r="AC73" s="104">
        <v>0</v>
      </c>
      <c r="AD73" s="142">
        <v>0</v>
      </c>
      <c r="AE73" s="112">
        <f t="shared" si="19"/>
        <v>20</v>
      </c>
      <c r="AF73" s="70">
        <v>3200020</v>
      </c>
      <c r="AG73" s="105" cm="1">
        <f t="array" ref="AG73">_xlfn.SWITCH(L73,3,1,
           4,1,
           5,1,
           6,1,0)</f>
        <v>0</v>
      </c>
      <c r="AH73" s="146">
        <f t="shared" si="20"/>
        <v>80100201</v>
      </c>
      <c r="AI73" s="90">
        <v>6000</v>
      </c>
      <c r="AJ73" s="90">
        <v>2002</v>
      </c>
      <c r="AK73" s="27">
        <v>2000</v>
      </c>
      <c r="AL73" s="123">
        <f>_xlfn.XLOOKUP(H73,'#각종 참고'!$B$11:$B$20,'#각종 참고'!$D$11:$D$20)</f>
        <v>0</v>
      </c>
      <c r="AM73" s="27">
        <v>1</v>
      </c>
      <c r="AN73" s="27">
        <v>1</v>
      </c>
      <c r="AO73" s="124">
        <f t="shared" si="27"/>
        <v>1</v>
      </c>
      <c r="AP73" s="27">
        <v>1</v>
      </c>
      <c r="AQ73" s="21">
        <v>13120011</v>
      </c>
      <c r="AR73" s="21" t="s">
        <v>2271</v>
      </c>
      <c r="AS73" s="68"/>
      <c r="AT73" s="68"/>
      <c r="AU73" s="68"/>
    </row>
    <row r="74" spans="1:47" x14ac:dyDescent="0.3">
      <c r="A74" s="19"/>
      <c r="B74" s="109">
        <v>13120003</v>
      </c>
      <c r="C74" s="99" t="str">
        <f t="shared" si="38"/>
        <v>3</v>
      </c>
      <c r="D74" s="121">
        <f>COUNTIFS($F$33:F74,F74, $G$33:G74,G74, $C$33:C74,C74, $L$33:L74,L74)</f>
        <v>3</v>
      </c>
      <c r="E74" s="20">
        <v>1</v>
      </c>
      <c r="F74" s="20">
        <v>0</v>
      </c>
      <c r="G74" s="20">
        <v>1</v>
      </c>
      <c r="H74" s="103" t="s">
        <v>959</v>
      </c>
      <c r="I74" s="20" t="s">
        <v>2012</v>
      </c>
      <c r="J74" s="104" t="str">
        <f t="shared" si="2"/>
        <v>Item_Name_13120003</v>
      </c>
      <c r="K74" s="20">
        <v>10103001</v>
      </c>
      <c r="L74" s="108">
        <f t="shared" si="18"/>
        <v>2</v>
      </c>
      <c r="M74" s="105">
        <f>IF(D74=0, 0, _xlfn.XLOOKUP($F74,'#무게관련'!$B:$B,'#무게관련'!$C:$C)*_xlfn.XLOOKUP($L74,'#무게관련'!$F:$F,'#무게관련'!$G:$G)*100)</f>
        <v>14000</v>
      </c>
      <c r="N74" s="20">
        <v>20100</v>
      </c>
      <c r="O74" s="20">
        <v>3</v>
      </c>
      <c r="P74" s="20">
        <v>15</v>
      </c>
      <c r="Q74" s="20">
        <v>1</v>
      </c>
      <c r="R74" s="20">
        <v>100</v>
      </c>
      <c r="S74" s="20">
        <v>1</v>
      </c>
      <c r="T74" s="20" t="s">
        <v>1850</v>
      </c>
      <c r="U74" s="104" t="str">
        <f t="shared" si="39"/>
        <v>item_bg_grade_02</v>
      </c>
      <c r="V74" s="20" t="s">
        <v>523</v>
      </c>
      <c r="W74" s="20" t="s">
        <v>329</v>
      </c>
      <c r="X74" s="104">
        <v>0</v>
      </c>
      <c r="Y74" s="104">
        <v>0</v>
      </c>
      <c r="Z74" s="104">
        <v>0</v>
      </c>
      <c r="AA74" s="104">
        <v>0</v>
      </c>
      <c r="AB74" s="104">
        <v>0</v>
      </c>
      <c r="AC74" s="104">
        <v>0</v>
      </c>
      <c r="AD74" s="142">
        <v>0</v>
      </c>
      <c r="AE74" s="112">
        <f t="shared" si="19"/>
        <v>20</v>
      </c>
      <c r="AF74" s="70">
        <v>3200030</v>
      </c>
      <c r="AG74" s="105" cm="1">
        <f t="array" ref="AG74">_xlfn.SWITCH(L74,3,1,
           4,1,
           5,1,
           6,1,0)</f>
        <v>0</v>
      </c>
      <c r="AH74" s="146">
        <f t="shared" si="20"/>
        <v>80100201</v>
      </c>
      <c r="AI74" s="90">
        <v>6000</v>
      </c>
      <c r="AJ74" s="90">
        <v>2002</v>
      </c>
      <c r="AK74" s="27">
        <v>2000</v>
      </c>
      <c r="AL74" s="123">
        <f>_xlfn.XLOOKUP(H74,'#각종 참고'!$B$11:$B$20,'#각종 참고'!$D$11:$D$20)</f>
        <v>0</v>
      </c>
      <c r="AM74" s="27">
        <v>1</v>
      </c>
      <c r="AN74" s="27">
        <v>1</v>
      </c>
      <c r="AO74" s="124">
        <f t="shared" si="27"/>
        <v>1</v>
      </c>
      <c r="AP74" s="27">
        <v>1</v>
      </c>
      <c r="AQ74" s="21">
        <v>13120021</v>
      </c>
      <c r="AR74" s="21" t="s">
        <v>2272</v>
      </c>
      <c r="AS74" s="68"/>
      <c r="AT74" s="68"/>
      <c r="AU74" s="68"/>
    </row>
    <row r="75" spans="1:47" x14ac:dyDescent="0.3">
      <c r="A75" s="19"/>
      <c r="B75" s="109">
        <v>13130001</v>
      </c>
      <c r="C75" s="99" t="str">
        <f t="shared" si="1"/>
        <v>3</v>
      </c>
      <c r="D75" s="121">
        <f>COUNTIFS($F$33:F75,F75, $G$33:G75,G75, $C$33:C75,C75, $L$33:L75,L75)</f>
        <v>1</v>
      </c>
      <c r="E75" s="20">
        <v>1</v>
      </c>
      <c r="F75" s="20">
        <v>0</v>
      </c>
      <c r="G75" s="20">
        <v>1</v>
      </c>
      <c r="H75" s="103" t="s">
        <v>959</v>
      </c>
      <c r="I75" s="20" t="s">
        <v>1587</v>
      </c>
      <c r="J75" s="104" t="str">
        <f t="shared" si="2"/>
        <v>Item_Name_13130001</v>
      </c>
      <c r="K75" s="20">
        <v>10103001</v>
      </c>
      <c r="L75" s="108">
        <f t="shared" si="18"/>
        <v>3</v>
      </c>
      <c r="M75" s="105">
        <f>IF(D75=0, 0, _xlfn.XLOOKUP($F75,'#무게관련'!$B:$B,'#무게관련'!$C:$C)*_xlfn.XLOOKUP($L75,'#무게관련'!$F:$F,'#무게관련'!$G:$G)*100)</f>
        <v>14000</v>
      </c>
      <c r="N75" s="20">
        <v>20100</v>
      </c>
      <c r="O75" s="20">
        <v>3</v>
      </c>
      <c r="P75" s="20">
        <v>15</v>
      </c>
      <c r="Q75" s="20">
        <v>1</v>
      </c>
      <c r="R75" s="20">
        <v>100</v>
      </c>
      <c r="S75" s="20">
        <v>1</v>
      </c>
      <c r="T75" s="20" t="s">
        <v>1851</v>
      </c>
      <c r="U75" s="104" t="str">
        <f t="shared" si="5"/>
        <v>item_bg_grade_03</v>
      </c>
      <c r="V75" s="20" t="s">
        <v>523</v>
      </c>
      <c r="W75" s="20" t="s">
        <v>329</v>
      </c>
      <c r="X75" s="104">
        <v>0</v>
      </c>
      <c r="Y75" s="104">
        <v>0</v>
      </c>
      <c r="Z75" s="104">
        <v>0</v>
      </c>
      <c r="AA75" s="104">
        <v>0</v>
      </c>
      <c r="AB75" s="104">
        <v>0</v>
      </c>
      <c r="AC75" s="104">
        <v>0</v>
      </c>
      <c r="AD75" s="142">
        <v>0</v>
      </c>
      <c r="AE75" s="112">
        <f t="shared" si="19"/>
        <v>30</v>
      </c>
      <c r="AF75" s="70">
        <v>3300010</v>
      </c>
      <c r="AG75" s="105" cm="1">
        <f t="array" ref="AG75">_xlfn.SWITCH(L75,3,1,
           4,1,
           5,1,
           6,1,0)</f>
        <v>1</v>
      </c>
      <c r="AH75" s="146">
        <f t="shared" si="20"/>
        <v>80100301</v>
      </c>
      <c r="AI75" s="90">
        <v>6001</v>
      </c>
      <c r="AJ75" s="90">
        <v>2004</v>
      </c>
      <c r="AK75" s="27">
        <v>3000</v>
      </c>
      <c r="AL75" s="123">
        <f>_xlfn.XLOOKUP(H75,'#각종 참고'!$B$11:$B$20,'#각종 참고'!$D$11:$D$20)</f>
        <v>0</v>
      </c>
      <c r="AM75" s="27">
        <v>1</v>
      </c>
      <c r="AN75" s="27">
        <v>1</v>
      </c>
      <c r="AO75" s="124">
        <f t="shared" si="27"/>
        <v>1</v>
      </c>
      <c r="AP75" s="27">
        <v>1</v>
      </c>
      <c r="AQ75" s="21">
        <v>13130001</v>
      </c>
      <c r="AR75" s="21" t="s">
        <v>1587</v>
      </c>
      <c r="AS75" s="68"/>
      <c r="AT75" s="68"/>
      <c r="AU75" s="68"/>
    </row>
    <row r="76" spans="1:47" x14ac:dyDescent="0.3">
      <c r="A76" s="19"/>
      <c r="B76" s="109">
        <v>13130002</v>
      </c>
      <c r="C76" s="99" t="str">
        <f t="shared" ref="C76:C77" si="40">IF(K76&gt;0,MID(K76,5, 1), 0)</f>
        <v>3</v>
      </c>
      <c r="D76" s="121">
        <f>COUNTIFS($F$33:F76,F76, $G$33:G76,G76, $C$33:C76,C76, $L$33:L76,L76)</f>
        <v>2</v>
      </c>
      <c r="E76" s="20">
        <v>1</v>
      </c>
      <c r="F76" s="20">
        <v>0</v>
      </c>
      <c r="G76" s="20">
        <v>1</v>
      </c>
      <c r="H76" s="103" t="s">
        <v>959</v>
      </c>
      <c r="I76" s="20" t="s">
        <v>1592</v>
      </c>
      <c r="J76" s="104" t="str">
        <f t="shared" si="2"/>
        <v>Item_Name_13130002</v>
      </c>
      <c r="K76" s="20">
        <v>10103001</v>
      </c>
      <c r="L76" s="108">
        <f t="shared" si="18"/>
        <v>3</v>
      </c>
      <c r="M76" s="105">
        <f>IF(D76=0, 0, _xlfn.XLOOKUP($F76,'#무게관련'!$B:$B,'#무게관련'!$C:$C)*_xlfn.XLOOKUP($L76,'#무게관련'!$F:$F,'#무게관련'!$G:$G)*100)</f>
        <v>14000</v>
      </c>
      <c r="N76" s="20">
        <v>20100</v>
      </c>
      <c r="O76" s="20">
        <v>3</v>
      </c>
      <c r="P76" s="20">
        <v>15</v>
      </c>
      <c r="Q76" s="20">
        <v>1</v>
      </c>
      <c r="R76" s="20">
        <v>100</v>
      </c>
      <c r="S76" s="20">
        <v>1</v>
      </c>
      <c r="T76" s="20" t="s">
        <v>1851</v>
      </c>
      <c r="U76" s="104" t="str">
        <f t="shared" ref="U76:U77" si="41">"item_bg_grade_0"&amp;L76</f>
        <v>item_bg_grade_03</v>
      </c>
      <c r="V76" s="20" t="s">
        <v>523</v>
      </c>
      <c r="W76" s="20" t="s">
        <v>329</v>
      </c>
      <c r="X76" s="104">
        <v>0</v>
      </c>
      <c r="Y76" s="104">
        <v>0</v>
      </c>
      <c r="Z76" s="104">
        <v>0</v>
      </c>
      <c r="AA76" s="104">
        <v>0</v>
      </c>
      <c r="AB76" s="104">
        <v>0</v>
      </c>
      <c r="AC76" s="104">
        <v>0</v>
      </c>
      <c r="AD76" s="142">
        <v>0</v>
      </c>
      <c r="AE76" s="112">
        <f t="shared" si="19"/>
        <v>30</v>
      </c>
      <c r="AF76" s="70">
        <v>3300020</v>
      </c>
      <c r="AG76" s="105" cm="1">
        <f t="array" ref="AG76">_xlfn.SWITCH(L76,3,1,
           4,1,
           5,1,
           6,1,0)</f>
        <v>1</v>
      </c>
      <c r="AH76" s="146">
        <f t="shared" si="20"/>
        <v>80100301</v>
      </c>
      <c r="AI76" s="90">
        <v>6001</v>
      </c>
      <c r="AJ76" s="90">
        <v>2004</v>
      </c>
      <c r="AK76" s="27">
        <v>3000</v>
      </c>
      <c r="AL76" s="123">
        <f>_xlfn.XLOOKUP(H76,'#각종 참고'!$B$11:$B$20,'#각종 참고'!$D$11:$D$20)</f>
        <v>0</v>
      </c>
      <c r="AM76" s="27">
        <v>1</v>
      </c>
      <c r="AN76" s="27">
        <v>1</v>
      </c>
      <c r="AO76" s="124">
        <f t="shared" si="27"/>
        <v>1</v>
      </c>
      <c r="AP76" s="27">
        <v>1</v>
      </c>
      <c r="AQ76" s="21">
        <v>13130011</v>
      </c>
      <c r="AR76" s="21" t="s">
        <v>2273</v>
      </c>
      <c r="AS76" s="68"/>
      <c r="AT76" s="68"/>
      <c r="AU76" s="68"/>
    </row>
    <row r="77" spans="1:47" x14ac:dyDescent="0.3">
      <c r="A77" s="19"/>
      <c r="B77" s="109">
        <v>13130003</v>
      </c>
      <c r="C77" s="99" t="str">
        <f t="shared" si="40"/>
        <v>3</v>
      </c>
      <c r="D77" s="121">
        <f>COUNTIFS($F$33:F77,F77, $G$33:G77,G77, $C$33:C77,C77, $L$33:L77,L77)</f>
        <v>3</v>
      </c>
      <c r="E77" s="20">
        <v>1</v>
      </c>
      <c r="F77" s="20">
        <v>0</v>
      </c>
      <c r="G77" s="20">
        <v>1</v>
      </c>
      <c r="H77" s="103" t="s">
        <v>959</v>
      </c>
      <c r="I77" s="20" t="s">
        <v>1590</v>
      </c>
      <c r="J77" s="104" t="str">
        <f t="shared" si="2"/>
        <v>Item_Name_13130003</v>
      </c>
      <c r="K77" s="20">
        <v>10103001</v>
      </c>
      <c r="L77" s="108">
        <f t="shared" si="18"/>
        <v>3</v>
      </c>
      <c r="M77" s="105">
        <f>IF(D77=0, 0, _xlfn.XLOOKUP($F77,'#무게관련'!$B:$B,'#무게관련'!$C:$C)*_xlfn.XLOOKUP($L77,'#무게관련'!$F:$F,'#무게관련'!$G:$G)*100)</f>
        <v>14000</v>
      </c>
      <c r="N77" s="20">
        <v>20100</v>
      </c>
      <c r="O77" s="20">
        <v>3</v>
      </c>
      <c r="P77" s="20">
        <v>15</v>
      </c>
      <c r="Q77" s="20">
        <v>1</v>
      </c>
      <c r="R77" s="20">
        <v>100</v>
      </c>
      <c r="S77" s="20">
        <v>1</v>
      </c>
      <c r="T77" s="20" t="s">
        <v>1851</v>
      </c>
      <c r="U77" s="104" t="str">
        <f t="shared" si="41"/>
        <v>item_bg_grade_03</v>
      </c>
      <c r="V77" s="20" t="s">
        <v>523</v>
      </c>
      <c r="W77" s="20" t="s">
        <v>329</v>
      </c>
      <c r="X77" s="104">
        <v>0</v>
      </c>
      <c r="Y77" s="104">
        <v>0</v>
      </c>
      <c r="Z77" s="104">
        <v>0</v>
      </c>
      <c r="AA77" s="104">
        <v>0</v>
      </c>
      <c r="AB77" s="104">
        <v>0</v>
      </c>
      <c r="AC77" s="104">
        <v>0</v>
      </c>
      <c r="AD77" s="142">
        <v>0</v>
      </c>
      <c r="AE77" s="112">
        <f t="shared" si="19"/>
        <v>30</v>
      </c>
      <c r="AF77" s="70">
        <v>3300030</v>
      </c>
      <c r="AG77" s="105" cm="1">
        <f t="array" ref="AG77">_xlfn.SWITCH(L77,3,1,
           4,1,
           5,1,
           6,1,0)</f>
        <v>1</v>
      </c>
      <c r="AH77" s="146">
        <f t="shared" si="20"/>
        <v>80100301</v>
      </c>
      <c r="AI77" s="90">
        <v>6001</v>
      </c>
      <c r="AJ77" s="90">
        <v>2004</v>
      </c>
      <c r="AK77" s="27">
        <v>3000</v>
      </c>
      <c r="AL77" s="123">
        <f>_xlfn.XLOOKUP(H77,'#각종 참고'!$B$11:$B$20,'#각종 참고'!$D$11:$D$20)</f>
        <v>0</v>
      </c>
      <c r="AM77" s="27">
        <v>1</v>
      </c>
      <c r="AN77" s="27">
        <v>1</v>
      </c>
      <c r="AO77" s="124">
        <f t="shared" si="27"/>
        <v>1</v>
      </c>
      <c r="AP77" s="27">
        <v>1</v>
      </c>
      <c r="AQ77" s="21">
        <v>13130021</v>
      </c>
      <c r="AR77" s="21" t="s">
        <v>2274</v>
      </c>
      <c r="AS77" s="68"/>
      <c r="AT77" s="68"/>
      <c r="AU77" s="68"/>
    </row>
    <row r="78" spans="1:47" x14ac:dyDescent="0.3">
      <c r="A78" s="19"/>
      <c r="B78" s="109">
        <v>13140001</v>
      </c>
      <c r="C78" s="99" t="str">
        <f t="shared" si="1"/>
        <v>3</v>
      </c>
      <c r="D78" s="121">
        <f>COUNTIFS($F$33:F78,F78, $G$33:G78,G78, $C$33:C78,C78, $L$33:L78,L78)</f>
        <v>1</v>
      </c>
      <c r="E78" s="20">
        <v>1</v>
      </c>
      <c r="F78" s="20">
        <v>0</v>
      </c>
      <c r="G78" s="20">
        <v>1</v>
      </c>
      <c r="H78" s="103" t="s">
        <v>959</v>
      </c>
      <c r="I78" s="20" t="s">
        <v>1589</v>
      </c>
      <c r="J78" s="104" t="str">
        <f t="shared" si="2"/>
        <v>Item_Name_13140001</v>
      </c>
      <c r="K78" s="20">
        <v>10103001</v>
      </c>
      <c r="L78" s="108">
        <f t="shared" si="18"/>
        <v>4</v>
      </c>
      <c r="M78" s="105">
        <f>IF(D78=0, 0, _xlfn.XLOOKUP($F78,'#무게관련'!$B:$B,'#무게관련'!$C:$C)*_xlfn.XLOOKUP($L78,'#무게관련'!$F:$F,'#무게관련'!$G:$G)*100)</f>
        <v>14000</v>
      </c>
      <c r="N78" s="20">
        <v>20100</v>
      </c>
      <c r="O78" s="20">
        <v>3</v>
      </c>
      <c r="P78" s="20">
        <v>15</v>
      </c>
      <c r="Q78" s="20">
        <v>1</v>
      </c>
      <c r="R78" s="20">
        <v>100</v>
      </c>
      <c r="S78" s="20">
        <v>1</v>
      </c>
      <c r="T78" s="20" t="s">
        <v>1852</v>
      </c>
      <c r="U78" s="104" t="str">
        <f t="shared" si="5"/>
        <v>item_bg_grade_04</v>
      </c>
      <c r="V78" s="20" t="s">
        <v>523</v>
      </c>
      <c r="W78" s="20" t="s">
        <v>329</v>
      </c>
      <c r="X78" s="104">
        <v>0</v>
      </c>
      <c r="Y78" s="104">
        <v>0</v>
      </c>
      <c r="Z78" s="104">
        <v>0</v>
      </c>
      <c r="AA78" s="104">
        <v>0</v>
      </c>
      <c r="AB78" s="104">
        <v>0</v>
      </c>
      <c r="AC78" s="104">
        <v>0</v>
      </c>
      <c r="AD78" s="142">
        <v>0</v>
      </c>
      <c r="AE78" s="112">
        <f t="shared" si="19"/>
        <v>40</v>
      </c>
      <c r="AF78" s="70">
        <v>3400010</v>
      </c>
      <c r="AG78" s="105" cm="1">
        <f t="array" ref="AG78">_xlfn.SWITCH(L78,3,1,
           4,1,
           5,1,
           6,1,0)</f>
        <v>1</v>
      </c>
      <c r="AH78" s="146">
        <f t="shared" si="20"/>
        <v>80100401</v>
      </c>
      <c r="AI78" s="90">
        <v>6002</v>
      </c>
      <c r="AJ78" s="90">
        <v>2006</v>
      </c>
      <c r="AK78" s="27">
        <v>4000</v>
      </c>
      <c r="AL78" s="123">
        <f>_xlfn.XLOOKUP(H78,'#각종 참고'!$B$11:$B$20,'#각종 참고'!$D$11:$D$20)</f>
        <v>0</v>
      </c>
      <c r="AM78" s="27">
        <v>1</v>
      </c>
      <c r="AN78" s="27">
        <v>1</v>
      </c>
      <c r="AO78" s="124">
        <f t="shared" si="27"/>
        <v>1</v>
      </c>
      <c r="AP78" s="27">
        <v>1</v>
      </c>
      <c r="AQ78" s="21">
        <v>13140001</v>
      </c>
      <c r="AR78" s="21" t="s">
        <v>1589</v>
      </c>
      <c r="AS78" s="68"/>
      <c r="AT78" s="68"/>
      <c r="AU78" s="68"/>
    </row>
    <row r="79" spans="1:47" x14ac:dyDescent="0.3">
      <c r="A79" s="19"/>
      <c r="B79" s="109">
        <v>13140002</v>
      </c>
      <c r="C79" s="99" t="str">
        <f t="shared" ref="C79:C80" si="42">IF(K79&gt;0,MID(K79,5, 1), 0)</f>
        <v>3</v>
      </c>
      <c r="D79" s="121">
        <f>COUNTIFS($F$33:F79,F79, $G$33:G79,G79, $C$33:C79,C79, $L$33:L79,L79)</f>
        <v>2</v>
      </c>
      <c r="E79" s="20">
        <v>1</v>
      </c>
      <c r="F79" s="20">
        <v>0</v>
      </c>
      <c r="G79" s="20">
        <v>1</v>
      </c>
      <c r="H79" s="103" t="s">
        <v>959</v>
      </c>
      <c r="I79" s="20" t="s">
        <v>2042</v>
      </c>
      <c r="J79" s="104" t="str">
        <f t="shared" si="2"/>
        <v>Item_Name_13140002</v>
      </c>
      <c r="K79" s="20">
        <v>10103001</v>
      </c>
      <c r="L79" s="108">
        <f t="shared" si="18"/>
        <v>4</v>
      </c>
      <c r="M79" s="105">
        <f>IF(D79=0, 0, _xlfn.XLOOKUP($F79,'#무게관련'!$B:$B,'#무게관련'!$C:$C)*_xlfn.XLOOKUP($L79,'#무게관련'!$F:$F,'#무게관련'!$G:$G)*100)</f>
        <v>14000</v>
      </c>
      <c r="N79" s="20">
        <v>20100</v>
      </c>
      <c r="O79" s="20">
        <v>3</v>
      </c>
      <c r="P79" s="20">
        <v>15</v>
      </c>
      <c r="Q79" s="20">
        <v>1</v>
      </c>
      <c r="R79" s="20">
        <v>100</v>
      </c>
      <c r="S79" s="20">
        <v>1</v>
      </c>
      <c r="T79" s="20" t="s">
        <v>1852</v>
      </c>
      <c r="U79" s="104" t="str">
        <f t="shared" ref="U79:U80" si="43">"item_bg_grade_0"&amp;L79</f>
        <v>item_bg_grade_04</v>
      </c>
      <c r="V79" s="20" t="s">
        <v>523</v>
      </c>
      <c r="W79" s="20" t="s">
        <v>329</v>
      </c>
      <c r="X79" s="104">
        <v>0</v>
      </c>
      <c r="Y79" s="104">
        <v>0</v>
      </c>
      <c r="Z79" s="104">
        <v>0</v>
      </c>
      <c r="AA79" s="104">
        <v>0</v>
      </c>
      <c r="AB79" s="104">
        <v>0</v>
      </c>
      <c r="AC79" s="104">
        <v>0</v>
      </c>
      <c r="AD79" s="142">
        <v>0</v>
      </c>
      <c r="AE79" s="112">
        <f t="shared" si="19"/>
        <v>40</v>
      </c>
      <c r="AF79" s="70">
        <v>3400020</v>
      </c>
      <c r="AG79" s="105" cm="1">
        <f t="array" ref="AG79">_xlfn.SWITCH(L79,3,1,
           4,1,
           5,1,
           6,1,0)</f>
        <v>1</v>
      </c>
      <c r="AH79" s="146">
        <f t="shared" si="20"/>
        <v>80100401</v>
      </c>
      <c r="AI79" s="90">
        <v>6002</v>
      </c>
      <c r="AJ79" s="90">
        <v>2006</v>
      </c>
      <c r="AK79" s="27">
        <v>4000</v>
      </c>
      <c r="AL79" s="123">
        <f>_xlfn.XLOOKUP(H79,'#각종 참고'!$B$11:$B$20,'#각종 참고'!$D$11:$D$20)</f>
        <v>0</v>
      </c>
      <c r="AM79" s="27">
        <v>1</v>
      </c>
      <c r="AN79" s="27">
        <v>1</v>
      </c>
      <c r="AO79" s="124">
        <f t="shared" si="27"/>
        <v>1</v>
      </c>
      <c r="AP79" s="27">
        <v>1</v>
      </c>
      <c r="AQ79" s="21">
        <v>13140011</v>
      </c>
      <c r="AR79" s="21" t="s">
        <v>2275</v>
      </c>
      <c r="AS79" s="68"/>
      <c r="AT79" s="68"/>
      <c r="AU79" s="68"/>
    </row>
    <row r="80" spans="1:47" x14ac:dyDescent="0.3">
      <c r="A80" s="19"/>
      <c r="B80" s="109">
        <v>13140003</v>
      </c>
      <c r="C80" s="99" t="str">
        <f t="shared" si="42"/>
        <v>3</v>
      </c>
      <c r="D80" s="121">
        <f>COUNTIFS($F$33:F80,F80, $G$33:G80,G80, $C$33:C80,C80, $L$33:L80,L80)</f>
        <v>3</v>
      </c>
      <c r="E80" s="20">
        <v>1</v>
      </c>
      <c r="F80" s="20">
        <v>0</v>
      </c>
      <c r="G80" s="20">
        <v>1</v>
      </c>
      <c r="H80" s="103" t="s">
        <v>959</v>
      </c>
      <c r="I80" s="20" t="s">
        <v>1988</v>
      </c>
      <c r="J80" s="104" t="str">
        <f t="shared" si="2"/>
        <v>Item_Name_13140003</v>
      </c>
      <c r="K80" s="20">
        <v>10103001</v>
      </c>
      <c r="L80" s="108">
        <f t="shared" si="18"/>
        <v>4</v>
      </c>
      <c r="M80" s="105">
        <f>IF(D80=0, 0, _xlfn.XLOOKUP($F80,'#무게관련'!$B:$B,'#무게관련'!$C:$C)*_xlfn.XLOOKUP($L80,'#무게관련'!$F:$F,'#무게관련'!$G:$G)*100)</f>
        <v>14000</v>
      </c>
      <c r="N80" s="20">
        <v>20100</v>
      </c>
      <c r="O80" s="20">
        <v>3</v>
      </c>
      <c r="P80" s="20">
        <v>15</v>
      </c>
      <c r="Q80" s="20">
        <v>1</v>
      </c>
      <c r="R80" s="20">
        <v>100</v>
      </c>
      <c r="S80" s="20">
        <v>1</v>
      </c>
      <c r="T80" s="20" t="s">
        <v>1852</v>
      </c>
      <c r="U80" s="104" t="str">
        <f t="shared" si="43"/>
        <v>item_bg_grade_04</v>
      </c>
      <c r="V80" s="20" t="s">
        <v>523</v>
      </c>
      <c r="W80" s="20" t="s">
        <v>329</v>
      </c>
      <c r="X80" s="104">
        <v>0</v>
      </c>
      <c r="Y80" s="104">
        <v>0</v>
      </c>
      <c r="Z80" s="104">
        <v>0</v>
      </c>
      <c r="AA80" s="104">
        <v>0</v>
      </c>
      <c r="AB80" s="104">
        <v>0</v>
      </c>
      <c r="AC80" s="104">
        <v>0</v>
      </c>
      <c r="AD80" s="142">
        <v>0</v>
      </c>
      <c r="AE80" s="112">
        <f t="shared" si="19"/>
        <v>40</v>
      </c>
      <c r="AF80" s="70">
        <v>3400030</v>
      </c>
      <c r="AG80" s="105" cm="1">
        <f t="array" ref="AG80">_xlfn.SWITCH(L80,3,1,
           4,1,
           5,1,
           6,1,0)</f>
        <v>1</v>
      </c>
      <c r="AH80" s="146">
        <f t="shared" si="20"/>
        <v>80100401</v>
      </c>
      <c r="AI80" s="90">
        <v>6002</v>
      </c>
      <c r="AJ80" s="90">
        <v>2006</v>
      </c>
      <c r="AK80" s="27">
        <v>4000</v>
      </c>
      <c r="AL80" s="123">
        <f>_xlfn.XLOOKUP(H80,'#각종 참고'!$B$11:$B$20,'#각종 참고'!$D$11:$D$20)</f>
        <v>0</v>
      </c>
      <c r="AM80" s="27">
        <v>1</v>
      </c>
      <c r="AN80" s="27">
        <v>1</v>
      </c>
      <c r="AO80" s="124">
        <f t="shared" si="27"/>
        <v>1</v>
      </c>
      <c r="AP80" s="27">
        <v>1</v>
      </c>
      <c r="AQ80" s="21">
        <v>13140021</v>
      </c>
      <c r="AR80" s="21" t="s">
        <v>2276</v>
      </c>
      <c r="AS80" s="68"/>
      <c r="AT80" s="68"/>
      <c r="AU80" s="68"/>
    </row>
    <row r="81" spans="1:47" x14ac:dyDescent="0.3">
      <c r="A81" s="19"/>
      <c r="B81" s="109">
        <v>13150001</v>
      </c>
      <c r="C81" s="99" t="str">
        <f t="shared" ref="C81" si="44">IF(K81&gt;0,MID(K81,5, 1), 0)</f>
        <v>3</v>
      </c>
      <c r="D81" s="121">
        <f>COUNTIFS($F$33:F81,F81, $G$33:G81,G81, $C$33:C81,C81, $L$33:L81,L81)</f>
        <v>1</v>
      </c>
      <c r="E81" s="20">
        <v>1</v>
      </c>
      <c r="F81" s="20">
        <v>0</v>
      </c>
      <c r="G81" s="20">
        <v>1</v>
      </c>
      <c r="H81" s="103" t="s">
        <v>959</v>
      </c>
      <c r="I81" s="20" t="s">
        <v>1591</v>
      </c>
      <c r="J81" s="104" t="str">
        <f t="shared" si="2"/>
        <v>Item_Name_13150001</v>
      </c>
      <c r="K81" s="20">
        <v>10103001</v>
      </c>
      <c r="L81" s="108">
        <f t="shared" si="18"/>
        <v>5</v>
      </c>
      <c r="M81" s="105">
        <f>IF(D81=0, 0, _xlfn.XLOOKUP($F81,'#무게관련'!$B:$B,'#무게관련'!$C:$C)*_xlfn.XLOOKUP($L81,'#무게관련'!$F:$F,'#무게관련'!$G:$G)*100)</f>
        <v>14000</v>
      </c>
      <c r="N81" s="20">
        <v>20100</v>
      </c>
      <c r="O81" s="20">
        <v>3</v>
      </c>
      <c r="P81" s="20">
        <v>15</v>
      </c>
      <c r="Q81" s="20">
        <v>1</v>
      </c>
      <c r="R81" s="20">
        <v>100</v>
      </c>
      <c r="S81" s="20">
        <v>1</v>
      </c>
      <c r="T81" s="20" t="s">
        <v>1853</v>
      </c>
      <c r="U81" s="104" t="str">
        <f t="shared" si="5"/>
        <v>item_bg_grade_05</v>
      </c>
      <c r="V81" s="20" t="s">
        <v>523</v>
      </c>
      <c r="W81" s="20" t="s">
        <v>329</v>
      </c>
      <c r="X81" s="104">
        <v>0</v>
      </c>
      <c r="Y81" s="104">
        <v>0</v>
      </c>
      <c r="Z81" s="104">
        <v>0</v>
      </c>
      <c r="AA81" s="104">
        <v>0</v>
      </c>
      <c r="AB81" s="104">
        <v>0</v>
      </c>
      <c r="AC81" s="104">
        <v>0</v>
      </c>
      <c r="AD81" s="142">
        <v>0</v>
      </c>
      <c r="AE81" s="112">
        <f t="shared" si="19"/>
        <v>50</v>
      </c>
      <c r="AF81" s="70">
        <v>3500010</v>
      </c>
      <c r="AG81" s="105" cm="1">
        <f t="array" ref="AG81">_xlfn.SWITCH(L81,3,1,
           4,1,
           5,1,
           6,1,0)</f>
        <v>1</v>
      </c>
      <c r="AH81" s="146">
        <f t="shared" si="20"/>
        <v>80100501</v>
      </c>
      <c r="AI81" s="90">
        <v>6003</v>
      </c>
      <c r="AJ81" s="90">
        <v>2008</v>
      </c>
      <c r="AK81" s="27">
        <v>5000</v>
      </c>
      <c r="AL81" s="123">
        <f>_xlfn.XLOOKUP(H81,'#각종 참고'!$B$11:$B$20,'#각종 참고'!$D$11:$D$20)</f>
        <v>0</v>
      </c>
      <c r="AM81" s="27">
        <v>1</v>
      </c>
      <c r="AN81" s="27">
        <v>1</v>
      </c>
      <c r="AO81" s="124">
        <f t="shared" si="27"/>
        <v>1</v>
      </c>
      <c r="AP81" s="27">
        <v>1</v>
      </c>
      <c r="AQ81" s="21">
        <v>13150001</v>
      </c>
      <c r="AR81" s="21" t="s">
        <v>1591</v>
      </c>
      <c r="AS81" s="68"/>
      <c r="AT81" s="68"/>
      <c r="AU81" s="68"/>
    </row>
    <row r="82" spans="1:47" x14ac:dyDescent="0.3">
      <c r="A82" s="19"/>
      <c r="B82" s="109">
        <v>13150002</v>
      </c>
      <c r="C82" s="99" t="str">
        <f t="shared" ref="C82:C83" si="45">IF(K82&gt;0,MID(K82,5, 1), 0)</f>
        <v>3</v>
      </c>
      <c r="D82" s="121">
        <f>COUNTIFS($F$33:F82,F82, $G$33:G82,G82, $C$33:C82,C82, $L$33:L82,L82)</f>
        <v>2</v>
      </c>
      <c r="E82" s="20">
        <v>1</v>
      </c>
      <c r="F82" s="20">
        <v>0</v>
      </c>
      <c r="G82" s="20">
        <v>1</v>
      </c>
      <c r="H82" s="103" t="s">
        <v>959</v>
      </c>
      <c r="I82" s="20" t="s">
        <v>2043</v>
      </c>
      <c r="J82" s="104" t="str">
        <f t="shared" si="2"/>
        <v>Item_Name_13150002</v>
      </c>
      <c r="K82" s="20">
        <v>10103001</v>
      </c>
      <c r="L82" s="108">
        <f t="shared" si="18"/>
        <v>5</v>
      </c>
      <c r="M82" s="105">
        <f>IF(D82=0, 0, _xlfn.XLOOKUP($F82,'#무게관련'!$B:$B,'#무게관련'!$C:$C)*_xlfn.XLOOKUP($L82,'#무게관련'!$F:$F,'#무게관련'!$G:$G)*100)</f>
        <v>14000</v>
      </c>
      <c r="N82" s="20">
        <v>20100</v>
      </c>
      <c r="O82" s="20">
        <v>3</v>
      </c>
      <c r="P82" s="20">
        <v>15</v>
      </c>
      <c r="Q82" s="20">
        <v>1</v>
      </c>
      <c r="R82" s="20">
        <v>100</v>
      </c>
      <c r="S82" s="20">
        <v>1</v>
      </c>
      <c r="T82" s="20" t="s">
        <v>1853</v>
      </c>
      <c r="U82" s="104" t="str">
        <f t="shared" ref="U82:U83" si="46">"item_bg_grade_0"&amp;L82</f>
        <v>item_bg_grade_05</v>
      </c>
      <c r="V82" s="20" t="s">
        <v>523</v>
      </c>
      <c r="W82" s="20" t="s">
        <v>329</v>
      </c>
      <c r="X82" s="104">
        <v>0</v>
      </c>
      <c r="Y82" s="104">
        <v>0</v>
      </c>
      <c r="Z82" s="104">
        <v>0</v>
      </c>
      <c r="AA82" s="104">
        <v>0</v>
      </c>
      <c r="AB82" s="104">
        <v>0</v>
      </c>
      <c r="AC82" s="104">
        <v>0</v>
      </c>
      <c r="AD82" s="142">
        <v>0</v>
      </c>
      <c r="AE82" s="112">
        <f t="shared" si="19"/>
        <v>50</v>
      </c>
      <c r="AF82" s="70">
        <v>3500020</v>
      </c>
      <c r="AG82" s="105" cm="1">
        <f t="array" ref="AG82">_xlfn.SWITCH(L82,3,1,
           4,1,
           5,1,
           6,1,0)</f>
        <v>1</v>
      </c>
      <c r="AH82" s="146">
        <f t="shared" si="20"/>
        <v>80100501</v>
      </c>
      <c r="AI82" s="90">
        <v>6003</v>
      </c>
      <c r="AJ82" s="90">
        <v>2008</v>
      </c>
      <c r="AK82" s="27">
        <v>5000</v>
      </c>
      <c r="AL82" s="123">
        <f>_xlfn.XLOOKUP(H82,'#각종 참고'!$B$11:$B$20,'#각종 참고'!$D$11:$D$20)</f>
        <v>0</v>
      </c>
      <c r="AM82" s="27">
        <v>1</v>
      </c>
      <c r="AN82" s="27">
        <v>1</v>
      </c>
      <c r="AO82" s="124">
        <f t="shared" si="27"/>
        <v>1</v>
      </c>
      <c r="AP82" s="27">
        <v>1</v>
      </c>
      <c r="AQ82" s="21">
        <v>13150011</v>
      </c>
      <c r="AR82" s="21" t="s">
        <v>2277</v>
      </c>
      <c r="AS82" s="68"/>
      <c r="AT82" s="68"/>
      <c r="AU82" s="68"/>
    </row>
    <row r="83" spans="1:47" x14ac:dyDescent="0.3">
      <c r="A83" s="19"/>
      <c r="B83" s="109">
        <v>13150003</v>
      </c>
      <c r="C83" s="99" t="str">
        <f t="shared" si="45"/>
        <v>3</v>
      </c>
      <c r="D83" s="121">
        <f>COUNTIFS($F$33:F83,F83, $G$33:G83,G83, $C$33:C83,C83, $L$33:L83,L83)</f>
        <v>3</v>
      </c>
      <c r="E83" s="20">
        <v>1</v>
      </c>
      <c r="F83" s="20">
        <v>0</v>
      </c>
      <c r="G83" s="20">
        <v>1</v>
      </c>
      <c r="H83" s="103" t="s">
        <v>959</v>
      </c>
      <c r="I83" s="20" t="s">
        <v>1956</v>
      </c>
      <c r="J83" s="104" t="str">
        <f t="shared" si="2"/>
        <v>Item_Name_13150003</v>
      </c>
      <c r="K83" s="20">
        <v>10103001</v>
      </c>
      <c r="L83" s="108">
        <f t="shared" si="18"/>
        <v>5</v>
      </c>
      <c r="M83" s="105">
        <f>IF(D83=0, 0, _xlfn.XLOOKUP($F83,'#무게관련'!$B:$B,'#무게관련'!$C:$C)*_xlfn.XLOOKUP($L83,'#무게관련'!$F:$F,'#무게관련'!$G:$G)*100)</f>
        <v>14000</v>
      </c>
      <c r="N83" s="20">
        <v>20100</v>
      </c>
      <c r="O83" s="20">
        <v>3</v>
      </c>
      <c r="P83" s="20">
        <v>15</v>
      </c>
      <c r="Q83" s="20">
        <v>1</v>
      </c>
      <c r="R83" s="20">
        <v>100</v>
      </c>
      <c r="S83" s="20">
        <v>1</v>
      </c>
      <c r="T83" s="20" t="s">
        <v>1853</v>
      </c>
      <c r="U83" s="104" t="str">
        <f t="shared" si="46"/>
        <v>item_bg_grade_05</v>
      </c>
      <c r="V83" s="20" t="s">
        <v>523</v>
      </c>
      <c r="W83" s="20" t="s">
        <v>329</v>
      </c>
      <c r="X83" s="104">
        <v>0</v>
      </c>
      <c r="Y83" s="104">
        <v>0</v>
      </c>
      <c r="Z83" s="104">
        <v>0</v>
      </c>
      <c r="AA83" s="104">
        <v>0</v>
      </c>
      <c r="AB83" s="104">
        <v>0</v>
      </c>
      <c r="AC83" s="104">
        <v>0</v>
      </c>
      <c r="AD83" s="142">
        <v>0</v>
      </c>
      <c r="AE83" s="112">
        <f t="shared" si="19"/>
        <v>50</v>
      </c>
      <c r="AF83" s="70">
        <v>3500030</v>
      </c>
      <c r="AG83" s="105" cm="1">
        <f t="array" ref="AG83">_xlfn.SWITCH(L83,3,1,
           4,1,
           5,1,
           6,1,0)</f>
        <v>1</v>
      </c>
      <c r="AH83" s="146">
        <f t="shared" ref="AH83:AH114" si="47">AH65</f>
        <v>80100501</v>
      </c>
      <c r="AI83" s="90">
        <v>6003</v>
      </c>
      <c r="AJ83" s="90">
        <v>2008</v>
      </c>
      <c r="AK83" s="27">
        <v>5000</v>
      </c>
      <c r="AL83" s="123">
        <f>_xlfn.XLOOKUP(H83,'#각종 참고'!$B$11:$B$20,'#각종 참고'!$D$11:$D$20)</f>
        <v>0</v>
      </c>
      <c r="AM83" s="27">
        <v>1</v>
      </c>
      <c r="AN83" s="27">
        <v>1</v>
      </c>
      <c r="AO83" s="124">
        <f t="shared" si="27"/>
        <v>1</v>
      </c>
      <c r="AP83" s="27">
        <v>1</v>
      </c>
      <c r="AQ83" s="21">
        <v>13150021</v>
      </c>
      <c r="AR83" s="21" t="s">
        <v>2278</v>
      </c>
      <c r="AS83" s="68"/>
      <c r="AT83" s="68"/>
      <c r="AU83" s="68"/>
    </row>
    <row r="84" spans="1:47" x14ac:dyDescent="0.3">
      <c r="A84" s="19"/>
      <c r="B84" s="109">
        <v>13160001</v>
      </c>
      <c r="C84" s="99" t="str">
        <f t="shared" ref="C84" si="48">IF(K84&gt;0,MID(K84,5, 1), 0)</f>
        <v>3</v>
      </c>
      <c r="D84" s="121">
        <f>COUNTIFS($F$33:F84,F84, $G$33:G84,G84, $C$33:C84,C84, $L$33:L84,L84)</f>
        <v>1</v>
      </c>
      <c r="E84" s="20">
        <v>1</v>
      </c>
      <c r="F84" s="20">
        <v>0</v>
      </c>
      <c r="G84" s="20">
        <v>1</v>
      </c>
      <c r="H84" s="103" t="s">
        <v>959</v>
      </c>
      <c r="I84" s="20" t="s">
        <v>1593</v>
      </c>
      <c r="J84" s="104" t="str">
        <f t="shared" si="2"/>
        <v>Item_Name_13160001</v>
      </c>
      <c r="K84" s="20">
        <v>10103001</v>
      </c>
      <c r="L84" s="108">
        <f t="shared" si="18"/>
        <v>6</v>
      </c>
      <c r="M84" s="105">
        <f>IF(D84=0, 0, _xlfn.XLOOKUP($F84,'#무게관련'!$B:$B,'#무게관련'!$C:$C)*_xlfn.XLOOKUP($L84,'#무게관련'!$F:$F,'#무게관련'!$G:$G)*100)</f>
        <v>14000</v>
      </c>
      <c r="N84" s="20">
        <v>20100</v>
      </c>
      <c r="O84" s="20">
        <v>3</v>
      </c>
      <c r="P84" s="20">
        <v>15</v>
      </c>
      <c r="Q84" s="20">
        <v>1</v>
      </c>
      <c r="R84" s="20">
        <v>100</v>
      </c>
      <c r="S84" s="20">
        <v>1</v>
      </c>
      <c r="T84" s="109" t="s">
        <v>1853</v>
      </c>
      <c r="U84" s="104" t="str">
        <f t="shared" si="5"/>
        <v>item_bg_grade_06</v>
      </c>
      <c r="V84" s="20" t="s">
        <v>523</v>
      </c>
      <c r="W84" s="20" t="s">
        <v>329</v>
      </c>
      <c r="X84" s="104">
        <v>0</v>
      </c>
      <c r="Y84" s="104">
        <v>0</v>
      </c>
      <c r="Z84" s="104">
        <v>0</v>
      </c>
      <c r="AA84" s="104">
        <v>0</v>
      </c>
      <c r="AB84" s="104">
        <v>0</v>
      </c>
      <c r="AC84" s="104">
        <v>0</v>
      </c>
      <c r="AD84" s="142">
        <v>0</v>
      </c>
      <c r="AE84" s="112">
        <f t="shared" si="19"/>
        <v>70</v>
      </c>
      <c r="AF84" s="70">
        <v>3600010</v>
      </c>
      <c r="AG84" s="105" cm="1">
        <f t="array" ref="AG84">_xlfn.SWITCH(L84,3,1,
           4,1,
           5,1,
           6,1,0)</f>
        <v>1</v>
      </c>
      <c r="AH84" s="146">
        <f t="shared" si="47"/>
        <v>0</v>
      </c>
      <c r="AI84" s="90">
        <v>6004</v>
      </c>
      <c r="AJ84" s="90">
        <v>2010</v>
      </c>
      <c r="AK84" s="27">
        <v>6000</v>
      </c>
      <c r="AL84" s="123">
        <f>_xlfn.XLOOKUP(H84,'#각종 참고'!$B$11:$B$20,'#각종 참고'!$D$11:$D$20)</f>
        <v>0</v>
      </c>
      <c r="AM84" s="27">
        <v>1</v>
      </c>
      <c r="AN84" s="27">
        <v>1</v>
      </c>
      <c r="AO84" s="124">
        <f t="shared" si="27"/>
        <v>1</v>
      </c>
      <c r="AP84" s="27">
        <v>1</v>
      </c>
      <c r="AQ84" s="21">
        <v>13160001</v>
      </c>
      <c r="AR84" s="21" t="s">
        <v>1593</v>
      </c>
      <c r="AS84" s="68"/>
      <c r="AT84" s="68"/>
      <c r="AU84" s="68"/>
    </row>
    <row r="85" spans="1:47" x14ac:dyDescent="0.3">
      <c r="A85" s="19" t="s">
        <v>513</v>
      </c>
      <c r="B85" s="109">
        <v>13160002</v>
      </c>
      <c r="C85" s="99" t="str">
        <f t="shared" ref="C85:C86" si="49">IF(K85&gt;0,MID(K85,5, 1), 0)</f>
        <v>3</v>
      </c>
      <c r="D85" s="121">
        <f>COUNTIFS($F$33:F85,F85, $G$33:G85,G85, $C$33:C85,C85, $L$33:L85,L85)</f>
        <v>2</v>
      </c>
      <c r="E85" s="20">
        <v>1</v>
      </c>
      <c r="F85" s="20">
        <v>0</v>
      </c>
      <c r="G85" s="20">
        <v>1</v>
      </c>
      <c r="H85" s="103" t="s">
        <v>959</v>
      </c>
      <c r="I85" s="20" t="s">
        <v>2045</v>
      </c>
      <c r="J85" s="104" t="str">
        <f t="shared" si="2"/>
        <v>Item_Name_13160002</v>
      </c>
      <c r="K85" s="20">
        <v>10103001</v>
      </c>
      <c r="L85" s="108">
        <f t="shared" si="18"/>
        <v>6</v>
      </c>
      <c r="M85" s="105">
        <f>IF(D85=0, 0, _xlfn.XLOOKUP($F85,'#무게관련'!$B:$B,'#무게관련'!$C:$C)*_xlfn.XLOOKUP($L85,'#무게관련'!$F:$F,'#무게관련'!$G:$G)*100)</f>
        <v>14000</v>
      </c>
      <c r="N85" s="20">
        <v>20100</v>
      </c>
      <c r="O85" s="20">
        <v>3</v>
      </c>
      <c r="P85" s="20">
        <v>15</v>
      </c>
      <c r="Q85" s="20">
        <v>1</v>
      </c>
      <c r="R85" s="20">
        <v>100</v>
      </c>
      <c r="S85" s="20">
        <v>1</v>
      </c>
      <c r="T85" s="109" t="s">
        <v>1853</v>
      </c>
      <c r="U85" s="104" t="str">
        <f t="shared" ref="U85:U86" si="50">"item_bg_grade_0"&amp;L85</f>
        <v>item_bg_grade_06</v>
      </c>
      <c r="V85" s="20" t="s">
        <v>523</v>
      </c>
      <c r="W85" s="20" t="s">
        <v>329</v>
      </c>
      <c r="X85" s="104">
        <v>0</v>
      </c>
      <c r="Y85" s="104">
        <v>0</v>
      </c>
      <c r="Z85" s="104">
        <v>0</v>
      </c>
      <c r="AA85" s="104">
        <v>0</v>
      </c>
      <c r="AB85" s="104">
        <v>0</v>
      </c>
      <c r="AC85" s="104">
        <v>0</v>
      </c>
      <c r="AD85" s="142">
        <v>0</v>
      </c>
      <c r="AE85" s="112">
        <f t="shared" si="19"/>
        <v>70</v>
      </c>
      <c r="AF85" s="70">
        <v>3600010</v>
      </c>
      <c r="AG85" s="105" cm="1">
        <f t="array" ref="AG85">_xlfn.SWITCH(L85,3,1,
           4,1,
           5,1,
           6,1,0)</f>
        <v>1</v>
      </c>
      <c r="AH85" s="146">
        <f t="shared" si="47"/>
        <v>0</v>
      </c>
      <c r="AI85" s="90">
        <v>6004</v>
      </c>
      <c r="AJ85" s="90">
        <v>2010</v>
      </c>
      <c r="AK85" s="27">
        <v>6000</v>
      </c>
      <c r="AL85" s="123">
        <f>_xlfn.XLOOKUP(H85,'#각종 참고'!$B$11:$B$20,'#각종 참고'!$D$11:$D$20)</f>
        <v>0</v>
      </c>
      <c r="AM85" s="27">
        <v>1</v>
      </c>
      <c r="AN85" s="27">
        <v>1</v>
      </c>
      <c r="AO85" s="124">
        <f t="shared" si="27"/>
        <v>1</v>
      </c>
      <c r="AP85" s="27">
        <v>1</v>
      </c>
      <c r="AQ85" s="21">
        <v>13160011</v>
      </c>
      <c r="AR85" s="21" t="s">
        <v>2279</v>
      </c>
      <c r="AS85" s="68"/>
      <c r="AT85" s="68"/>
      <c r="AU85" s="68"/>
    </row>
    <row r="86" spans="1:47" x14ac:dyDescent="0.3">
      <c r="A86" s="19" t="s">
        <v>513</v>
      </c>
      <c r="B86" s="109">
        <v>13160003</v>
      </c>
      <c r="C86" s="99" t="str">
        <f t="shared" si="49"/>
        <v>3</v>
      </c>
      <c r="D86" s="121">
        <f>COUNTIFS($F$33:F86,F86, $G$33:G86,G86, $C$33:C86,C86, $L$33:L86,L86)</f>
        <v>3</v>
      </c>
      <c r="E86" s="20">
        <v>1</v>
      </c>
      <c r="F86" s="20">
        <v>0</v>
      </c>
      <c r="G86" s="20">
        <v>1</v>
      </c>
      <c r="H86" s="103" t="s">
        <v>959</v>
      </c>
      <c r="I86" s="20" t="s">
        <v>2044</v>
      </c>
      <c r="J86" s="104" t="str">
        <f t="shared" si="2"/>
        <v>Item_Name_13160003</v>
      </c>
      <c r="K86" s="20">
        <v>10103001</v>
      </c>
      <c r="L86" s="108">
        <f t="shared" si="18"/>
        <v>6</v>
      </c>
      <c r="M86" s="105">
        <f>IF(D86=0, 0, _xlfn.XLOOKUP($F86,'#무게관련'!$B:$B,'#무게관련'!$C:$C)*_xlfn.XLOOKUP($L86,'#무게관련'!$F:$F,'#무게관련'!$G:$G)*100)</f>
        <v>14000</v>
      </c>
      <c r="N86" s="20">
        <v>20100</v>
      </c>
      <c r="O86" s="20">
        <v>3</v>
      </c>
      <c r="P86" s="20">
        <v>15</v>
      </c>
      <c r="Q86" s="20">
        <v>1</v>
      </c>
      <c r="R86" s="20">
        <v>100</v>
      </c>
      <c r="S86" s="20">
        <v>1</v>
      </c>
      <c r="T86" s="109" t="s">
        <v>1853</v>
      </c>
      <c r="U86" s="104" t="str">
        <f t="shared" si="50"/>
        <v>item_bg_grade_06</v>
      </c>
      <c r="V86" s="20" t="s">
        <v>523</v>
      </c>
      <c r="W86" s="20" t="s">
        <v>329</v>
      </c>
      <c r="X86" s="104">
        <v>0</v>
      </c>
      <c r="Y86" s="104">
        <v>0</v>
      </c>
      <c r="Z86" s="104">
        <v>0</v>
      </c>
      <c r="AA86" s="104">
        <v>0</v>
      </c>
      <c r="AB86" s="104">
        <v>0</v>
      </c>
      <c r="AC86" s="104">
        <v>0</v>
      </c>
      <c r="AD86" s="142">
        <v>0</v>
      </c>
      <c r="AE86" s="112">
        <f t="shared" si="19"/>
        <v>70</v>
      </c>
      <c r="AF86" s="70">
        <v>3600010</v>
      </c>
      <c r="AG86" s="105" cm="1">
        <f t="array" ref="AG86">_xlfn.SWITCH(L86,3,1,
           4,1,
           5,1,
           6,1,0)</f>
        <v>1</v>
      </c>
      <c r="AH86" s="146">
        <f t="shared" si="47"/>
        <v>0</v>
      </c>
      <c r="AI86" s="90">
        <v>6004</v>
      </c>
      <c r="AJ86" s="90">
        <v>2010</v>
      </c>
      <c r="AK86" s="27">
        <v>6000</v>
      </c>
      <c r="AL86" s="123">
        <f>_xlfn.XLOOKUP(H86,'#각종 참고'!$B$11:$B$20,'#각종 참고'!$D$11:$D$20)</f>
        <v>0</v>
      </c>
      <c r="AM86" s="27">
        <v>1</v>
      </c>
      <c r="AN86" s="27">
        <v>1</v>
      </c>
      <c r="AO86" s="124">
        <f t="shared" si="27"/>
        <v>1</v>
      </c>
      <c r="AP86" s="27">
        <v>1</v>
      </c>
      <c r="AQ86" s="21">
        <v>13160021</v>
      </c>
      <c r="AR86" s="21" t="s">
        <v>2280</v>
      </c>
      <c r="AS86" s="68"/>
      <c r="AT86" s="68"/>
      <c r="AU86" s="68"/>
    </row>
    <row r="87" spans="1:47" s="68" customFormat="1" x14ac:dyDescent="0.3">
      <c r="A87" s="65"/>
      <c r="B87" s="110">
        <v>14110001</v>
      </c>
      <c r="C87" s="99" t="str">
        <f t="shared" si="1"/>
        <v>4</v>
      </c>
      <c r="D87" s="120">
        <f>COUNTIFS($F$33:F87,F87, $G$33:G87,G87, $C$33:C87,C87, $L$33:L87,L87)</f>
        <v>1</v>
      </c>
      <c r="E87" s="20">
        <v>1</v>
      </c>
      <c r="F87" s="66">
        <v>0</v>
      </c>
      <c r="G87" s="66">
        <v>1</v>
      </c>
      <c r="H87" s="103" t="s">
        <v>959</v>
      </c>
      <c r="I87" s="66" t="s">
        <v>1594</v>
      </c>
      <c r="J87" s="104" t="str">
        <f t="shared" si="2"/>
        <v>Item_Name_14110001</v>
      </c>
      <c r="K87" s="66">
        <v>10104001</v>
      </c>
      <c r="L87" s="106">
        <f t="shared" si="18"/>
        <v>1</v>
      </c>
      <c r="M87" s="105">
        <f>IF(D87=0, 0, _xlfn.XLOOKUP($F87,'#무게관련'!$B:$B,'#무게관련'!$C:$C)*_xlfn.XLOOKUP($L87,'#무게관련'!$F:$F,'#무게관련'!$G:$G)*100)</f>
        <v>14000</v>
      </c>
      <c r="N87" s="20">
        <v>20100</v>
      </c>
      <c r="O87" s="20">
        <v>4</v>
      </c>
      <c r="P87" s="66">
        <v>15</v>
      </c>
      <c r="Q87" s="20">
        <v>1</v>
      </c>
      <c r="R87" s="66">
        <v>100</v>
      </c>
      <c r="S87" s="66">
        <v>1</v>
      </c>
      <c r="T87" s="66" t="s">
        <v>1849</v>
      </c>
      <c r="U87" s="104" t="str">
        <f t="shared" si="5"/>
        <v>item_bg_grade_01</v>
      </c>
      <c r="V87" s="66" t="s">
        <v>524</v>
      </c>
      <c r="W87" s="66" t="s">
        <v>329</v>
      </c>
      <c r="X87" s="104">
        <v>0</v>
      </c>
      <c r="Y87" s="104">
        <v>0</v>
      </c>
      <c r="Z87" s="104">
        <v>0</v>
      </c>
      <c r="AA87" s="104">
        <v>0</v>
      </c>
      <c r="AB87" s="104">
        <v>0</v>
      </c>
      <c r="AC87" s="104">
        <v>0</v>
      </c>
      <c r="AD87" s="142">
        <v>0</v>
      </c>
      <c r="AE87" s="111">
        <f t="shared" si="19"/>
        <v>10</v>
      </c>
      <c r="AF87" s="70">
        <v>4100010</v>
      </c>
      <c r="AG87" s="105" cm="1">
        <f t="array" ref="AG87">_xlfn.SWITCH(L87,3,1,
           4,1,
           5,1,
           6,1,0)</f>
        <v>0</v>
      </c>
      <c r="AH87" s="146">
        <f t="shared" si="47"/>
        <v>80100101</v>
      </c>
      <c r="AI87" s="90">
        <v>0</v>
      </c>
      <c r="AJ87" s="90">
        <v>0</v>
      </c>
      <c r="AK87" s="27">
        <v>0</v>
      </c>
      <c r="AL87" s="123">
        <f>_xlfn.XLOOKUP(H87,'#각종 참고'!$B$11:$B$20,'#각종 참고'!$D$11:$D$20)</f>
        <v>0</v>
      </c>
      <c r="AM87" s="27">
        <v>1</v>
      </c>
      <c r="AN87" s="27">
        <v>1</v>
      </c>
      <c r="AO87" s="124">
        <f t="shared" si="27"/>
        <v>1</v>
      </c>
      <c r="AP87" s="27">
        <v>1</v>
      </c>
      <c r="AQ87" s="21">
        <v>14110001</v>
      </c>
      <c r="AR87" s="68" t="s">
        <v>1594</v>
      </c>
    </row>
    <row r="88" spans="1:47" s="68" customFormat="1" x14ac:dyDescent="0.3">
      <c r="A88" s="65"/>
      <c r="B88" s="110">
        <v>14110002</v>
      </c>
      <c r="C88" s="99" t="str">
        <f t="shared" ref="C88:C89" si="51">IF(K88&gt;0,MID(K88,5, 1), 0)</f>
        <v>4</v>
      </c>
      <c r="D88" s="120">
        <f>COUNTIFS($F$33:F88,F88, $G$33:G88,G88, $C$33:C88,C88, $L$33:L88,L88)</f>
        <v>2</v>
      </c>
      <c r="E88" s="20">
        <v>1</v>
      </c>
      <c r="F88" s="66">
        <v>0</v>
      </c>
      <c r="G88" s="66">
        <v>1</v>
      </c>
      <c r="H88" s="103" t="s">
        <v>959</v>
      </c>
      <c r="I88" s="66" t="s">
        <v>2047</v>
      </c>
      <c r="J88" s="104" t="str">
        <f t="shared" si="2"/>
        <v>Item_Name_14110002</v>
      </c>
      <c r="K88" s="66">
        <v>10104001</v>
      </c>
      <c r="L88" s="106">
        <f t="shared" si="18"/>
        <v>1</v>
      </c>
      <c r="M88" s="105">
        <f>IF(D88=0, 0, _xlfn.XLOOKUP($F88,'#무게관련'!$B:$B,'#무게관련'!$C:$C)*_xlfn.XLOOKUP($L88,'#무게관련'!$F:$F,'#무게관련'!$G:$G)*100)</f>
        <v>14000</v>
      </c>
      <c r="N88" s="20">
        <v>20100</v>
      </c>
      <c r="O88" s="20">
        <v>4</v>
      </c>
      <c r="P88" s="66">
        <v>15</v>
      </c>
      <c r="Q88" s="20">
        <v>1</v>
      </c>
      <c r="R88" s="66">
        <v>100</v>
      </c>
      <c r="S88" s="66">
        <v>1</v>
      </c>
      <c r="T88" s="66" t="s">
        <v>1849</v>
      </c>
      <c r="U88" s="104" t="str">
        <f t="shared" ref="U88:U89" si="52">"item_bg_grade_0"&amp;L88</f>
        <v>item_bg_grade_01</v>
      </c>
      <c r="V88" s="66" t="s">
        <v>524</v>
      </c>
      <c r="W88" s="66" t="s">
        <v>329</v>
      </c>
      <c r="X88" s="104">
        <v>0</v>
      </c>
      <c r="Y88" s="104">
        <v>0</v>
      </c>
      <c r="Z88" s="104">
        <v>0</v>
      </c>
      <c r="AA88" s="104">
        <v>0</v>
      </c>
      <c r="AB88" s="104">
        <v>0</v>
      </c>
      <c r="AC88" s="104">
        <v>0</v>
      </c>
      <c r="AD88" s="142">
        <v>0</v>
      </c>
      <c r="AE88" s="111">
        <f t="shared" si="19"/>
        <v>10</v>
      </c>
      <c r="AF88" s="70">
        <v>4100020</v>
      </c>
      <c r="AG88" s="105" cm="1">
        <f t="array" ref="AG88">_xlfn.SWITCH(L88,3,1,
           4,1,
           5,1,
           6,1,0)</f>
        <v>0</v>
      </c>
      <c r="AH88" s="146">
        <f t="shared" si="47"/>
        <v>80100101</v>
      </c>
      <c r="AI88" s="90">
        <v>0</v>
      </c>
      <c r="AJ88" s="90">
        <v>0</v>
      </c>
      <c r="AK88" s="27">
        <v>0</v>
      </c>
      <c r="AL88" s="123">
        <f>_xlfn.XLOOKUP(H88,'#각종 참고'!$B$11:$B$20,'#각종 참고'!$D$11:$D$20)</f>
        <v>0</v>
      </c>
      <c r="AM88" s="27">
        <v>1</v>
      </c>
      <c r="AN88" s="27">
        <v>1</v>
      </c>
      <c r="AO88" s="124">
        <f t="shared" si="27"/>
        <v>1</v>
      </c>
      <c r="AP88" s="27">
        <v>1</v>
      </c>
      <c r="AQ88" s="21">
        <v>14110011</v>
      </c>
      <c r="AR88" s="68" t="s">
        <v>2281</v>
      </c>
    </row>
    <row r="89" spans="1:47" s="68" customFormat="1" x14ac:dyDescent="0.3">
      <c r="A89" s="65"/>
      <c r="B89" s="110">
        <v>14110003</v>
      </c>
      <c r="C89" s="99" t="str">
        <f t="shared" si="51"/>
        <v>4</v>
      </c>
      <c r="D89" s="120">
        <f>COUNTIFS($F$33:F89,F89, $G$33:G89,G89, $C$33:C89,C89, $L$33:L89,L89)</f>
        <v>3</v>
      </c>
      <c r="E89" s="20">
        <v>1</v>
      </c>
      <c r="F89" s="66">
        <v>0</v>
      </c>
      <c r="G89" s="66">
        <v>1</v>
      </c>
      <c r="H89" s="103" t="s">
        <v>959</v>
      </c>
      <c r="I89" s="66" t="s">
        <v>2046</v>
      </c>
      <c r="J89" s="104" t="str">
        <f t="shared" si="2"/>
        <v>Item_Name_14110003</v>
      </c>
      <c r="K89" s="66">
        <v>10104001</v>
      </c>
      <c r="L89" s="106">
        <f t="shared" si="18"/>
        <v>1</v>
      </c>
      <c r="M89" s="105">
        <f>IF(D89=0, 0, _xlfn.XLOOKUP($F89,'#무게관련'!$B:$B,'#무게관련'!$C:$C)*_xlfn.XLOOKUP($L89,'#무게관련'!$F:$F,'#무게관련'!$G:$G)*100)</f>
        <v>14000</v>
      </c>
      <c r="N89" s="20">
        <v>20100</v>
      </c>
      <c r="O89" s="20">
        <v>4</v>
      </c>
      <c r="P89" s="66">
        <v>15</v>
      </c>
      <c r="Q89" s="20">
        <v>1</v>
      </c>
      <c r="R89" s="66">
        <v>100</v>
      </c>
      <c r="S89" s="66">
        <v>1</v>
      </c>
      <c r="T89" s="66" t="s">
        <v>1849</v>
      </c>
      <c r="U89" s="104" t="str">
        <f t="shared" si="52"/>
        <v>item_bg_grade_01</v>
      </c>
      <c r="V89" s="66" t="s">
        <v>524</v>
      </c>
      <c r="W89" s="66" t="s">
        <v>329</v>
      </c>
      <c r="X89" s="104">
        <v>0</v>
      </c>
      <c r="Y89" s="104">
        <v>0</v>
      </c>
      <c r="Z89" s="104">
        <v>0</v>
      </c>
      <c r="AA89" s="104">
        <v>0</v>
      </c>
      <c r="AB89" s="104">
        <v>0</v>
      </c>
      <c r="AC89" s="104">
        <v>0</v>
      </c>
      <c r="AD89" s="142">
        <v>0</v>
      </c>
      <c r="AE89" s="111">
        <f t="shared" si="19"/>
        <v>10</v>
      </c>
      <c r="AF89" s="70">
        <v>4100030</v>
      </c>
      <c r="AG89" s="105" cm="1">
        <f t="array" ref="AG89">_xlfn.SWITCH(L89,3,1,
           4,1,
           5,1,
           6,1,0)</f>
        <v>0</v>
      </c>
      <c r="AH89" s="146">
        <f t="shared" si="47"/>
        <v>80100101</v>
      </c>
      <c r="AI89" s="90">
        <v>0</v>
      </c>
      <c r="AJ89" s="90">
        <v>0</v>
      </c>
      <c r="AK89" s="27">
        <v>0</v>
      </c>
      <c r="AL89" s="123">
        <f>_xlfn.XLOOKUP(H89,'#각종 참고'!$B$11:$B$20,'#각종 참고'!$D$11:$D$20)</f>
        <v>0</v>
      </c>
      <c r="AM89" s="27">
        <v>1</v>
      </c>
      <c r="AN89" s="27">
        <v>1</v>
      </c>
      <c r="AO89" s="124">
        <f t="shared" si="27"/>
        <v>1</v>
      </c>
      <c r="AP89" s="27">
        <v>1</v>
      </c>
      <c r="AQ89" s="21">
        <v>14110021</v>
      </c>
      <c r="AR89" s="68" t="s">
        <v>2282</v>
      </c>
    </row>
    <row r="90" spans="1:47" x14ac:dyDescent="0.3">
      <c r="A90" s="19"/>
      <c r="B90" s="109">
        <v>14120001</v>
      </c>
      <c r="C90" s="99" t="str">
        <f t="shared" si="1"/>
        <v>4</v>
      </c>
      <c r="D90" s="121">
        <f>COUNTIFS($F$33:F90,F90, $G$33:G90,G90, $C$33:C90,C90, $L$33:L90,L90)</f>
        <v>1</v>
      </c>
      <c r="E90" s="20">
        <v>1</v>
      </c>
      <c r="F90" s="20">
        <v>0</v>
      </c>
      <c r="G90" s="20">
        <v>1</v>
      </c>
      <c r="H90" s="103" t="s">
        <v>959</v>
      </c>
      <c r="I90" s="20" t="s">
        <v>1595</v>
      </c>
      <c r="J90" s="104" t="str">
        <f t="shared" si="2"/>
        <v>Item_Name_14120001</v>
      </c>
      <c r="K90" s="20">
        <v>10104001</v>
      </c>
      <c r="L90" s="107">
        <f t="shared" si="18"/>
        <v>2</v>
      </c>
      <c r="M90" s="105">
        <f>IF(D90=0, 0, _xlfn.XLOOKUP($F90,'#무게관련'!$B:$B,'#무게관련'!$C:$C)*_xlfn.XLOOKUP($L90,'#무게관련'!$F:$F,'#무게관련'!$G:$G)*100)</f>
        <v>14000</v>
      </c>
      <c r="N90" s="20">
        <v>20100</v>
      </c>
      <c r="O90" s="20">
        <v>4</v>
      </c>
      <c r="P90" s="20">
        <v>15</v>
      </c>
      <c r="Q90" s="20">
        <v>1</v>
      </c>
      <c r="R90" s="20">
        <v>100</v>
      </c>
      <c r="S90" s="20">
        <v>1</v>
      </c>
      <c r="T90" s="20" t="s">
        <v>1850</v>
      </c>
      <c r="U90" s="104" t="str">
        <f t="shared" si="5"/>
        <v>item_bg_grade_02</v>
      </c>
      <c r="V90" s="20" t="s">
        <v>524</v>
      </c>
      <c r="W90" s="20" t="s">
        <v>329</v>
      </c>
      <c r="X90" s="104">
        <v>0</v>
      </c>
      <c r="Y90" s="104">
        <v>0</v>
      </c>
      <c r="Z90" s="104">
        <v>0</v>
      </c>
      <c r="AA90" s="104">
        <v>0</v>
      </c>
      <c r="AB90" s="104">
        <v>0</v>
      </c>
      <c r="AC90" s="104">
        <v>0</v>
      </c>
      <c r="AD90" s="142">
        <v>0</v>
      </c>
      <c r="AE90" s="112">
        <f t="shared" si="19"/>
        <v>20</v>
      </c>
      <c r="AF90" s="70">
        <v>4200010</v>
      </c>
      <c r="AG90" s="105" cm="1">
        <f t="array" ref="AG90">_xlfn.SWITCH(L90,3,1,
           4,1,
           5,1,
           6,1,0)</f>
        <v>0</v>
      </c>
      <c r="AH90" s="146">
        <f t="shared" si="47"/>
        <v>80100201</v>
      </c>
      <c r="AI90" s="90">
        <v>6000</v>
      </c>
      <c r="AJ90" s="90">
        <v>2002</v>
      </c>
      <c r="AK90" s="27">
        <v>2000</v>
      </c>
      <c r="AL90" s="123">
        <f>_xlfn.XLOOKUP(H90,'#각종 참고'!$B$11:$B$20,'#각종 참고'!$D$11:$D$20)</f>
        <v>0</v>
      </c>
      <c r="AM90" s="27">
        <v>1</v>
      </c>
      <c r="AN90" s="27">
        <v>1</v>
      </c>
      <c r="AO90" s="124">
        <f t="shared" si="27"/>
        <v>1</v>
      </c>
      <c r="AP90" s="27">
        <v>1</v>
      </c>
      <c r="AQ90" s="21">
        <v>14120001</v>
      </c>
      <c r="AR90" s="21" t="s">
        <v>1595</v>
      </c>
      <c r="AS90" s="68"/>
      <c r="AT90" s="68"/>
      <c r="AU90" s="68"/>
    </row>
    <row r="91" spans="1:47" x14ac:dyDescent="0.3">
      <c r="A91" s="19"/>
      <c r="B91" s="109">
        <v>14120002</v>
      </c>
      <c r="C91" s="99" t="str">
        <f t="shared" ref="C91:C92" si="53">IF(K91&gt;0,MID(K91,5, 1), 0)</f>
        <v>4</v>
      </c>
      <c r="D91" s="121">
        <f>COUNTIFS($F$33:F91,F91, $G$33:G91,G91, $C$33:C91,C91, $L$33:L91,L91)</f>
        <v>2</v>
      </c>
      <c r="E91" s="20">
        <v>1</v>
      </c>
      <c r="F91" s="20">
        <v>0</v>
      </c>
      <c r="G91" s="20">
        <v>1</v>
      </c>
      <c r="H91" s="103" t="s">
        <v>959</v>
      </c>
      <c r="I91" s="20" t="s">
        <v>2048</v>
      </c>
      <c r="J91" s="104" t="str">
        <f t="shared" si="2"/>
        <v>Item_Name_14120002</v>
      </c>
      <c r="K91" s="20">
        <v>10104001</v>
      </c>
      <c r="L91" s="107">
        <f t="shared" si="18"/>
        <v>2</v>
      </c>
      <c r="M91" s="105">
        <f>IF(D91=0, 0, _xlfn.XLOOKUP($F91,'#무게관련'!$B:$B,'#무게관련'!$C:$C)*_xlfn.XLOOKUP($L91,'#무게관련'!$F:$F,'#무게관련'!$G:$G)*100)</f>
        <v>14000</v>
      </c>
      <c r="N91" s="20">
        <v>20100</v>
      </c>
      <c r="O91" s="20">
        <v>4</v>
      </c>
      <c r="P91" s="20">
        <v>15</v>
      </c>
      <c r="Q91" s="20">
        <v>1</v>
      </c>
      <c r="R91" s="20">
        <v>100</v>
      </c>
      <c r="S91" s="20">
        <v>1</v>
      </c>
      <c r="T91" s="20" t="s">
        <v>1850</v>
      </c>
      <c r="U91" s="104" t="str">
        <f t="shared" ref="U91:U92" si="54">"item_bg_grade_0"&amp;L91</f>
        <v>item_bg_grade_02</v>
      </c>
      <c r="V91" s="20" t="s">
        <v>524</v>
      </c>
      <c r="W91" s="20" t="s">
        <v>329</v>
      </c>
      <c r="X91" s="104">
        <v>0</v>
      </c>
      <c r="Y91" s="104">
        <v>0</v>
      </c>
      <c r="Z91" s="104">
        <v>0</v>
      </c>
      <c r="AA91" s="104">
        <v>0</v>
      </c>
      <c r="AB91" s="104">
        <v>0</v>
      </c>
      <c r="AC91" s="104">
        <v>0</v>
      </c>
      <c r="AD91" s="142">
        <v>0</v>
      </c>
      <c r="AE91" s="112">
        <f t="shared" si="19"/>
        <v>20</v>
      </c>
      <c r="AF91" s="70">
        <v>4200020</v>
      </c>
      <c r="AG91" s="105" cm="1">
        <f t="array" ref="AG91">_xlfn.SWITCH(L91,3,1,
           4,1,
           5,1,
           6,1,0)</f>
        <v>0</v>
      </c>
      <c r="AH91" s="146">
        <f t="shared" si="47"/>
        <v>80100201</v>
      </c>
      <c r="AI91" s="90">
        <v>6000</v>
      </c>
      <c r="AJ91" s="90">
        <v>2002</v>
      </c>
      <c r="AK91" s="27">
        <v>2000</v>
      </c>
      <c r="AL91" s="123">
        <f>_xlfn.XLOOKUP(H91,'#각종 참고'!$B$11:$B$20,'#각종 참고'!$D$11:$D$20)</f>
        <v>0</v>
      </c>
      <c r="AM91" s="27">
        <v>1</v>
      </c>
      <c r="AN91" s="27">
        <v>1</v>
      </c>
      <c r="AO91" s="124">
        <f t="shared" si="27"/>
        <v>1</v>
      </c>
      <c r="AP91" s="27">
        <v>1</v>
      </c>
      <c r="AQ91" s="21">
        <v>14120011</v>
      </c>
      <c r="AR91" s="21" t="s">
        <v>2283</v>
      </c>
      <c r="AS91" s="68"/>
      <c r="AT91" s="68"/>
      <c r="AU91" s="68"/>
    </row>
    <row r="92" spans="1:47" x14ac:dyDescent="0.3">
      <c r="A92" s="19"/>
      <c r="B92" s="109">
        <v>14120003</v>
      </c>
      <c r="C92" s="99" t="str">
        <f t="shared" si="53"/>
        <v>4</v>
      </c>
      <c r="D92" s="121">
        <f>COUNTIFS($F$33:F92,F92, $G$33:G92,G92, $C$33:C92,C92, $L$33:L92,L92)</f>
        <v>3</v>
      </c>
      <c r="E92" s="20">
        <v>1</v>
      </c>
      <c r="F92" s="20">
        <v>0</v>
      </c>
      <c r="G92" s="20">
        <v>1</v>
      </c>
      <c r="H92" s="103" t="s">
        <v>959</v>
      </c>
      <c r="I92" s="20" t="s">
        <v>2020</v>
      </c>
      <c r="J92" s="104" t="str">
        <f t="shared" si="2"/>
        <v>Item_Name_14120003</v>
      </c>
      <c r="K92" s="20">
        <v>10104001</v>
      </c>
      <c r="L92" s="107">
        <f t="shared" si="18"/>
        <v>2</v>
      </c>
      <c r="M92" s="105">
        <f>IF(D92=0, 0, _xlfn.XLOOKUP($F92,'#무게관련'!$B:$B,'#무게관련'!$C:$C)*_xlfn.XLOOKUP($L92,'#무게관련'!$F:$F,'#무게관련'!$G:$G)*100)</f>
        <v>14000</v>
      </c>
      <c r="N92" s="20">
        <v>20100</v>
      </c>
      <c r="O92" s="20">
        <v>4</v>
      </c>
      <c r="P92" s="20">
        <v>15</v>
      </c>
      <c r="Q92" s="20">
        <v>1</v>
      </c>
      <c r="R92" s="20">
        <v>100</v>
      </c>
      <c r="S92" s="20">
        <v>1</v>
      </c>
      <c r="T92" s="20" t="s">
        <v>1850</v>
      </c>
      <c r="U92" s="104" t="str">
        <f t="shared" si="54"/>
        <v>item_bg_grade_02</v>
      </c>
      <c r="V92" s="20" t="s">
        <v>524</v>
      </c>
      <c r="W92" s="20" t="s">
        <v>329</v>
      </c>
      <c r="X92" s="104">
        <v>0</v>
      </c>
      <c r="Y92" s="104">
        <v>0</v>
      </c>
      <c r="Z92" s="104">
        <v>0</v>
      </c>
      <c r="AA92" s="104">
        <v>0</v>
      </c>
      <c r="AB92" s="104">
        <v>0</v>
      </c>
      <c r="AC92" s="104">
        <v>0</v>
      </c>
      <c r="AD92" s="142">
        <v>0</v>
      </c>
      <c r="AE92" s="112">
        <f t="shared" si="19"/>
        <v>20</v>
      </c>
      <c r="AF92" s="70">
        <v>4200030</v>
      </c>
      <c r="AG92" s="105" cm="1">
        <f t="array" ref="AG92">_xlfn.SWITCH(L92,3,1,
           4,1,
           5,1,
           6,1,0)</f>
        <v>0</v>
      </c>
      <c r="AH92" s="146">
        <f t="shared" si="47"/>
        <v>80100201</v>
      </c>
      <c r="AI92" s="90">
        <v>6000</v>
      </c>
      <c r="AJ92" s="90">
        <v>2002</v>
      </c>
      <c r="AK92" s="27">
        <v>2000</v>
      </c>
      <c r="AL92" s="123">
        <f>_xlfn.XLOOKUP(H92,'#각종 참고'!$B$11:$B$20,'#각종 참고'!$D$11:$D$20)</f>
        <v>0</v>
      </c>
      <c r="AM92" s="27">
        <v>1</v>
      </c>
      <c r="AN92" s="27">
        <v>1</v>
      </c>
      <c r="AO92" s="124">
        <f t="shared" si="27"/>
        <v>1</v>
      </c>
      <c r="AP92" s="27">
        <v>1</v>
      </c>
      <c r="AQ92" s="21">
        <v>14120021</v>
      </c>
      <c r="AR92" s="21" t="s">
        <v>2284</v>
      </c>
      <c r="AS92" s="68"/>
      <c r="AT92" s="68"/>
      <c r="AU92" s="68"/>
    </row>
    <row r="93" spans="1:47" x14ac:dyDescent="0.3">
      <c r="A93" s="19"/>
      <c r="B93" s="109">
        <v>14130001</v>
      </c>
      <c r="C93" s="99" t="str">
        <f t="shared" si="1"/>
        <v>4</v>
      </c>
      <c r="D93" s="121">
        <f>COUNTIFS($F$33:F93,F93, $G$33:G93,G93, $C$33:C93,C93, $L$33:L93,L93)</f>
        <v>1</v>
      </c>
      <c r="E93" s="20">
        <v>1</v>
      </c>
      <c r="F93" s="20">
        <v>0</v>
      </c>
      <c r="G93" s="20">
        <v>1</v>
      </c>
      <c r="H93" s="103" t="s">
        <v>959</v>
      </c>
      <c r="I93" s="20" t="s">
        <v>1596</v>
      </c>
      <c r="J93" s="104" t="str">
        <f t="shared" si="2"/>
        <v>Item_Name_14130001</v>
      </c>
      <c r="K93" s="20">
        <v>10104001</v>
      </c>
      <c r="L93" s="107">
        <f t="shared" si="18"/>
        <v>3</v>
      </c>
      <c r="M93" s="105">
        <f>IF(D93=0, 0, _xlfn.XLOOKUP($F93,'#무게관련'!$B:$B,'#무게관련'!$C:$C)*_xlfn.XLOOKUP($L93,'#무게관련'!$F:$F,'#무게관련'!$G:$G)*100)</f>
        <v>14000</v>
      </c>
      <c r="N93" s="20">
        <v>20100</v>
      </c>
      <c r="O93" s="20">
        <v>4</v>
      </c>
      <c r="P93" s="20">
        <v>15</v>
      </c>
      <c r="Q93" s="20">
        <v>1</v>
      </c>
      <c r="R93" s="20">
        <v>100</v>
      </c>
      <c r="S93" s="20">
        <v>1</v>
      </c>
      <c r="T93" s="20" t="s">
        <v>1851</v>
      </c>
      <c r="U93" s="104" t="str">
        <f t="shared" si="5"/>
        <v>item_bg_grade_03</v>
      </c>
      <c r="V93" s="20" t="s">
        <v>524</v>
      </c>
      <c r="W93" s="20" t="s">
        <v>329</v>
      </c>
      <c r="X93" s="104">
        <v>0</v>
      </c>
      <c r="Y93" s="104">
        <v>0</v>
      </c>
      <c r="Z93" s="104">
        <v>0</v>
      </c>
      <c r="AA93" s="104">
        <v>0</v>
      </c>
      <c r="AB93" s="104">
        <v>0</v>
      </c>
      <c r="AC93" s="104">
        <v>0</v>
      </c>
      <c r="AD93" s="142">
        <v>0</v>
      </c>
      <c r="AE93" s="112">
        <f t="shared" si="19"/>
        <v>30</v>
      </c>
      <c r="AF93" s="70">
        <v>4300010</v>
      </c>
      <c r="AG93" s="105" cm="1">
        <f t="array" ref="AG93">_xlfn.SWITCH(L93,3,1,
           4,1,
           5,1,
           6,1,0)</f>
        <v>1</v>
      </c>
      <c r="AH93" s="146">
        <f t="shared" si="47"/>
        <v>80100301</v>
      </c>
      <c r="AI93" s="90">
        <v>6001</v>
      </c>
      <c r="AJ93" s="90">
        <v>2004</v>
      </c>
      <c r="AK93" s="27">
        <v>3000</v>
      </c>
      <c r="AL93" s="123">
        <f>_xlfn.XLOOKUP(H93,'#각종 참고'!$B$11:$B$20,'#각종 참고'!$D$11:$D$20)</f>
        <v>0</v>
      </c>
      <c r="AM93" s="27">
        <v>1</v>
      </c>
      <c r="AN93" s="27">
        <v>1</v>
      </c>
      <c r="AO93" s="124">
        <f t="shared" si="27"/>
        <v>1</v>
      </c>
      <c r="AP93" s="27">
        <v>1</v>
      </c>
      <c r="AQ93" s="21">
        <v>14130001</v>
      </c>
      <c r="AR93" s="21" t="s">
        <v>1596</v>
      </c>
      <c r="AS93" s="68"/>
      <c r="AT93" s="68"/>
      <c r="AU93" s="68"/>
    </row>
    <row r="94" spans="1:47" x14ac:dyDescent="0.3">
      <c r="A94" s="19"/>
      <c r="B94" s="109">
        <v>14130002</v>
      </c>
      <c r="C94" s="99" t="str">
        <f t="shared" ref="C94:C95" si="55">IF(K94&gt;0,MID(K94,5, 1), 0)</f>
        <v>4</v>
      </c>
      <c r="D94" s="121">
        <f>COUNTIFS($F$33:F94,F94, $G$33:G94,G94, $C$33:C94,C94, $L$33:L94,L94)</f>
        <v>2</v>
      </c>
      <c r="E94" s="20">
        <v>1</v>
      </c>
      <c r="F94" s="20">
        <v>0</v>
      </c>
      <c r="G94" s="20">
        <v>1</v>
      </c>
      <c r="H94" s="103" t="s">
        <v>959</v>
      </c>
      <c r="I94" s="20" t="s">
        <v>1597</v>
      </c>
      <c r="J94" s="104" t="str">
        <f t="shared" si="2"/>
        <v>Item_Name_14130002</v>
      </c>
      <c r="K94" s="20">
        <v>10104001</v>
      </c>
      <c r="L94" s="107">
        <f t="shared" si="18"/>
        <v>3</v>
      </c>
      <c r="M94" s="105">
        <f>IF(D94=0, 0, _xlfn.XLOOKUP($F94,'#무게관련'!$B:$B,'#무게관련'!$C:$C)*_xlfn.XLOOKUP($L94,'#무게관련'!$F:$F,'#무게관련'!$G:$G)*100)</f>
        <v>14000</v>
      </c>
      <c r="N94" s="20">
        <v>20100</v>
      </c>
      <c r="O94" s="20">
        <v>4</v>
      </c>
      <c r="P94" s="20">
        <v>15</v>
      </c>
      <c r="Q94" s="20">
        <v>1</v>
      </c>
      <c r="R94" s="20">
        <v>100</v>
      </c>
      <c r="S94" s="20">
        <v>1</v>
      </c>
      <c r="T94" s="20" t="s">
        <v>1851</v>
      </c>
      <c r="U94" s="104" t="str">
        <f t="shared" ref="U94:U95" si="56">"item_bg_grade_0"&amp;L94</f>
        <v>item_bg_grade_03</v>
      </c>
      <c r="V94" s="20" t="s">
        <v>524</v>
      </c>
      <c r="W94" s="20" t="s">
        <v>329</v>
      </c>
      <c r="X94" s="104">
        <v>0</v>
      </c>
      <c r="Y94" s="104">
        <v>0</v>
      </c>
      <c r="Z94" s="104">
        <v>0</v>
      </c>
      <c r="AA94" s="104">
        <v>0</v>
      </c>
      <c r="AB94" s="104">
        <v>0</v>
      </c>
      <c r="AC94" s="104">
        <v>0</v>
      </c>
      <c r="AD94" s="142">
        <v>0</v>
      </c>
      <c r="AE94" s="112">
        <f t="shared" si="19"/>
        <v>30</v>
      </c>
      <c r="AF94" s="70">
        <v>4300020</v>
      </c>
      <c r="AG94" s="105" cm="1">
        <f t="array" ref="AG94">_xlfn.SWITCH(L94,3,1,
           4,1,
           5,1,
           6,1,0)</f>
        <v>1</v>
      </c>
      <c r="AH94" s="146">
        <f t="shared" si="47"/>
        <v>80100301</v>
      </c>
      <c r="AI94" s="90">
        <v>6001</v>
      </c>
      <c r="AJ94" s="90">
        <v>2004</v>
      </c>
      <c r="AK94" s="27">
        <v>3000</v>
      </c>
      <c r="AL94" s="123">
        <f>_xlfn.XLOOKUP(H94,'#각종 참고'!$B$11:$B$20,'#각종 참고'!$D$11:$D$20)</f>
        <v>0</v>
      </c>
      <c r="AM94" s="27">
        <v>1</v>
      </c>
      <c r="AN94" s="27">
        <v>1</v>
      </c>
      <c r="AO94" s="124">
        <f t="shared" si="27"/>
        <v>1</v>
      </c>
      <c r="AP94" s="27">
        <v>1</v>
      </c>
      <c r="AQ94" s="21">
        <v>14130011</v>
      </c>
      <c r="AR94" s="21" t="s">
        <v>2285</v>
      </c>
      <c r="AS94" s="68"/>
      <c r="AT94" s="68"/>
      <c r="AU94" s="68"/>
    </row>
    <row r="95" spans="1:47" x14ac:dyDescent="0.3">
      <c r="A95" s="19"/>
      <c r="B95" s="109">
        <v>14130003</v>
      </c>
      <c r="C95" s="99" t="str">
        <f t="shared" si="55"/>
        <v>4</v>
      </c>
      <c r="D95" s="121">
        <f>COUNTIFS($F$33:F95,F95, $G$33:G95,G95, $C$33:C95,C95, $L$33:L95,L95)</f>
        <v>3</v>
      </c>
      <c r="E95" s="20">
        <v>1</v>
      </c>
      <c r="F95" s="20">
        <v>0</v>
      </c>
      <c r="G95" s="20">
        <v>1</v>
      </c>
      <c r="H95" s="103" t="s">
        <v>959</v>
      </c>
      <c r="I95" s="20" t="s">
        <v>2049</v>
      </c>
      <c r="J95" s="104" t="str">
        <f t="shared" si="2"/>
        <v>Item_Name_14130003</v>
      </c>
      <c r="K95" s="20">
        <v>10104001</v>
      </c>
      <c r="L95" s="107">
        <f t="shared" si="18"/>
        <v>3</v>
      </c>
      <c r="M95" s="105">
        <f>IF(D95=0, 0, _xlfn.XLOOKUP($F95,'#무게관련'!$B:$B,'#무게관련'!$C:$C)*_xlfn.XLOOKUP($L95,'#무게관련'!$F:$F,'#무게관련'!$G:$G)*100)</f>
        <v>14000</v>
      </c>
      <c r="N95" s="20">
        <v>20100</v>
      </c>
      <c r="O95" s="20">
        <v>4</v>
      </c>
      <c r="P95" s="20">
        <v>15</v>
      </c>
      <c r="Q95" s="20">
        <v>1</v>
      </c>
      <c r="R95" s="20">
        <v>100</v>
      </c>
      <c r="S95" s="20">
        <v>1</v>
      </c>
      <c r="T95" s="20" t="s">
        <v>1851</v>
      </c>
      <c r="U95" s="104" t="str">
        <f t="shared" si="56"/>
        <v>item_bg_grade_03</v>
      </c>
      <c r="V95" s="20" t="s">
        <v>524</v>
      </c>
      <c r="W95" s="20" t="s">
        <v>329</v>
      </c>
      <c r="X95" s="104">
        <v>0</v>
      </c>
      <c r="Y95" s="104">
        <v>0</v>
      </c>
      <c r="Z95" s="104">
        <v>0</v>
      </c>
      <c r="AA95" s="104">
        <v>0</v>
      </c>
      <c r="AB95" s="104">
        <v>0</v>
      </c>
      <c r="AC95" s="104">
        <v>0</v>
      </c>
      <c r="AD95" s="142">
        <v>0</v>
      </c>
      <c r="AE95" s="112">
        <f t="shared" si="19"/>
        <v>30</v>
      </c>
      <c r="AF95" s="70">
        <v>4300030</v>
      </c>
      <c r="AG95" s="105" cm="1">
        <f t="array" ref="AG95">_xlfn.SWITCH(L95,3,1,
           4,1,
           5,1,
           6,1,0)</f>
        <v>1</v>
      </c>
      <c r="AH95" s="146">
        <f t="shared" si="47"/>
        <v>80100301</v>
      </c>
      <c r="AI95" s="90">
        <v>6001</v>
      </c>
      <c r="AJ95" s="90">
        <v>2004</v>
      </c>
      <c r="AK95" s="27">
        <v>3000</v>
      </c>
      <c r="AL95" s="123">
        <f>_xlfn.XLOOKUP(H95,'#각종 참고'!$B$11:$B$20,'#각종 참고'!$D$11:$D$20)</f>
        <v>0</v>
      </c>
      <c r="AM95" s="27">
        <v>1</v>
      </c>
      <c r="AN95" s="27">
        <v>1</v>
      </c>
      <c r="AO95" s="124">
        <f t="shared" si="27"/>
        <v>1</v>
      </c>
      <c r="AP95" s="27">
        <v>1</v>
      </c>
      <c r="AQ95" s="21">
        <v>14130021</v>
      </c>
      <c r="AR95" s="21" t="s">
        <v>2286</v>
      </c>
      <c r="AS95" s="68"/>
      <c r="AT95" s="68"/>
      <c r="AU95" s="68"/>
    </row>
    <row r="96" spans="1:47" x14ac:dyDescent="0.3">
      <c r="A96" s="19"/>
      <c r="B96" s="109">
        <v>14140001</v>
      </c>
      <c r="C96" s="99" t="str">
        <f t="shared" si="1"/>
        <v>4</v>
      </c>
      <c r="D96" s="121">
        <f>COUNTIFS($F$33:F96,F96, $G$33:G96,G96, $C$33:C96,C96, $L$33:L96,L96)</f>
        <v>1</v>
      </c>
      <c r="E96" s="20">
        <v>1</v>
      </c>
      <c r="F96" s="20">
        <v>0</v>
      </c>
      <c r="G96" s="20">
        <v>1</v>
      </c>
      <c r="H96" s="103" t="s">
        <v>959</v>
      </c>
      <c r="I96" s="20" t="s">
        <v>1598</v>
      </c>
      <c r="J96" s="104" t="str">
        <f t="shared" si="2"/>
        <v>Item_Name_14140001</v>
      </c>
      <c r="K96" s="20">
        <v>10104001</v>
      </c>
      <c r="L96" s="107">
        <f t="shared" si="18"/>
        <v>4</v>
      </c>
      <c r="M96" s="105">
        <f>IF(D96=0, 0, _xlfn.XLOOKUP($F96,'#무게관련'!$B:$B,'#무게관련'!$C:$C)*_xlfn.XLOOKUP($L96,'#무게관련'!$F:$F,'#무게관련'!$G:$G)*100)</f>
        <v>14000</v>
      </c>
      <c r="N96" s="20">
        <v>20100</v>
      </c>
      <c r="O96" s="20">
        <v>4</v>
      </c>
      <c r="P96" s="20">
        <v>15</v>
      </c>
      <c r="Q96" s="20">
        <v>1</v>
      </c>
      <c r="R96" s="20">
        <v>100</v>
      </c>
      <c r="S96" s="20">
        <v>1</v>
      </c>
      <c r="T96" s="20" t="s">
        <v>1852</v>
      </c>
      <c r="U96" s="104" t="str">
        <f t="shared" si="5"/>
        <v>item_bg_grade_04</v>
      </c>
      <c r="V96" s="20" t="s">
        <v>524</v>
      </c>
      <c r="W96" s="20" t="s">
        <v>329</v>
      </c>
      <c r="X96" s="104">
        <v>0</v>
      </c>
      <c r="Y96" s="104">
        <v>0</v>
      </c>
      <c r="Z96" s="104">
        <v>0</v>
      </c>
      <c r="AA96" s="104">
        <v>0</v>
      </c>
      <c r="AB96" s="104">
        <v>0</v>
      </c>
      <c r="AC96" s="104">
        <v>0</v>
      </c>
      <c r="AD96" s="142">
        <v>0</v>
      </c>
      <c r="AE96" s="112">
        <f t="shared" si="19"/>
        <v>40</v>
      </c>
      <c r="AF96" s="70">
        <v>4400010</v>
      </c>
      <c r="AG96" s="105" cm="1">
        <f t="array" ref="AG96">_xlfn.SWITCH(L96,3,1,
           4,1,
           5,1,
           6,1,0)</f>
        <v>1</v>
      </c>
      <c r="AH96" s="146">
        <f t="shared" si="47"/>
        <v>80100401</v>
      </c>
      <c r="AI96" s="90">
        <v>6002</v>
      </c>
      <c r="AJ96" s="90">
        <v>2006</v>
      </c>
      <c r="AK96" s="27">
        <v>4000</v>
      </c>
      <c r="AL96" s="123">
        <f>_xlfn.XLOOKUP(H96,'#각종 참고'!$B$11:$B$20,'#각종 참고'!$D$11:$D$20)</f>
        <v>0</v>
      </c>
      <c r="AM96" s="27">
        <v>1</v>
      </c>
      <c r="AN96" s="27">
        <v>1</v>
      </c>
      <c r="AO96" s="124">
        <f t="shared" si="27"/>
        <v>1</v>
      </c>
      <c r="AP96" s="27">
        <v>1</v>
      </c>
      <c r="AQ96" s="21">
        <v>14140001</v>
      </c>
      <c r="AR96" s="21" t="s">
        <v>1598</v>
      </c>
      <c r="AS96" s="68"/>
      <c r="AT96" s="68"/>
      <c r="AU96" s="68"/>
    </row>
    <row r="97" spans="1:47" x14ac:dyDescent="0.3">
      <c r="A97" s="19"/>
      <c r="B97" s="109">
        <v>14140002</v>
      </c>
      <c r="C97" s="99" t="str">
        <f t="shared" ref="C97:C98" si="57">IF(K97&gt;0,MID(K97,5, 1), 0)</f>
        <v>4</v>
      </c>
      <c r="D97" s="121">
        <f>COUNTIFS($F$33:F97,F97, $G$33:G97,G97, $C$33:C97,C97, $L$33:L97,L97)</f>
        <v>2</v>
      </c>
      <c r="E97" s="20">
        <v>1</v>
      </c>
      <c r="F97" s="20">
        <v>0</v>
      </c>
      <c r="G97" s="20">
        <v>1</v>
      </c>
      <c r="H97" s="103" t="s">
        <v>959</v>
      </c>
      <c r="I97" s="20" t="s">
        <v>2050</v>
      </c>
      <c r="J97" s="104" t="str">
        <f t="shared" si="2"/>
        <v>Item_Name_14140002</v>
      </c>
      <c r="K97" s="20">
        <v>10104001</v>
      </c>
      <c r="L97" s="107">
        <f t="shared" si="18"/>
        <v>4</v>
      </c>
      <c r="M97" s="105">
        <f>IF(D97=0, 0, _xlfn.XLOOKUP($F97,'#무게관련'!$B:$B,'#무게관련'!$C:$C)*_xlfn.XLOOKUP($L97,'#무게관련'!$F:$F,'#무게관련'!$G:$G)*100)</f>
        <v>14000</v>
      </c>
      <c r="N97" s="20">
        <v>20100</v>
      </c>
      <c r="O97" s="20">
        <v>4</v>
      </c>
      <c r="P97" s="20">
        <v>15</v>
      </c>
      <c r="Q97" s="20">
        <v>1</v>
      </c>
      <c r="R97" s="20">
        <v>100</v>
      </c>
      <c r="S97" s="20">
        <v>1</v>
      </c>
      <c r="T97" s="20" t="s">
        <v>1852</v>
      </c>
      <c r="U97" s="104" t="str">
        <f t="shared" ref="U97:U98" si="58">"item_bg_grade_0"&amp;L97</f>
        <v>item_bg_grade_04</v>
      </c>
      <c r="V97" s="20" t="s">
        <v>524</v>
      </c>
      <c r="W97" s="20" t="s">
        <v>329</v>
      </c>
      <c r="X97" s="104">
        <v>0</v>
      </c>
      <c r="Y97" s="104">
        <v>0</v>
      </c>
      <c r="Z97" s="104">
        <v>0</v>
      </c>
      <c r="AA97" s="104">
        <v>0</v>
      </c>
      <c r="AB97" s="104">
        <v>0</v>
      </c>
      <c r="AC97" s="104">
        <v>0</v>
      </c>
      <c r="AD97" s="142">
        <v>0</v>
      </c>
      <c r="AE97" s="112">
        <f t="shared" si="19"/>
        <v>40</v>
      </c>
      <c r="AF97" s="70">
        <v>4400020</v>
      </c>
      <c r="AG97" s="105" cm="1">
        <f t="array" ref="AG97">_xlfn.SWITCH(L97,3,1,
           4,1,
           5,1,
           6,1,0)</f>
        <v>1</v>
      </c>
      <c r="AH97" s="146">
        <f t="shared" si="47"/>
        <v>80100401</v>
      </c>
      <c r="AI97" s="90">
        <v>6002</v>
      </c>
      <c r="AJ97" s="90">
        <v>2006</v>
      </c>
      <c r="AK97" s="27">
        <v>4000</v>
      </c>
      <c r="AL97" s="123">
        <f>_xlfn.XLOOKUP(H97,'#각종 참고'!$B$11:$B$20,'#각종 참고'!$D$11:$D$20)</f>
        <v>0</v>
      </c>
      <c r="AM97" s="27">
        <v>1</v>
      </c>
      <c r="AN97" s="27">
        <v>1</v>
      </c>
      <c r="AO97" s="124">
        <f t="shared" si="27"/>
        <v>1</v>
      </c>
      <c r="AP97" s="27">
        <v>1</v>
      </c>
      <c r="AQ97" s="21">
        <v>14140011</v>
      </c>
      <c r="AR97" s="21" t="s">
        <v>2287</v>
      </c>
      <c r="AS97" s="68"/>
      <c r="AT97" s="68"/>
      <c r="AU97" s="68"/>
    </row>
    <row r="98" spans="1:47" x14ac:dyDescent="0.3">
      <c r="A98" s="19"/>
      <c r="B98" s="109">
        <v>14140003</v>
      </c>
      <c r="C98" s="99" t="str">
        <f t="shared" si="57"/>
        <v>4</v>
      </c>
      <c r="D98" s="121">
        <f>COUNTIFS($F$33:F98,F98, $G$33:G98,G98, $C$33:C98,C98, $L$33:L98,L98)</f>
        <v>3</v>
      </c>
      <c r="E98" s="20">
        <v>1</v>
      </c>
      <c r="F98" s="20">
        <v>0</v>
      </c>
      <c r="G98" s="20">
        <v>1</v>
      </c>
      <c r="H98" s="103" t="s">
        <v>959</v>
      </c>
      <c r="I98" s="20" t="s">
        <v>1599</v>
      </c>
      <c r="J98" s="104" t="str">
        <f t="shared" si="2"/>
        <v>Item_Name_14140003</v>
      </c>
      <c r="K98" s="20">
        <v>10104001</v>
      </c>
      <c r="L98" s="107">
        <f t="shared" si="18"/>
        <v>4</v>
      </c>
      <c r="M98" s="105">
        <f>IF(D98=0, 0, _xlfn.XLOOKUP($F98,'#무게관련'!$B:$B,'#무게관련'!$C:$C)*_xlfn.XLOOKUP($L98,'#무게관련'!$F:$F,'#무게관련'!$G:$G)*100)</f>
        <v>14000</v>
      </c>
      <c r="N98" s="20">
        <v>20100</v>
      </c>
      <c r="O98" s="20">
        <v>4</v>
      </c>
      <c r="P98" s="20">
        <v>15</v>
      </c>
      <c r="Q98" s="20">
        <v>1</v>
      </c>
      <c r="R98" s="20">
        <v>100</v>
      </c>
      <c r="S98" s="20">
        <v>1</v>
      </c>
      <c r="T98" s="20" t="s">
        <v>1852</v>
      </c>
      <c r="U98" s="104" t="str">
        <f t="shared" si="58"/>
        <v>item_bg_grade_04</v>
      </c>
      <c r="V98" s="20" t="s">
        <v>524</v>
      </c>
      <c r="W98" s="20" t="s">
        <v>329</v>
      </c>
      <c r="X98" s="104">
        <v>0</v>
      </c>
      <c r="Y98" s="104">
        <v>0</v>
      </c>
      <c r="Z98" s="104">
        <v>0</v>
      </c>
      <c r="AA98" s="104">
        <v>0</v>
      </c>
      <c r="AB98" s="104">
        <v>0</v>
      </c>
      <c r="AC98" s="104">
        <v>0</v>
      </c>
      <c r="AD98" s="142">
        <v>0</v>
      </c>
      <c r="AE98" s="112">
        <f t="shared" si="19"/>
        <v>40</v>
      </c>
      <c r="AF98" s="70">
        <v>4400030</v>
      </c>
      <c r="AG98" s="105" cm="1">
        <f t="array" ref="AG98">_xlfn.SWITCH(L98,3,1,
           4,1,
           5,1,
           6,1,0)</f>
        <v>1</v>
      </c>
      <c r="AH98" s="146">
        <f t="shared" si="47"/>
        <v>80100401</v>
      </c>
      <c r="AI98" s="90">
        <v>6002</v>
      </c>
      <c r="AJ98" s="90">
        <v>2006</v>
      </c>
      <c r="AK98" s="27">
        <v>4000</v>
      </c>
      <c r="AL98" s="123">
        <f>_xlfn.XLOOKUP(H98,'#각종 참고'!$B$11:$B$20,'#각종 참고'!$D$11:$D$20)</f>
        <v>0</v>
      </c>
      <c r="AM98" s="27">
        <v>1</v>
      </c>
      <c r="AN98" s="27">
        <v>1</v>
      </c>
      <c r="AO98" s="124">
        <f t="shared" si="27"/>
        <v>1</v>
      </c>
      <c r="AP98" s="27">
        <v>1</v>
      </c>
      <c r="AQ98" s="21">
        <v>14140021</v>
      </c>
      <c r="AR98" s="21" t="s">
        <v>2288</v>
      </c>
      <c r="AS98" s="68"/>
      <c r="AT98" s="68"/>
      <c r="AU98" s="68"/>
    </row>
    <row r="99" spans="1:47" x14ac:dyDescent="0.3">
      <c r="A99" s="19"/>
      <c r="B99" s="109">
        <v>14150001</v>
      </c>
      <c r="C99" s="99" t="str">
        <f t="shared" ref="C99" si="59">IF(K99&gt;0,MID(K99,5, 1), 0)</f>
        <v>4</v>
      </c>
      <c r="D99" s="121">
        <f>COUNTIFS($F$33:F99,F99, $G$33:G99,G99, $C$33:C99,C99, $L$33:L99,L99)</f>
        <v>1</v>
      </c>
      <c r="E99" s="20">
        <v>1</v>
      </c>
      <c r="F99" s="20">
        <v>0</v>
      </c>
      <c r="G99" s="20">
        <v>1</v>
      </c>
      <c r="H99" s="103" t="s">
        <v>959</v>
      </c>
      <c r="I99" s="20" t="s">
        <v>1600</v>
      </c>
      <c r="J99" s="104" t="str">
        <f t="shared" si="2"/>
        <v>Item_Name_14150001</v>
      </c>
      <c r="K99" s="20">
        <v>10104001</v>
      </c>
      <c r="L99" s="107">
        <f t="shared" si="18"/>
        <v>5</v>
      </c>
      <c r="M99" s="105">
        <f>IF(D99=0, 0, _xlfn.XLOOKUP($F99,'#무게관련'!$B:$B,'#무게관련'!$C:$C)*_xlfn.XLOOKUP($L99,'#무게관련'!$F:$F,'#무게관련'!$G:$G)*100)</f>
        <v>14000</v>
      </c>
      <c r="N99" s="20">
        <v>20100</v>
      </c>
      <c r="O99" s="20">
        <v>4</v>
      </c>
      <c r="P99" s="20">
        <v>15</v>
      </c>
      <c r="Q99" s="20">
        <v>1</v>
      </c>
      <c r="R99" s="20">
        <v>100</v>
      </c>
      <c r="S99" s="20">
        <v>1</v>
      </c>
      <c r="T99" s="20" t="s">
        <v>1853</v>
      </c>
      <c r="U99" s="104" t="str">
        <f t="shared" si="5"/>
        <v>item_bg_grade_05</v>
      </c>
      <c r="V99" s="20" t="s">
        <v>524</v>
      </c>
      <c r="W99" s="20" t="s">
        <v>329</v>
      </c>
      <c r="X99" s="104">
        <v>0</v>
      </c>
      <c r="Y99" s="104">
        <v>0</v>
      </c>
      <c r="Z99" s="104">
        <v>0</v>
      </c>
      <c r="AA99" s="104">
        <v>0</v>
      </c>
      <c r="AB99" s="104">
        <v>0</v>
      </c>
      <c r="AC99" s="104">
        <v>0</v>
      </c>
      <c r="AD99" s="142">
        <v>0</v>
      </c>
      <c r="AE99" s="112">
        <f t="shared" si="19"/>
        <v>50</v>
      </c>
      <c r="AF99" s="70">
        <v>4500010</v>
      </c>
      <c r="AG99" s="105" cm="1">
        <f t="array" ref="AG99">_xlfn.SWITCH(L99,3,1,
           4,1,
           5,1,
           6,1,0)</f>
        <v>1</v>
      </c>
      <c r="AH99" s="146">
        <f t="shared" si="47"/>
        <v>80100501</v>
      </c>
      <c r="AI99" s="90">
        <v>6003</v>
      </c>
      <c r="AJ99" s="90">
        <v>2008</v>
      </c>
      <c r="AK99" s="27">
        <v>5000</v>
      </c>
      <c r="AL99" s="123">
        <f>_xlfn.XLOOKUP(H99,'#각종 참고'!$B$11:$B$20,'#각종 참고'!$D$11:$D$20)</f>
        <v>0</v>
      </c>
      <c r="AM99" s="27">
        <v>1</v>
      </c>
      <c r="AN99" s="27">
        <v>1</v>
      </c>
      <c r="AO99" s="124">
        <f t="shared" si="27"/>
        <v>1</v>
      </c>
      <c r="AP99" s="27">
        <v>1</v>
      </c>
      <c r="AQ99" s="21">
        <v>14150001</v>
      </c>
      <c r="AR99" s="21" t="s">
        <v>1600</v>
      </c>
      <c r="AS99" s="68"/>
      <c r="AT99" s="68"/>
      <c r="AU99" s="68"/>
    </row>
    <row r="100" spans="1:47" x14ac:dyDescent="0.3">
      <c r="A100" s="19"/>
      <c r="B100" s="109">
        <v>14150002</v>
      </c>
      <c r="C100" s="99" t="str">
        <f t="shared" ref="C100:C101" si="60">IF(K100&gt;0,MID(K100,5, 1), 0)</f>
        <v>4</v>
      </c>
      <c r="D100" s="121">
        <f>COUNTIFS($F$33:F100,F100, $G$33:G100,G100, $C$33:C100,C100, $L$33:L100,L100)</f>
        <v>2</v>
      </c>
      <c r="E100" s="20">
        <v>1</v>
      </c>
      <c r="F100" s="20">
        <v>0</v>
      </c>
      <c r="G100" s="20">
        <v>1</v>
      </c>
      <c r="H100" s="103" t="s">
        <v>959</v>
      </c>
      <c r="I100" s="20" t="s">
        <v>2052</v>
      </c>
      <c r="J100" s="104" t="str">
        <f t="shared" si="2"/>
        <v>Item_Name_14150002</v>
      </c>
      <c r="K100" s="20">
        <v>10104001</v>
      </c>
      <c r="L100" s="107">
        <f t="shared" si="18"/>
        <v>5</v>
      </c>
      <c r="M100" s="105">
        <f>IF(D100=0, 0, _xlfn.XLOOKUP($F100,'#무게관련'!$B:$B,'#무게관련'!$C:$C)*_xlfn.XLOOKUP($L100,'#무게관련'!$F:$F,'#무게관련'!$G:$G)*100)</f>
        <v>14000</v>
      </c>
      <c r="N100" s="20">
        <v>20100</v>
      </c>
      <c r="O100" s="20">
        <v>4</v>
      </c>
      <c r="P100" s="20">
        <v>15</v>
      </c>
      <c r="Q100" s="20">
        <v>1</v>
      </c>
      <c r="R100" s="20">
        <v>100</v>
      </c>
      <c r="S100" s="20">
        <v>1</v>
      </c>
      <c r="T100" s="20" t="s">
        <v>1853</v>
      </c>
      <c r="U100" s="104" t="str">
        <f t="shared" ref="U100:U101" si="61">"item_bg_grade_0"&amp;L100</f>
        <v>item_bg_grade_05</v>
      </c>
      <c r="V100" s="20" t="s">
        <v>524</v>
      </c>
      <c r="W100" s="20" t="s">
        <v>329</v>
      </c>
      <c r="X100" s="104">
        <v>0</v>
      </c>
      <c r="Y100" s="104">
        <v>0</v>
      </c>
      <c r="Z100" s="104">
        <v>0</v>
      </c>
      <c r="AA100" s="104">
        <v>0</v>
      </c>
      <c r="AB100" s="104">
        <v>0</v>
      </c>
      <c r="AC100" s="104">
        <v>0</v>
      </c>
      <c r="AD100" s="142">
        <v>0</v>
      </c>
      <c r="AE100" s="112">
        <f t="shared" si="19"/>
        <v>50</v>
      </c>
      <c r="AF100" s="70">
        <v>4500020</v>
      </c>
      <c r="AG100" s="105" cm="1">
        <f t="array" ref="AG100">_xlfn.SWITCH(L100,3,1,
           4,1,
           5,1,
           6,1,0)</f>
        <v>1</v>
      </c>
      <c r="AH100" s="146">
        <f t="shared" si="47"/>
        <v>80100501</v>
      </c>
      <c r="AI100" s="90">
        <v>6003</v>
      </c>
      <c r="AJ100" s="90">
        <v>2008</v>
      </c>
      <c r="AK100" s="27">
        <v>5000</v>
      </c>
      <c r="AL100" s="123">
        <f>_xlfn.XLOOKUP(H100,'#각종 참고'!$B$11:$B$20,'#각종 참고'!$D$11:$D$20)</f>
        <v>0</v>
      </c>
      <c r="AM100" s="27">
        <v>1</v>
      </c>
      <c r="AN100" s="27">
        <v>1</v>
      </c>
      <c r="AO100" s="124">
        <f t="shared" ref="AO100:AO142" si="62">IF(AM100=1,AM100,AL100)</f>
        <v>1</v>
      </c>
      <c r="AP100" s="27">
        <v>1</v>
      </c>
      <c r="AQ100" s="21">
        <v>14150011</v>
      </c>
      <c r="AR100" s="21" t="s">
        <v>2289</v>
      </c>
      <c r="AS100" s="68"/>
      <c r="AT100" s="68"/>
      <c r="AU100" s="68"/>
    </row>
    <row r="101" spans="1:47" x14ac:dyDescent="0.3">
      <c r="A101" s="19"/>
      <c r="B101" s="109">
        <v>14150003</v>
      </c>
      <c r="C101" s="99" t="str">
        <f t="shared" si="60"/>
        <v>4</v>
      </c>
      <c r="D101" s="121">
        <f>COUNTIFS($F$33:F101,F101, $G$33:G101,G101, $C$33:C101,C101, $L$33:L101,L101)</f>
        <v>3</v>
      </c>
      <c r="E101" s="20">
        <v>1</v>
      </c>
      <c r="F101" s="20">
        <v>0</v>
      </c>
      <c r="G101" s="20">
        <v>1</v>
      </c>
      <c r="H101" s="103" t="s">
        <v>959</v>
      </c>
      <c r="I101" s="20" t="s">
        <v>2051</v>
      </c>
      <c r="J101" s="104" t="str">
        <f t="shared" si="2"/>
        <v>Item_Name_14150003</v>
      </c>
      <c r="K101" s="20">
        <v>10104001</v>
      </c>
      <c r="L101" s="107">
        <f t="shared" si="18"/>
        <v>5</v>
      </c>
      <c r="M101" s="105">
        <f>IF(D101=0, 0, _xlfn.XLOOKUP($F101,'#무게관련'!$B:$B,'#무게관련'!$C:$C)*_xlfn.XLOOKUP($L101,'#무게관련'!$F:$F,'#무게관련'!$G:$G)*100)</f>
        <v>14000</v>
      </c>
      <c r="N101" s="20">
        <v>20100</v>
      </c>
      <c r="O101" s="20">
        <v>4</v>
      </c>
      <c r="P101" s="20">
        <v>15</v>
      </c>
      <c r="Q101" s="20">
        <v>1</v>
      </c>
      <c r="R101" s="20">
        <v>100</v>
      </c>
      <c r="S101" s="20">
        <v>1</v>
      </c>
      <c r="T101" s="20" t="s">
        <v>1853</v>
      </c>
      <c r="U101" s="104" t="str">
        <f t="shared" si="61"/>
        <v>item_bg_grade_05</v>
      </c>
      <c r="V101" s="20" t="s">
        <v>524</v>
      </c>
      <c r="W101" s="20" t="s">
        <v>329</v>
      </c>
      <c r="X101" s="104">
        <v>0</v>
      </c>
      <c r="Y101" s="104">
        <v>0</v>
      </c>
      <c r="Z101" s="104">
        <v>0</v>
      </c>
      <c r="AA101" s="104">
        <v>0</v>
      </c>
      <c r="AB101" s="104">
        <v>0</v>
      </c>
      <c r="AC101" s="104">
        <v>0</v>
      </c>
      <c r="AD101" s="142">
        <v>0</v>
      </c>
      <c r="AE101" s="112">
        <f t="shared" si="19"/>
        <v>50</v>
      </c>
      <c r="AF101" s="70">
        <v>4500030</v>
      </c>
      <c r="AG101" s="105" cm="1">
        <f t="array" ref="AG101">_xlfn.SWITCH(L101,3,1,
           4,1,
           5,1,
           6,1,0)</f>
        <v>1</v>
      </c>
      <c r="AH101" s="146">
        <f t="shared" si="47"/>
        <v>80100501</v>
      </c>
      <c r="AI101" s="90">
        <v>6003</v>
      </c>
      <c r="AJ101" s="90">
        <v>2008</v>
      </c>
      <c r="AK101" s="27">
        <v>5000</v>
      </c>
      <c r="AL101" s="123">
        <f>_xlfn.XLOOKUP(H101,'#각종 참고'!$B$11:$B$20,'#각종 참고'!$D$11:$D$20)</f>
        <v>0</v>
      </c>
      <c r="AM101" s="27">
        <v>1</v>
      </c>
      <c r="AN101" s="27">
        <v>1</v>
      </c>
      <c r="AO101" s="124">
        <f t="shared" si="62"/>
        <v>1</v>
      </c>
      <c r="AP101" s="27">
        <v>1</v>
      </c>
      <c r="AQ101" s="21">
        <v>14150021</v>
      </c>
      <c r="AR101" s="21" t="s">
        <v>2290</v>
      </c>
      <c r="AS101" s="68"/>
      <c r="AT101" s="68"/>
      <c r="AU101" s="68"/>
    </row>
    <row r="102" spans="1:47" x14ac:dyDescent="0.3">
      <c r="A102" s="19"/>
      <c r="B102" s="109">
        <v>14160001</v>
      </c>
      <c r="C102" s="99" t="str">
        <f t="shared" ref="C102" si="63">IF(K102&gt;0,MID(K102,5, 1), 0)</f>
        <v>4</v>
      </c>
      <c r="D102" s="121">
        <f>COUNTIFS($F$33:F102,F102, $G$33:G102,G102, $C$33:C102,C102, $L$33:L102,L102)</f>
        <v>1</v>
      </c>
      <c r="E102" s="20">
        <v>1</v>
      </c>
      <c r="F102" s="20">
        <v>0</v>
      </c>
      <c r="G102" s="20">
        <v>1</v>
      </c>
      <c r="H102" s="103" t="s">
        <v>959</v>
      </c>
      <c r="I102" s="20" t="s">
        <v>1602</v>
      </c>
      <c r="J102" s="104" t="str">
        <f t="shared" si="2"/>
        <v>Item_Name_14160001</v>
      </c>
      <c r="K102" s="20">
        <v>10104001</v>
      </c>
      <c r="L102" s="107">
        <f t="shared" si="18"/>
        <v>6</v>
      </c>
      <c r="M102" s="105">
        <f>IF(D102=0, 0, _xlfn.XLOOKUP($F102,'#무게관련'!$B:$B,'#무게관련'!$C:$C)*_xlfn.XLOOKUP($L102,'#무게관련'!$F:$F,'#무게관련'!$G:$G)*100)</f>
        <v>14000</v>
      </c>
      <c r="N102" s="20">
        <v>20100</v>
      </c>
      <c r="O102" s="20">
        <v>4</v>
      </c>
      <c r="P102" s="20">
        <v>15</v>
      </c>
      <c r="Q102" s="20">
        <v>1</v>
      </c>
      <c r="R102" s="20">
        <v>100</v>
      </c>
      <c r="S102" s="20">
        <v>1</v>
      </c>
      <c r="T102" s="109" t="s">
        <v>1853</v>
      </c>
      <c r="U102" s="104" t="str">
        <f t="shared" si="5"/>
        <v>item_bg_grade_06</v>
      </c>
      <c r="V102" s="20" t="s">
        <v>524</v>
      </c>
      <c r="W102" s="20" t="s">
        <v>329</v>
      </c>
      <c r="X102" s="104">
        <v>0</v>
      </c>
      <c r="Y102" s="104">
        <v>0</v>
      </c>
      <c r="Z102" s="104">
        <v>0</v>
      </c>
      <c r="AA102" s="104">
        <v>0</v>
      </c>
      <c r="AB102" s="104">
        <v>0</v>
      </c>
      <c r="AC102" s="104">
        <v>0</v>
      </c>
      <c r="AD102" s="142">
        <v>0</v>
      </c>
      <c r="AE102" s="112">
        <f t="shared" si="19"/>
        <v>70</v>
      </c>
      <c r="AF102" s="70">
        <v>4600010</v>
      </c>
      <c r="AG102" s="105" cm="1">
        <f t="array" ref="AG102">_xlfn.SWITCH(L102,3,1,
           4,1,
           5,1,
           6,1,0)</f>
        <v>1</v>
      </c>
      <c r="AH102" s="146">
        <f t="shared" si="47"/>
        <v>0</v>
      </c>
      <c r="AI102" s="90">
        <v>6004</v>
      </c>
      <c r="AJ102" s="90">
        <v>2010</v>
      </c>
      <c r="AK102" s="27">
        <v>6000</v>
      </c>
      <c r="AL102" s="123">
        <f>_xlfn.XLOOKUP(H102,'#각종 참고'!$B$11:$B$20,'#각종 참고'!$D$11:$D$20)</f>
        <v>0</v>
      </c>
      <c r="AM102" s="27">
        <v>1</v>
      </c>
      <c r="AN102" s="27">
        <v>1</v>
      </c>
      <c r="AO102" s="124">
        <f t="shared" si="62"/>
        <v>1</v>
      </c>
      <c r="AP102" s="27">
        <v>1</v>
      </c>
      <c r="AQ102" s="21">
        <v>14160001</v>
      </c>
      <c r="AR102" s="21" t="s">
        <v>1602</v>
      </c>
      <c r="AS102" s="68"/>
      <c r="AT102" s="68"/>
      <c r="AU102" s="68"/>
    </row>
    <row r="103" spans="1:47" x14ac:dyDescent="0.3">
      <c r="A103" s="19" t="s">
        <v>513</v>
      </c>
      <c r="B103" s="109">
        <v>14160002</v>
      </c>
      <c r="C103" s="99" t="str">
        <f t="shared" ref="C103:C104" si="64">IF(K103&gt;0,MID(K103,5, 1), 0)</f>
        <v>4</v>
      </c>
      <c r="D103" s="121">
        <f>COUNTIFS($F$33:F103,F103, $G$33:G103,G103, $C$33:C103,C103, $L$33:L103,L103)</f>
        <v>2</v>
      </c>
      <c r="E103" s="20">
        <v>1</v>
      </c>
      <c r="F103" s="20">
        <v>0</v>
      </c>
      <c r="G103" s="20">
        <v>1</v>
      </c>
      <c r="H103" s="103" t="s">
        <v>959</v>
      </c>
      <c r="I103" s="20" t="s">
        <v>1601</v>
      </c>
      <c r="J103" s="104" t="str">
        <f t="shared" si="2"/>
        <v>Item_Name_14160002</v>
      </c>
      <c r="K103" s="20">
        <v>10104001</v>
      </c>
      <c r="L103" s="107">
        <f t="shared" si="18"/>
        <v>6</v>
      </c>
      <c r="M103" s="105">
        <f>IF(D103=0, 0, _xlfn.XLOOKUP($F103,'#무게관련'!$B:$B,'#무게관련'!$C:$C)*_xlfn.XLOOKUP($L103,'#무게관련'!$F:$F,'#무게관련'!$G:$G)*100)</f>
        <v>14000</v>
      </c>
      <c r="N103" s="20">
        <v>20100</v>
      </c>
      <c r="O103" s="20">
        <v>4</v>
      </c>
      <c r="P103" s="20">
        <v>15</v>
      </c>
      <c r="Q103" s="20">
        <v>1</v>
      </c>
      <c r="R103" s="20">
        <v>100</v>
      </c>
      <c r="S103" s="20">
        <v>1</v>
      </c>
      <c r="T103" s="109" t="s">
        <v>1853</v>
      </c>
      <c r="U103" s="104" t="str">
        <f t="shared" ref="U103:U104" si="65">"item_bg_grade_0"&amp;L103</f>
        <v>item_bg_grade_06</v>
      </c>
      <c r="V103" s="20" t="s">
        <v>524</v>
      </c>
      <c r="W103" s="20" t="s">
        <v>329</v>
      </c>
      <c r="X103" s="104">
        <v>0</v>
      </c>
      <c r="Y103" s="104">
        <v>0</v>
      </c>
      <c r="Z103" s="104">
        <v>0</v>
      </c>
      <c r="AA103" s="104">
        <v>0</v>
      </c>
      <c r="AB103" s="104">
        <v>0</v>
      </c>
      <c r="AC103" s="104">
        <v>0</v>
      </c>
      <c r="AD103" s="142">
        <v>0</v>
      </c>
      <c r="AE103" s="112">
        <f t="shared" si="19"/>
        <v>70</v>
      </c>
      <c r="AF103" s="70">
        <v>4600010</v>
      </c>
      <c r="AG103" s="105" cm="1">
        <f t="array" ref="AG103">_xlfn.SWITCH(L103,3,1,
           4,1,
           5,1,
           6,1,0)</f>
        <v>1</v>
      </c>
      <c r="AH103" s="146">
        <f t="shared" si="47"/>
        <v>0</v>
      </c>
      <c r="AI103" s="90">
        <v>6004</v>
      </c>
      <c r="AJ103" s="90">
        <v>2010</v>
      </c>
      <c r="AK103" s="27">
        <v>6000</v>
      </c>
      <c r="AL103" s="123">
        <f>_xlfn.XLOOKUP(H103,'#각종 참고'!$B$11:$B$20,'#각종 참고'!$D$11:$D$20)</f>
        <v>0</v>
      </c>
      <c r="AM103" s="27">
        <v>1</v>
      </c>
      <c r="AN103" s="27">
        <v>1</v>
      </c>
      <c r="AO103" s="124">
        <f t="shared" si="62"/>
        <v>1</v>
      </c>
      <c r="AP103" s="27">
        <v>1</v>
      </c>
      <c r="AQ103" s="21">
        <v>14160011</v>
      </c>
      <c r="AR103" s="21" t="s">
        <v>2291</v>
      </c>
      <c r="AS103" s="68"/>
      <c r="AT103" s="68"/>
      <c r="AU103" s="68"/>
    </row>
    <row r="104" spans="1:47" x14ac:dyDescent="0.3">
      <c r="A104" s="19" t="s">
        <v>513</v>
      </c>
      <c r="B104" s="109">
        <v>14160003</v>
      </c>
      <c r="C104" s="99" t="str">
        <f t="shared" si="64"/>
        <v>4</v>
      </c>
      <c r="D104" s="121">
        <f>COUNTIFS($F$33:F104,F104, $G$33:G104,G104, $C$33:C104,C104, $L$33:L104,L104)</f>
        <v>3</v>
      </c>
      <c r="E104" s="20">
        <v>1</v>
      </c>
      <c r="F104" s="20">
        <v>0</v>
      </c>
      <c r="G104" s="20">
        <v>1</v>
      </c>
      <c r="H104" s="103" t="s">
        <v>959</v>
      </c>
      <c r="I104" s="20" t="s">
        <v>2053</v>
      </c>
      <c r="J104" s="104" t="str">
        <f t="shared" si="2"/>
        <v>Item_Name_14160003</v>
      </c>
      <c r="K104" s="20">
        <v>10104001</v>
      </c>
      <c r="L104" s="107">
        <f t="shared" si="18"/>
        <v>6</v>
      </c>
      <c r="M104" s="105">
        <f>IF(D104=0, 0, _xlfn.XLOOKUP($F104,'#무게관련'!$B:$B,'#무게관련'!$C:$C)*_xlfn.XLOOKUP($L104,'#무게관련'!$F:$F,'#무게관련'!$G:$G)*100)</f>
        <v>14000</v>
      </c>
      <c r="N104" s="20">
        <v>20100</v>
      </c>
      <c r="O104" s="20">
        <v>4</v>
      </c>
      <c r="P104" s="20">
        <v>15</v>
      </c>
      <c r="Q104" s="20">
        <v>1</v>
      </c>
      <c r="R104" s="20">
        <v>100</v>
      </c>
      <c r="S104" s="20">
        <v>1</v>
      </c>
      <c r="T104" s="109" t="s">
        <v>1853</v>
      </c>
      <c r="U104" s="104" t="str">
        <f t="shared" si="65"/>
        <v>item_bg_grade_06</v>
      </c>
      <c r="V104" s="20" t="s">
        <v>524</v>
      </c>
      <c r="W104" s="20" t="s">
        <v>329</v>
      </c>
      <c r="X104" s="104">
        <v>0</v>
      </c>
      <c r="Y104" s="104">
        <v>0</v>
      </c>
      <c r="Z104" s="104">
        <v>0</v>
      </c>
      <c r="AA104" s="104">
        <v>0</v>
      </c>
      <c r="AB104" s="104">
        <v>0</v>
      </c>
      <c r="AC104" s="104">
        <v>0</v>
      </c>
      <c r="AD104" s="142">
        <v>0</v>
      </c>
      <c r="AE104" s="112">
        <f t="shared" si="19"/>
        <v>70</v>
      </c>
      <c r="AF104" s="70">
        <v>4600010</v>
      </c>
      <c r="AG104" s="105" cm="1">
        <f t="array" ref="AG104">_xlfn.SWITCH(L104,3,1,
           4,1,
           5,1,
           6,1,0)</f>
        <v>1</v>
      </c>
      <c r="AH104" s="146">
        <f t="shared" si="47"/>
        <v>0</v>
      </c>
      <c r="AI104" s="90">
        <v>6004</v>
      </c>
      <c r="AJ104" s="90">
        <v>2010</v>
      </c>
      <c r="AK104" s="27">
        <v>6000</v>
      </c>
      <c r="AL104" s="123">
        <f>_xlfn.XLOOKUP(H104,'#각종 참고'!$B$11:$B$20,'#각종 참고'!$D$11:$D$20)</f>
        <v>0</v>
      </c>
      <c r="AM104" s="27">
        <v>1</v>
      </c>
      <c r="AN104" s="27">
        <v>1</v>
      </c>
      <c r="AO104" s="124">
        <f t="shared" si="62"/>
        <v>1</v>
      </c>
      <c r="AP104" s="27">
        <v>1</v>
      </c>
      <c r="AQ104" s="21">
        <v>14160021</v>
      </c>
      <c r="AR104" s="21" t="s">
        <v>2292</v>
      </c>
      <c r="AS104" s="68"/>
      <c r="AT104" s="68"/>
      <c r="AU104" s="68"/>
    </row>
    <row r="105" spans="1:47" s="68" customFormat="1" x14ac:dyDescent="0.3">
      <c r="A105" s="65"/>
      <c r="B105" s="110">
        <v>11111001</v>
      </c>
      <c r="C105" s="99" t="str">
        <f t="shared" si="1"/>
        <v>1</v>
      </c>
      <c r="D105" s="120">
        <f>COUNTIFS($F$33:F105,F105, $G$33:G105,G105, $C$33:C105,C105, $L$33:L105,L105)</f>
        <v>1</v>
      </c>
      <c r="E105" s="20">
        <v>1</v>
      </c>
      <c r="F105" s="66">
        <v>1</v>
      </c>
      <c r="G105" s="66">
        <v>1</v>
      </c>
      <c r="H105" s="103" t="s">
        <v>960</v>
      </c>
      <c r="I105" s="66" t="s">
        <v>1603</v>
      </c>
      <c r="J105" s="104" t="str">
        <f t="shared" si="2"/>
        <v>Item_Name_11111001</v>
      </c>
      <c r="K105" s="66">
        <v>10101001</v>
      </c>
      <c r="L105" s="106">
        <f t="shared" si="18"/>
        <v>1</v>
      </c>
      <c r="M105" s="105">
        <f>IF(D105=0, 0, _xlfn.XLOOKUP($F105,'#무게관련'!$B:$B,'#무게관련'!$C:$C)*_xlfn.XLOOKUP($L105,'#무게관련'!$F:$F,'#무게관련'!$G:$G)*100)</f>
        <v>14000</v>
      </c>
      <c r="N105" s="20">
        <v>20200</v>
      </c>
      <c r="O105" s="20">
        <v>1</v>
      </c>
      <c r="P105" s="66">
        <v>15</v>
      </c>
      <c r="Q105" s="20">
        <v>1</v>
      </c>
      <c r="R105" s="66">
        <v>100</v>
      </c>
      <c r="S105" s="66">
        <v>1</v>
      </c>
      <c r="T105" s="66" t="s">
        <v>1854</v>
      </c>
      <c r="U105" s="104" t="str">
        <f t="shared" si="5"/>
        <v>item_bg_grade_01</v>
      </c>
      <c r="V105" s="66" t="s">
        <v>319</v>
      </c>
      <c r="W105" s="66" t="s">
        <v>330</v>
      </c>
      <c r="X105" s="104">
        <v>0</v>
      </c>
      <c r="Y105" s="104">
        <v>0</v>
      </c>
      <c r="Z105" s="104">
        <v>0</v>
      </c>
      <c r="AA105" s="104">
        <v>0</v>
      </c>
      <c r="AB105" s="104">
        <v>0</v>
      </c>
      <c r="AC105" s="104">
        <v>0</v>
      </c>
      <c r="AD105" s="142">
        <v>0</v>
      </c>
      <c r="AE105" s="111">
        <f t="shared" si="19"/>
        <v>10</v>
      </c>
      <c r="AF105" s="70">
        <v>1101010</v>
      </c>
      <c r="AG105" s="105" cm="1">
        <f t="array" ref="AG105">_xlfn.SWITCH(L105,3,1,
           4,1,
           5,1,
           6,1,0)</f>
        <v>0</v>
      </c>
      <c r="AH105" s="146">
        <f t="shared" si="47"/>
        <v>80100101</v>
      </c>
      <c r="AI105" s="90">
        <v>0</v>
      </c>
      <c r="AJ105" s="90">
        <v>0</v>
      </c>
      <c r="AK105" s="27">
        <v>0</v>
      </c>
      <c r="AL105" s="123">
        <f>_xlfn.XLOOKUP(H105,'#각종 참고'!$B$11:$B$20,'#각종 참고'!$D$11:$D$20)</f>
        <v>0</v>
      </c>
      <c r="AM105" s="27">
        <v>1</v>
      </c>
      <c r="AN105" s="27">
        <v>1</v>
      </c>
      <c r="AO105" s="124">
        <f t="shared" si="62"/>
        <v>1</v>
      </c>
      <c r="AP105" s="27">
        <v>1</v>
      </c>
      <c r="AQ105" s="21">
        <v>11111001</v>
      </c>
      <c r="AR105" s="68" t="s">
        <v>1603</v>
      </c>
    </row>
    <row r="106" spans="1:47" s="68" customFormat="1" x14ac:dyDescent="0.3">
      <c r="A106" s="65"/>
      <c r="B106" s="110">
        <v>11111002</v>
      </c>
      <c r="C106" s="99" t="str">
        <f t="shared" ref="C106:C107" si="66">IF(K106&gt;0,MID(K106,5, 1), 0)</f>
        <v>1</v>
      </c>
      <c r="D106" s="120">
        <f>COUNTIFS($F$33:F106,F106, $G$33:G106,G106, $C$33:C106,C106, $L$33:L106,L106)</f>
        <v>2</v>
      </c>
      <c r="E106" s="20">
        <v>1</v>
      </c>
      <c r="F106" s="66">
        <v>1</v>
      </c>
      <c r="G106" s="66">
        <v>1</v>
      </c>
      <c r="H106" s="103" t="s">
        <v>960</v>
      </c>
      <c r="I106" s="66" t="s">
        <v>2055</v>
      </c>
      <c r="J106" s="104" t="str">
        <f t="shared" si="2"/>
        <v>Item_Name_11111002</v>
      </c>
      <c r="K106" s="66">
        <v>10101001</v>
      </c>
      <c r="L106" s="106">
        <f t="shared" si="18"/>
        <v>1</v>
      </c>
      <c r="M106" s="105">
        <f>IF(D106=0, 0, _xlfn.XLOOKUP($F106,'#무게관련'!$B:$B,'#무게관련'!$C:$C)*_xlfn.XLOOKUP($L106,'#무게관련'!$F:$F,'#무게관련'!$G:$G)*100)</f>
        <v>14000</v>
      </c>
      <c r="N106" s="20">
        <v>20200</v>
      </c>
      <c r="O106" s="20">
        <v>1</v>
      </c>
      <c r="P106" s="66">
        <v>15</v>
      </c>
      <c r="Q106" s="20">
        <v>1</v>
      </c>
      <c r="R106" s="66">
        <v>100</v>
      </c>
      <c r="S106" s="66">
        <v>1</v>
      </c>
      <c r="T106" s="66" t="s">
        <v>1854</v>
      </c>
      <c r="U106" s="104" t="str">
        <f t="shared" ref="U106:U107" si="67">"item_bg_grade_0"&amp;L106</f>
        <v>item_bg_grade_01</v>
      </c>
      <c r="V106" s="66" t="s">
        <v>319</v>
      </c>
      <c r="W106" s="66" t="s">
        <v>330</v>
      </c>
      <c r="X106" s="104">
        <v>0</v>
      </c>
      <c r="Y106" s="104">
        <v>0</v>
      </c>
      <c r="Z106" s="104">
        <v>0</v>
      </c>
      <c r="AA106" s="104">
        <v>0</v>
      </c>
      <c r="AB106" s="104">
        <v>0</v>
      </c>
      <c r="AC106" s="104">
        <v>0</v>
      </c>
      <c r="AD106" s="142">
        <v>0</v>
      </c>
      <c r="AE106" s="111">
        <f t="shared" si="19"/>
        <v>10</v>
      </c>
      <c r="AF106" s="70">
        <v>1101020</v>
      </c>
      <c r="AG106" s="105" cm="1">
        <f t="array" ref="AG106">_xlfn.SWITCH(L106,3,1,
           4,1,
           5,1,
           6,1,0)</f>
        <v>0</v>
      </c>
      <c r="AH106" s="146">
        <f t="shared" si="47"/>
        <v>80100101</v>
      </c>
      <c r="AI106" s="90">
        <v>0</v>
      </c>
      <c r="AJ106" s="90">
        <v>0</v>
      </c>
      <c r="AK106" s="27">
        <v>0</v>
      </c>
      <c r="AL106" s="123">
        <f>_xlfn.XLOOKUP(H106,'#각종 참고'!$B$11:$B$20,'#각종 참고'!$D$11:$D$20)</f>
        <v>0</v>
      </c>
      <c r="AM106" s="27">
        <v>1</v>
      </c>
      <c r="AN106" s="27">
        <v>1</v>
      </c>
      <c r="AO106" s="124">
        <f t="shared" si="62"/>
        <v>1</v>
      </c>
      <c r="AP106" s="27">
        <v>1</v>
      </c>
      <c r="AQ106" s="21">
        <v>11111011</v>
      </c>
      <c r="AR106" s="68" t="s">
        <v>2293</v>
      </c>
    </row>
    <row r="107" spans="1:47" s="68" customFormat="1" x14ac:dyDescent="0.3">
      <c r="A107" s="65"/>
      <c r="B107" s="110">
        <v>11111003</v>
      </c>
      <c r="C107" s="99" t="str">
        <f t="shared" si="66"/>
        <v>1</v>
      </c>
      <c r="D107" s="120">
        <f>COUNTIFS($F$33:F107,F107, $G$33:G107,G107, $C$33:C107,C107, $L$33:L107,L107)</f>
        <v>3</v>
      </c>
      <c r="E107" s="20">
        <v>1</v>
      </c>
      <c r="F107" s="66">
        <v>1</v>
      </c>
      <c r="G107" s="66">
        <v>1</v>
      </c>
      <c r="H107" s="103" t="s">
        <v>960</v>
      </c>
      <c r="I107" s="66" t="s">
        <v>2054</v>
      </c>
      <c r="J107" s="104" t="str">
        <f t="shared" si="2"/>
        <v>Item_Name_11111003</v>
      </c>
      <c r="K107" s="66">
        <v>10101001</v>
      </c>
      <c r="L107" s="106">
        <f t="shared" si="18"/>
        <v>1</v>
      </c>
      <c r="M107" s="105">
        <f>IF(D107=0, 0, _xlfn.XLOOKUP($F107,'#무게관련'!$B:$B,'#무게관련'!$C:$C)*_xlfn.XLOOKUP($L107,'#무게관련'!$F:$F,'#무게관련'!$G:$G)*100)</f>
        <v>14000</v>
      </c>
      <c r="N107" s="20">
        <v>20200</v>
      </c>
      <c r="O107" s="20">
        <v>1</v>
      </c>
      <c r="P107" s="66">
        <v>15</v>
      </c>
      <c r="Q107" s="20">
        <v>1</v>
      </c>
      <c r="R107" s="66">
        <v>100</v>
      </c>
      <c r="S107" s="66">
        <v>1</v>
      </c>
      <c r="T107" s="66" t="s">
        <v>1854</v>
      </c>
      <c r="U107" s="104" t="str">
        <f t="shared" si="67"/>
        <v>item_bg_grade_01</v>
      </c>
      <c r="V107" s="66" t="s">
        <v>319</v>
      </c>
      <c r="W107" s="66" t="s">
        <v>330</v>
      </c>
      <c r="X107" s="104">
        <v>0</v>
      </c>
      <c r="Y107" s="104">
        <v>0</v>
      </c>
      <c r="Z107" s="104">
        <v>0</v>
      </c>
      <c r="AA107" s="104">
        <v>0</v>
      </c>
      <c r="AB107" s="104">
        <v>0</v>
      </c>
      <c r="AC107" s="104">
        <v>0</v>
      </c>
      <c r="AD107" s="142">
        <v>0</v>
      </c>
      <c r="AE107" s="111">
        <f t="shared" si="19"/>
        <v>10</v>
      </c>
      <c r="AF107" s="70">
        <v>1101030</v>
      </c>
      <c r="AG107" s="105" cm="1">
        <f t="array" ref="AG107">_xlfn.SWITCH(L107,3,1,
           4,1,
           5,1,
           6,1,0)</f>
        <v>0</v>
      </c>
      <c r="AH107" s="146">
        <f t="shared" si="47"/>
        <v>80100101</v>
      </c>
      <c r="AI107" s="90">
        <v>0</v>
      </c>
      <c r="AJ107" s="90">
        <v>0</v>
      </c>
      <c r="AK107" s="27">
        <v>0</v>
      </c>
      <c r="AL107" s="123">
        <f>_xlfn.XLOOKUP(H107,'#각종 참고'!$B$11:$B$20,'#각종 참고'!$D$11:$D$20)</f>
        <v>0</v>
      </c>
      <c r="AM107" s="27">
        <v>1</v>
      </c>
      <c r="AN107" s="27">
        <v>1</v>
      </c>
      <c r="AO107" s="124">
        <f t="shared" si="62"/>
        <v>1</v>
      </c>
      <c r="AP107" s="27">
        <v>1</v>
      </c>
      <c r="AQ107" s="21">
        <v>11111021</v>
      </c>
      <c r="AR107" s="68" t="s">
        <v>2294</v>
      </c>
    </row>
    <row r="108" spans="1:47" x14ac:dyDescent="0.3">
      <c r="A108" s="19"/>
      <c r="B108" s="109">
        <v>11121001</v>
      </c>
      <c r="C108" s="99" t="str">
        <f t="shared" si="1"/>
        <v>1</v>
      </c>
      <c r="D108" s="121">
        <f>COUNTIFS($F$33:F108,F108, $G$33:G108,G108, $C$33:C108,C108, $L$33:L108,L108)</f>
        <v>1</v>
      </c>
      <c r="E108" s="20">
        <v>1</v>
      </c>
      <c r="F108" s="20">
        <v>1</v>
      </c>
      <c r="G108" s="20">
        <v>1</v>
      </c>
      <c r="H108" s="103" t="s">
        <v>960</v>
      </c>
      <c r="I108" s="20" t="s">
        <v>1604</v>
      </c>
      <c r="J108" s="104" t="str">
        <f t="shared" si="2"/>
        <v>Item_Name_11121001</v>
      </c>
      <c r="K108" s="20">
        <v>10101001</v>
      </c>
      <c r="L108" s="108">
        <f t="shared" si="18"/>
        <v>2</v>
      </c>
      <c r="M108" s="105">
        <f>IF(D108=0, 0, _xlfn.XLOOKUP($F108,'#무게관련'!$B:$B,'#무게관련'!$C:$C)*_xlfn.XLOOKUP($L108,'#무게관련'!$F:$F,'#무게관련'!$G:$G)*100)</f>
        <v>14000</v>
      </c>
      <c r="N108" s="20">
        <v>20200</v>
      </c>
      <c r="O108" s="20">
        <v>1</v>
      </c>
      <c r="P108" s="20">
        <v>15</v>
      </c>
      <c r="Q108" s="20">
        <v>1</v>
      </c>
      <c r="R108" s="20">
        <v>100</v>
      </c>
      <c r="S108" s="20">
        <v>1</v>
      </c>
      <c r="T108" s="20" t="s">
        <v>1855</v>
      </c>
      <c r="U108" s="104" t="str">
        <f t="shared" si="5"/>
        <v>item_bg_grade_02</v>
      </c>
      <c r="V108" s="20" t="s">
        <v>319</v>
      </c>
      <c r="W108" s="20" t="s">
        <v>330</v>
      </c>
      <c r="X108" s="104">
        <v>0</v>
      </c>
      <c r="Y108" s="104">
        <v>0</v>
      </c>
      <c r="Z108" s="104">
        <v>0</v>
      </c>
      <c r="AA108" s="104">
        <v>0</v>
      </c>
      <c r="AB108" s="104">
        <v>0</v>
      </c>
      <c r="AC108" s="104">
        <v>0</v>
      </c>
      <c r="AD108" s="142">
        <v>0</v>
      </c>
      <c r="AE108" s="112">
        <f t="shared" si="19"/>
        <v>20</v>
      </c>
      <c r="AF108" s="70">
        <v>1201010</v>
      </c>
      <c r="AG108" s="105" cm="1">
        <f t="array" ref="AG108">_xlfn.SWITCH(L108,3,1,
           4,1,
           5,1,
           6,1,0)</f>
        <v>0</v>
      </c>
      <c r="AH108" s="146">
        <f t="shared" si="47"/>
        <v>80100201</v>
      </c>
      <c r="AI108" s="90">
        <v>6000</v>
      </c>
      <c r="AJ108" s="90">
        <v>2001</v>
      </c>
      <c r="AK108" s="27">
        <v>2001</v>
      </c>
      <c r="AL108" s="123">
        <f>_xlfn.XLOOKUP(H108,'#각종 참고'!$B$11:$B$20,'#각종 참고'!$D$11:$D$20)</f>
        <v>0</v>
      </c>
      <c r="AM108" s="27">
        <v>1</v>
      </c>
      <c r="AN108" s="27">
        <v>1</v>
      </c>
      <c r="AO108" s="124">
        <f t="shared" si="62"/>
        <v>1</v>
      </c>
      <c r="AP108" s="27">
        <v>1</v>
      </c>
      <c r="AQ108" s="21">
        <v>11121001</v>
      </c>
      <c r="AR108" s="21" t="s">
        <v>1604</v>
      </c>
      <c r="AS108" s="68"/>
      <c r="AT108" s="68"/>
      <c r="AU108" s="68"/>
    </row>
    <row r="109" spans="1:47" x14ac:dyDescent="0.3">
      <c r="A109" s="19"/>
      <c r="B109" s="109">
        <v>11121002</v>
      </c>
      <c r="C109" s="99" t="str">
        <f t="shared" ref="C109:C110" si="68">IF(K109&gt;0,MID(K109,5, 1), 0)</f>
        <v>1</v>
      </c>
      <c r="D109" s="121">
        <f>COUNTIFS($F$33:F109,F109, $G$33:G109,G109, $C$33:C109,C109, $L$33:L109,L109)</f>
        <v>2</v>
      </c>
      <c r="E109" s="20">
        <v>1</v>
      </c>
      <c r="F109" s="20">
        <v>1</v>
      </c>
      <c r="G109" s="20">
        <v>1</v>
      </c>
      <c r="H109" s="103" t="s">
        <v>960</v>
      </c>
      <c r="I109" s="20" t="s">
        <v>2056</v>
      </c>
      <c r="J109" s="104" t="str">
        <f t="shared" ref="J109:J172" si="69">"Item_Name_"&amp;$B109</f>
        <v>Item_Name_11121002</v>
      </c>
      <c r="K109" s="20">
        <v>10101001</v>
      </c>
      <c r="L109" s="108">
        <f t="shared" si="18"/>
        <v>2</v>
      </c>
      <c r="M109" s="105">
        <f>IF(D109=0, 0, _xlfn.XLOOKUP($F109,'#무게관련'!$B:$B,'#무게관련'!$C:$C)*_xlfn.XLOOKUP($L109,'#무게관련'!$F:$F,'#무게관련'!$G:$G)*100)</f>
        <v>14000</v>
      </c>
      <c r="N109" s="20">
        <v>20200</v>
      </c>
      <c r="O109" s="20">
        <v>1</v>
      </c>
      <c r="P109" s="20">
        <v>15</v>
      </c>
      <c r="Q109" s="20">
        <v>1</v>
      </c>
      <c r="R109" s="20">
        <v>100</v>
      </c>
      <c r="S109" s="20">
        <v>1</v>
      </c>
      <c r="T109" s="20" t="s">
        <v>1855</v>
      </c>
      <c r="U109" s="104" t="str">
        <f t="shared" ref="U109:U110" si="70">"item_bg_grade_0"&amp;L109</f>
        <v>item_bg_grade_02</v>
      </c>
      <c r="V109" s="20" t="s">
        <v>319</v>
      </c>
      <c r="W109" s="20" t="s">
        <v>330</v>
      </c>
      <c r="X109" s="104">
        <v>0</v>
      </c>
      <c r="Y109" s="104">
        <v>0</v>
      </c>
      <c r="Z109" s="104">
        <v>0</v>
      </c>
      <c r="AA109" s="104">
        <v>0</v>
      </c>
      <c r="AB109" s="104">
        <v>0</v>
      </c>
      <c r="AC109" s="104">
        <v>0</v>
      </c>
      <c r="AD109" s="142">
        <v>0</v>
      </c>
      <c r="AE109" s="112">
        <f t="shared" si="19"/>
        <v>20</v>
      </c>
      <c r="AF109" s="70">
        <v>1201020</v>
      </c>
      <c r="AG109" s="105" cm="1">
        <f t="array" ref="AG109">_xlfn.SWITCH(L109,3,1,
           4,1,
           5,1,
           6,1,0)</f>
        <v>0</v>
      </c>
      <c r="AH109" s="146">
        <f t="shared" si="47"/>
        <v>80100201</v>
      </c>
      <c r="AI109" s="90">
        <v>6000</v>
      </c>
      <c r="AJ109" s="90">
        <v>2001</v>
      </c>
      <c r="AK109" s="27">
        <v>2001</v>
      </c>
      <c r="AL109" s="123">
        <f>_xlfn.XLOOKUP(H109,'#각종 참고'!$B$11:$B$20,'#각종 참고'!$D$11:$D$20)</f>
        <v>0</v>
      </c>
      <c r="AM109" s="27">
        <v>1</v>
      </c>
      <c r="AN109" s="27">
        <v>1</v>
      </c>
      <c r="AO109" s="124">
        <f t="shared" si="62"/>
        <v>1</v>
      </c>
      <c r="AP109" s="27">
        <v>1</v>
      </c>
      <c r="AQ109" s="21">
        <v>11121011</v>
      </c>
      <c r="AR109" s="21" t="s">
        <v>2295</v>
      </c>
      <c r="AS109" s="68"/>
      <c r="AT109" s="68"/>
      <c r="AU109" s="68"/>
    </row>
    <row r="110" spans="1:47" x14ac:dyDescent="0.3">
      <c r="A110" s="19"/>
      <c r="B110" s="109">
        <v>11121003</v>
      </c>
      <c r="C110" s="99" t="str">
        <f t="shared" si="68"/>
        <v>1</v>
      </c>
      <c r="D110" s="121">
        <f>COUNTIFS($F$33:F110,F110, $G$33:G110,G110, $C$33:C110,C110, $L$33:L110,L110)</f>
        <v>3</v>
      </c>
      <c r="E110" s="20">
        <v>1</v>
      </c>
      <c r="F110" s="20">
        <v>1</v>
      </c>
      <c r="G110" s="20">
        <v>1</v>
      </c>
      <c r="H110" s="103" t="s">
        <v>960</v>
      </c>
      <c r="I110" s="20" t="s">
        <v>1973</v>
      </c>
      <c r="J110" s="104" t="str">
        <f t="shared" si="69"/>
        <v>Item_Name_11121003</v>
      </c>
      <c r="K110" s="20">
        <v>10101001</v>
      </c>
      <c r="L110" s="108">
        <f t="shared" si="18"/>
        <v>2</v>
      </c>
      <c r="M110" s="105">
        <f>IF(D110=0, 0, _xlfn.XLOOKUP($F110,'#무게관련'!$B:$B,'#무게관련'!$C:$C)*_xlfn.XLOOKUP($L110,'#무게관련'!$F:$F,'#무게관련'!$G:$G)*100)</f>
        <v>14000</v>
      </c>
      <c r="N110" s="20">
        <v>20200</v>
      </c>
      <c r="O110" s="20">
        <v>1</v>
      </c>
      <c r="P110" s="20">
        <v>15</v>
      </c>
      <c r="Q110" s="20">
        <v>1</v>
      </c>
      <c r="R110" s="20">
        <v>100</v>
      </c>
      <c r="S110" s="20">
        <v>1</v>
      </c>
      <c r="T110" s="20" t="s">
        <v>1855</v>
      </c>
      <c r="U110" s="104" t="str">
        <f t="shared" si="70"/>
        <v>item_bg_grade_02</v>
      </c>
      <c r="V110" s="20" t="s">
        <v>319</v>
      </c>
      <c r="W110" s="20" t="s">
        <v>330</v>
      </c>
      <c r="X110" s="104">
        <v>0</v>
      </c>
      <c r="Y110" s="104">
        <v>0</v>
      </c>
      <c r="Z110" s="104">
        <v>0</v>
      </c>
      <c r="AA110" s="104">
        <v>0</v>
      </c>
      <c r="AB110" s="104">
        <v>0</v>
      </c>
      <c r="AC110" s="104">
        <v>0</v>
      </c>
      <c r="AD110" s="142">
        <v>0</v>
      </c>
      <c r="AE110" s="112">
        <f t="shared" si="19"/>
        <v>20</v>
      </c>
      <c r="AF110" s="70">
        <v>1201030</v>
      </c>
      <c r="AG110" s="105" cm="1">
        <f t="array" ref="AG110">_xlfn.SWITCH(L110,3,1,
           4,1,
           5,1,
           6,1,0)</f>
        <v>0</v>
      </c>
      <c r="AH110" s="146">
        <f t="shared" si="47"/>
        <v>80100201</v>
      </c>
      <c r="AI110" s="90">
        <v>6000</v>
      </c>
      <c r="AJ110" s="90">
        <v>2001</v>
      </c>
      <c r="AK110" s="27">
        <v>2001</v>
      </c>
      <c r="AL110" s="123">
        <f>_xlfn.XLOOKUP(H110,'#각종 참고'!$B$11:$B$20,'#각종 참고'!$D$11:$D$20)</f>
        <v>0</v>
      </c>
      <c r="AM110" s="27">
        <v>1</v>
      </c>
      <c r="AN110" s="27">
        <v>1</v>
      </c>
      <c r="AO110" s="124">
        <f t="shared" si="62"/>
        <v>1</v>
      </c>
      <c r="AP110" s="27">
        <v>1</v>
      </c>
      <c r="AQ110" s="21">
        <v>11121021</v>
      </c>
      <c r="AR110" s="21" t="s">
        <v>2296</v>
      </c>
      <c r="AS110" s="68"/>
      <c r="AT110" s="68"/>
      <c r="AU110" s="68"/>
    </row>
    <row r="111" spans="1:47" x14ac:dyDescent="0.3">
      <c r="A111" s="19"/>
      <c r="B111" s="109">
        <v>11131001</v>
      </c>
      <c r="C111" s="99" t="str">
        <f t="shared" si="1"/>
        <v>1</v>
      </c>
      <c r="D111" s="121">
        <f>COUNTIFS($F$33:F111,F111, $G$33:G111,G111, $C$33:C111,C111, $L$33:L111,L111)</f>
        <v>1</v>
      </c>
      <c r="E111" s="20">
        <v>1</v>
      </c>
      <c r="F111" s="20">
        <v>1</v>
      </c>
      <c r="G111" s="20">
        <v>1</v>
      </c>
      <c r="H111" s="103" t="s">
        <v>960</v>
      </c>
      <c r="I111" s="20" t="s">
        <v>1605</v>
      </c>
      <c r="J111" s="104" t="str">
        <f t="shared" si="69"/>
        <v>Item_Name_11131001</v>
      </c>
      <c r="K111" s="20">
        <v>10101001</v>
      </c>
      <c r="L111" s="108">
        <f t="shared" si="18"/>
        <v>3</v>
      </c>
      <c r="M111" s="105">
        <f>IF(D111=0, 0, _xlfn.XLOOKUP($F111,'#무게관련'!$B:$B,'#무게관련'!$C:$C)*_xlfn.XLOOKUP($L111,'#무게관련'!$F:$F,'#무게관련'!$G:$G)*100)</f>
        <v>14000</v>
      </c>
      <c r="N111" s="20">
        <v>20200</v>
      </c>
      <c r="O111" s="20">
        <v>1</v>
      </c>
      <c r="P111" s="20">
        <v>15</v>
      </c>
      <c r="Q111" s="20">
        <v>1</v>
      </c>
      <c r="R111" s="20">
        <v>100</v>
      </c>
      <c r="S111" s="20">
        <v>1</v>
      </c>
      <c r="T111" s="20" t="s">
        <v>1856</v>
      </c>
      <c r="U111" s="104" t="str">
        <f t="shared" si="5"/>
        <v>item_bg_grade_03</v>
      </c>
      <c r="V111" s="20" t="s">
        <v>319</v>
      </c>
      <c r="W111" s="20" t="s">
        <v>330</v>
      </c>
      <c r="X111" s="104">
        <v>0</v>
      </c>
      <c r="Y111" s="104">
        <v>0</v>
      </c>
      <c r="Z111" s="104">
        <v>0</v>
      </c>
      <c r="AA111" s="104">
        <v>0</v>
      </c>
      <c r="AB111" s="104">
        <v>0</v>
      </c>
      <c r="AC111" s="104">
        <v>0</v>
      </c>
      <c r="AD111" s="142">
        <v>0</v>
      </c>
      <c r="AE111" s="112">
        <f t="shared" si="19"/>
        <v>30</v>
      </c>
      <c r="AF111" s="70">
        <v>1301010</v>
      </c>
      <c r="AG111" s="105" cm="1">
        <f t="array" ref="AG111">_xlfn.SWITCH(L111,3,1,
           4,1,
           5,1,
           6,1,0)</f>
        <v>1</v>
      </c>
      <c r="AH111" s="146">
        <f t="shared" si="47"/>
        <v>80100301</v>
      </c>
      <c r="AI111" s="90">
        <v>6001</v>
      </c>
      <c r="AJ111" s="90">
        <v>2003</v>
      </c>
      <c r="AK111" s="27">
        <v>3001</v>
      </c>
      <c r="AL111" s="123">
        <f>_xlfn.XLOOKUP(H111,'#각종 참고'!$B$11:$B$20,'#각종 참고'!$D$11:$D$20)</f>
        <v>0</v>
      </c>
      <c r="AM111" s="27">
        <v>1</v>
      </c>
      <c r="AN111" s="27">
        <v>1</v>
      </c>
      <c r="AO111" s="124">
        <f t="shared" si="62"/>
        <v>1</v>
      </c>
      <c r="AP111" s="27">
        <v>1</v>
      </c>
      <c r="AQ111" s="21">
        <v>11131001</v>
      </c>
      <c r="AR111" s="21" t="s">
        <v>1605</v>
      </c>
      <c r="AS111" s="68"/>
      <c r="AT111" s="68"/>
      <c r="AU111" s="68"/>
    </row>
    <row r="112" spans="1:47" x14ac:dyDescent="0.3">
      <c r="A112" s="19"/>
      <c r="B112" s="109">
        <v>11131002</v>
      </c>
      <c r="C112" s="99" t="str">
        <f t="shared" ref="C112:C113" si="71">IF(K112&gt;0,MID(K112,5, 1), 0)</f>
        <v>1</v>
      </c>
      <c r="D112" s="121">
        <f>COUNTIFS($F$33:F112,F112, $G$33:G112,G112, $C$33:C112,C112, $L$33:L112,L112)</f>
        <v>2</v>
      </c>
      <c r="E112" s="20">
        <v>1</v>
      </c>
      <c r="F112" s="20">
        <v>1</v>
      </c>
      <c r="G112" s="20">
        <v>1</v>
      </c>
      <c r="H112" s="103" t="s">
        <v>960</v>
      </c>
      <c r="I112" s="20" t="s">
        <v>1606</v>
      </c>
      <c r="J112" s="104" t="str">
        <f t="shared" si="69"/>
        <v>Item_Name_11131002</v>
      </c>
      <c r="K112" s="20">
        <v>10101001</v>
      </c>
      <c r="L112" s="108">
        <f t="shared" si="18"/>
        <v>3</v>
      </c>
      <c r="M112" s="105">
        <f>IF(D112=0, 0, _xlfn.XLOOKUP($F112,'#무게관련'!$B:$B,'#무게관련'!$C:$C)*_xlfn.XLOOKUP($L112,'#무게관련'!$F:$F,'#무게관련'!$G:$G)*100)</f>
        <v>14000</v>
      </c>
      <c r="N112" s="20">
        <v>20200</v>
      </c>
      <c r="O112" s="20">
        <v>1</v>
      </c>
      <c r="P112" s="20">
        <v>15</v>
      </c>
      <c r="Q112" s="20">
        <v>1</v>
      </c>
      <c r="R112" s="20">
        <v>100</v>
      </c>
      <c r="S112" s="20">
        <v>1</v>
      </c>
      <c r="T112" s="20" t="s">
        <v>1856</v>
      </c>
      <c r="U112" s="104" t="str">
        <f t="shared" ref="U112:U113" si="72">"item_bg_grade_0"&amp;L112</f>
        <v>item_bg_grade_03</v>
      </c>
      <c r="V112" s="20" t="s">
        <v>319</v>
      </c>
      <c r="W112" s="20" t="s">
        <v>330</v>
      </c>
      <c r="X112" s="104">
        <v>0</v>
      </c>
      <c r="Y112" s="104">
        <v>0</v>
      </c>
      <c r="Z112" s="104">
        <v>0</v>
      </c>
      <c r="AA112" s="104">
        <v>0</v>
      </c>
      <c r="AB112" s="104">
        <v>0</v>
      </c>
      <c r="AC112" s="104">
        <v>0</v>
      </c>
      <c r="AD112" s="142">
        <v>0</v>
      </c>
      <c r="AE112" s="112">
        <f t="shared" si="19"/>
        <v>30</v>
      </c>
      <c r="AF112" s="70">
        <v>1301020</v>
      </c>
      <c r="AG112" s="105" cm="1">
        <f t="array" ref="AG112">_xlfn.SWITCH(L112,3,1,
           4,1,
           5,1,
           6,1,0)</f>
        <v>1</v>
      </c>
      <c r="AH112" s="146">
        <f t="shared" si="47"/>
        <v>80100301</v>
      </c>
      <c r="AI112" s="90">
        <v>6001</v>
      </c>
      <c r="AJ112" s="90">
        <v>2003</v>
      </c>
      <c r="AK112" s="27">
        <v>3001</v>
      </c>
      <c r="AL112" s="123">
        <f>_xlfn.XLOOKUP(H112,'#각종 참고'!$B$11:$B$20,'#각종 참고'!$D$11:$D$20)</f>
        <v>0</v>
      </c>
      <c r="AM112" s="27">
        <v>1</v>
      </c>
      <c r="AN112" s="27">
        <v>1</v>
      </c>
      <c r="AO112" s="124">
        <f t="shared" si="62"/>
        <v>1</v>
      </c>
      <c r="AP112" s="27">
        <v>1</v>
      </c>
      <c r="AQ112" s="21">
        <v>11131011</v>
      </c>
      <c r="AR112" s="21" t="s">
        <v>2297</v>
      </c>
      <c r="AS112" s="68"/>
      <c r="AT112" s="68"/>
      <c r="AU112" s="68"/>
    </row>
    <row r="113" spans="1:47" x14ac:dyDescent="0.3">
      <c r="A113" s="19"/>
      <c r="B113" s="109">
        <v>11131003</v>
      </c>
      <c r="C113" s="99" t="str">
        <f t="shared" si="71"/>
        <v>1</v>
      </c>
      <c r="D113" s="121">
        <f>COUNTIFS($F$33:F113,F113, $G$33:G113,G113, $C$33:C113,C113, $L$33:L113,L113)</f>
        <v>3</v>
      </c>
      <c r="E113" s="20">
        <v>1</v>
      </c>
      <c r="F113" s="20">
        <v>1</v>
      </c>
      <c r="G113" s="20">
        <v>1</v>
      </c>
      <c r="H113" s="103" t="s">
        <v>960</v>
      </c>
      <c r="I113" s="20" t="s">
        <v>2057</v>
      </c>
      <c r="J113" s="104" t="str">
        <f t="shared" si="69"/>
        <v>Item_Name_11131003</v>
      </c>
      <c r="K113" s="20">
        <v>10101001</v>
      </c>
      <c r="L113" s="108">
        <f t="shared" si="18"/>
        <v>3</v>
      </c>
      <c r="M113" s="105">
        <f>IF(D113=0, 0, _xlfn.XLOOKUP($F113,'#무게관련'!$B:$B,'#무게관련'!$C:$C)*_xlfn.XLOOKUP($L113,'#무게관련'!$F:$F,'#무게관련'!$G:$G)*100)</f>
        <v>14000</v>
      </c>
      <c r="N113" s="20">
        <v>20200</v>
      </c>
      <c r="O113" s="20">
        <v>1</v>
      </c>
      <c r="P113" s="20">
        <v>15</v>
      </c>
      <c r="Q113" s="20">
        <v>1</v>
      </c>
      <c r="R113" s="20">
        <v>100</v>
      </c>
      <c r="S113" s="20">
        <v>1</v>
      </c>
      <c r="T113" s="20" t="s">
        <v>1856</v>
      </c>
      <c r="U113" s="104" t="str">
        <f t="shared" si="72"/>
        <v>item_bg_grade_03</v>
      </c>
      <c r="V113" s="20" t="s">
        <v>319</v>
      </c>
      <c r="W113" s="20" t="s">
        <v>330</v>
      </c>
      <c r="X113" s="104">
        <v>0</v>
      </c>
      <c r="Y113" s="104">
        <v>0</v>
      </c>
      <c r="Z113" s="104">
        <v>0</v>
      </c>
      <c r="AA113" s="104">
        <v>0</v>
      </c>
      <c r="AB113" s="104">
        <v>0</v>
      </c>
      <c r="AC113" s="104">
        <v>0</v>
      </c>
      <c r="AD113" s="142">
        <v>0</v>
      </c>
      <c r="AE113" s="112">
        <f t="shared" si="19"/>
        <v>30</v>
      </c>
      <c r="AF113" s="70">
        <v>1301030</v>
      </c>
      <c r="AG113" s="105" cm="1">
        <f t="array" ref="AG113">_xlfn.SWITCH(L113,3,1,
           4,1,
           5,1,
           6,1,0)</f>
        <v>1</v>
      </c>
      <c r="AH113" s="146">
        <f t="shared" si="47"/>
        <v>80100301</v>
      </c>
      <c r="AI113" s="90">
        <v>6001</v>
      </c>
      <c r="AJ113" s="90">
        <v>2003</v>
      </c>
      <c r="AK113" s="27">
        <v>3001</v>
      </c>
      <c r="AL113" s="123">
        <f>_xlfn.XLOOKUP(H113,'#각종 참고'!$B$11:$B$20,'#각종 참고'!$D$11:$D$20)</f>
        <v>0</v>
      </c>
      <c r="AM113" s="27">
        <v>1</v>
      </c>
      <c r="AN113" s="27">
        <v>1</v>
      </c>
      <c r="AO113" s="124">
        <f t="shared" si="62"/>
        <v>1</v>
      </c>
      <c r="AP113" s="27">
        <v>1</v>
      </c>
      <c r="AQ113" s="21">
        <v>11131021</v>
      </c>
      <c r="AR113" s="21" t="s">
        <v>2298</v>
      </c>
      <c r="AS113" s="68"/>
      <c r="AT113" s="68"/>
      <c r="AU113" s="68"/>
    </row>
    <row r="114" spans="1:47" x14ac:dyDescent="0.3">
      <c r="A114" s="19"/>
      <c r="B114" s="109">
        <v>11141001</v>
      </c>
      <c r="C114" s="99" t="str">
        <f t="shared" si="1"/>
        <v>1</v>
      </c>
      <c r="D114" s="121">
        <f>COUNTIFS($F$33:F114,F114, $G$33:G114,G114, $C$33:C114,C114, $L$33:L114,L114)</f>
        <v>1</v>
      </c>
      <c r="E114" s="20">
        <v>1</v>
      </c>
      <c r="F114" s="20">
        <v>1</v>
      </c>
      <c r="G114" s="20">
        <v>1</v>
      </c>
      <c r="H114" s="103" t="s">
        <v>960</v>
      </c>
      <c r="I114" s="20" t="s">
        <v>1607</v>
      </c>
      <c r="J114" s="104" t="str">
        <f t="shared" si="69"/>
        <v>Item_Name_11141001</v>
      </c>
      <c r="K114" s="20">
        <v>10101001</v>
      </c>
      <c r="L114" s="108">
        <f t="shared" si="18"/>
        <v>4</v>
      </c>
      <c r="M114" s="105">
        <f>IF(D114=0, 0, _xlfn.XLOOKUP($F114,'#무게관련'!$B:$B,'#무게관련'!$C:$C)*_xlfn.XLOOKUP($L114,'#무게관련'!$F:$F,'#무게관련'!$G:$G)*100)</f>
        <v>14000</v>
      </c>
      <c r="N114" s="20">
        <v>20200</v>
      </c>
      <c r="O114" s="20">
        <v>1</v>
      </c>
      <c r="P114" s="20">
        <v>15</v>
      </c>
      <c r="Q114" s="20">
        <v>1</v>
      </c>
      <c r="R114" s="20">
        <v>100</v>
      </c>
      <c r="S114" s="20">
        <v>1</v>
      </c>
      <c r="T114" s="20" t="s">
        <v>1857</v>
      </c>
      <c r="U114" s="104" t="str">
        <f t="shared" si="5"/>
        <v>item_bg_grade_04</v>
      </c>
      <c r="V114" s="20" t="s">
        <v>319</v>
      </c>
      <c r="W114" s="20" t="s">
        <v>330</v>
      </c>
      <c r="X114" s="104">
        <v>0</v>
      </c>
      <c r="Y114" s="104">
        <v>0</v>
      </c>
      <c r="Z114" s="104">
        <v>0</v>
      </c>
      <c r="AA114" s="104">
        <v>0</v>
      </c>
      <c r="AB114" s="104">
        <v>0</v>
      </c>
      <c r="AC114" s="104">
        <v>0</v>
      </c>
      <c r="AD114" s="142">
        <v>0</v>
      </c>
      <c r="AE114" s="112">
        <f t="shared" si="19"/>
        <v>40</v>
      </c>
      <c r="AF114" s="70">
        <v>1401010</v>
      </c>
      <c r="AG114" s="105" cm="1">
        <f t="array" ref="AG114">_xlfn.SWITCH(L114,3,1,
           4,1,
           5,1,
           6,1,0)</f>
        <v>1</v>
      </c>
      <c r="AH114" s="146">
        <f t="shared" si="47"/>
        <v>80100401</v>
      </c>
      <c r="AI114" s="90">
        <v>6002</v>
      </c>
      <c r="AJ114" s="90">
        <v>2005</v>
      </c>
      <c r="AK114" s="27">
        <v>4001</v>
      </c>
      <c r="AL114" s="123">
        <f>_xlfn.XLOOKUP(H114,'#각종 참고'!$B$11:$B$20,'#각종 참고'!$D$11:$D$20)</f>
        <v>0</v>
      </c>
      <c r="AM114" s="27">
        <v>1</v>
      </c>
      <c r="AN114" s="27">
        <v>1</v>
      </c>
      <c r="AO114" s="124">
        <f t="shared" si="62"/>
        <v>1</v>
      </c>
      <c r="AP114" s="27">
        <v>1</v>
      </c>
      <c r="AQ114" s="21">
        <v>11141001</v>
      </c>
      <c r="AR114" s="21" t="s">
        <v>1607</v>
      </c>
      <c r="AS114" s="68"/>
      <c r="AT114" s="68"/>
      <c r="AU114" s="68"/>
    </row>
    <row r="115" spans="1:47" x14ac:dyDescent="0.3">
      <c r="A115" s="19"/>
      <c r="B115" s="109">
        <v>11141002</v>
      </c>
      <c r="C115" s="99" t="str">
        <f t="shared" ref="C115:C116" si="73">IF(K115&gt;0,MID(K115,5, 1), 0)</f>
        <v>1</v>
      </c>
      <c r="D115" s="121">
        <f>COUNTIFS($F$33:F115,F115, $G$33:G115,G115, $C$33:C115,C115, $L$33:L115,L115)</f>
        <v>2</v>
      </c>
      <c r="E115" s="20">
        <v>1</v>
      </c>
      <c r="F115" s="20">
        <v>1</v>
      </c>
      <c r="G115" s="20">
        <v>1</v>
      </c>
      <c r="H115" s="103" t="s">
        <v>960</v>
      </c>
      <c r="I115" s="20" t="s">
        <v>1608</v>
      </c>
      <c r="J115" s="104" t="str">
        <f t="shared" si="69"/>
        <v>Item_Name_11141002</v>
      </c>
      <c r="K115" s="20">
        <v>10101001</v>
      </c>
      <c r="L115" s="108">
        <f t="shared" ref="L115:L178" si="74">L97</f>
        <v>4</v>
      </c>
      <c r="M115" s="105">
        <f>IF(D115=0, 0, _xlfn.XLOOKUP($F115,'#무게관련'!$B:$B,'#무게관련'!$C:$C)*_xlfn.XLOOKUP($L115,'#무게관련'!$F:$F,'#무게관련'!$G:$G)*100)</f>
        <v>14000</v>
      </c>
      <c r="N115" s="20">
        <v>20200</v>
      </c>
      <c r="O115" s="20">
        <v>1</v>
      </c>
      <c r="P115" s="20">
        <v>15</v>
      </c>
      <c r="Q115" s="20">
        <v>1</v>
      </c>
      <c r="R115" s="20">
        <v>100</v>
      </c>
      <c r="S115" s="20">
        <v>1</v>
      </c>
      <c r="T115" s="20" t="s">
        <v>1857</v>
      </c>
      <c r="U115" s="104" t="str">
        <f t="shared" ref="U115:U116" si="75">"item_bg_grade_0"&amp;L115</f>
        <v>item_bg_grade_04</v>
      </c>
      <c r="V115" s="20" t="s">
        <v>319</v>
      </c>
      <c r="W115" s="20" t="s">
        <v>330</v>
      </c>
      <c r="X115" s="104">
        <v>0</v>
      </c>
      <c r="Y115" s="104">
        <v>0</v>
      </c>
      <c r="Z115" s="104">
        <v>0</v>
      </c>
      <c r="AA115" s="104">
        <v>0</v>
      </c>
      <c r="AB115" s="104">
        <v>0</v>
      </c>
      <c r="AC115" s="104">
        <v>0</v>
      </c>
      <c r="AD115" s="142">
        <v>0</v>
      </c>
      <c r="AE115" s="112">
        <f t="shared" ref="AE115:AE178" si="76">AE97</f>
        <v>40</v>
      </c>
      <c r="AF115" s="70">
        <v>1401020</v>
      </c>
      <c r="AG115" s="105" cm="1">
        <f t="array" ref="AG115">_xlfn.SWITCH(L115,3,1,
           4,1,
           5,1,
           6,1,0)</f>
        <v>1</v>
      </c>
      <c r="AH115" s="146">
        <f t="shared" ref="AH115:AH146" si="77">AH97</f>
        <v>80100401</v>
      </c>
      <c r="AI115" s="90">
        <v>6002</v>
      </c>
      <c r="AJ115" s="90">
        <v>2005</v>
      </c>
      <c r="AK115" s="27">
        <v>4001</v>
      </c>
      <c r="AL115" s="123">
        <f>_xlfn.XLOOKUP(H115,'#각종 참고'!$B$11:$B$20,'#각종 참고'!$D$11:$D$20)</f>
        <v>0</v>
      </c>
      <c r="AM115" s="27">
        <v>1</v>
      </c>
      <c r="AN115" s="27">
        <v>1</v>
      </c>
      <c r="AO115" s="124">
        <f t="shared" si="62"/>
        <v>1</v>
      </c>
      <c r="AP115" s="27">
        <v>1</v>
      </c>
      <c r="AQ115" s="21">
        <v>11141011</v>
      </c>
      <c r="AR115" s="21" t="s">
        <v>2299</v>
      </c>
      <c r="AS115" s="68"/>
      <c r="AT115" s="68"/>
      <c r="AU115" s="68"/>
    </row>
    <row r="116" spans="1:47" x14ac:dyDescent="0.3">
      <c r="A116" s="19"/>
      <c r="B116" s="109">
        <v>11141003</v>
      </c>
      <c r="C116" s="99" t="str">
        <f t="shared" si="73"/>
        <v>1</v>
      </c>
      <c r="D116" s="121">
        <f>COUNTIFS($F$33:F116,F116, $G$33:G116,G116, $C$33:C116,C116, $L$33:L116,L116)</f>
        <v>3</v>
      </c>
      <c r="E116" s="20">
        <v>1</v>
      </c>
      <c r="F116" s="20">
        <v>1</v>
      </c>
      <c r="G116" s="20">
        <v>1</v>
      </c>
      <c r="H116" s="103" t="s">
        <v>960</v>
      </c>
      <c r="I116" s="20" t="s">
        <v>2005</v>
      </c>
      <c r="J116" s="104" t="str">
        <f t="shared" si="69"/>
        <v>Item_Name_11141003</v>
      </c>
      <c r="K116" s="20">
        <v>10101001</v>
      </c>
      <c r="L116" s="108">
        <f t="shared" si="74"/>
        <v>4</v>
      </c>
      <c r="M116" s="105">
        <f>IF(D116=0, 0, _xlfn.XLOOKUP($F116,'#무게관련'!$B:$B,'#무게관련'!$C:$C)*_xlfn.XLOOKUP($L116,'#무게관련'!$F:$F,'#무게관련'!$G:$G)*100)</f>
        <v>14000</v>
      </c>
      <c r="N116" s="20">
        <v>20200</v>
      </c>
      <c r="O116" s="20">
        <v>1</v>
      </c>
      <c r="P116" s="20">
        <v>15</v>
      </c>
      <c r="Q116" s="20">
        <v>1</v>
      </c>
      <c r="R116" s="20">
        <v>100</v>
      </c>
      <c r="S116" s="20">
        <v>1</v>
      </c>
      <c r="T116" s="20" t="s">
        <v>1857</v>
      </c>
      <c r="U116" s="104" t="str">
        <f t="shared" si="75"/>
        <v>item_bg_grade_04</v>
      </c>
      <c r="V116" s="20" t="s">
        <v>319</v>
      </c>
      <c r="W116" s="20" t="s">
        <v>330</v>
      </c>
      <c r="X116" s="104">
        <v>0</v>
      </c>
      <c r="Y116" s="104">
        <v>0</v>
      </c>
      <c r="Z116" s="104">
        <v>0</v>
      </c>
      <c r="AA116" s="104">
        <v>0</v>
      </c>
      <c r="AB116" s="104">
        <v>0</v>
      </c>
      <c r="AC116" s="104">
        <v>0</v>
      </c>
      <c r="AD116" s="142">
        <v>0</v>
      </c>
      <c r="AE116" s="112">
        <f t="shared" si="76"/>
        <v>40</v>
      </c>
      <c r="AF116" s="70">
        <v>1401030</v>
      </c>
      <c r="AG116" s="105" cm="1">
        <f t="array" ref="AG116">_xlfn.SWITCH(L116,3,1,
           4,1,
           5,1,
           6,1,0)</f>
        <v>1</v>
      </c>
      <c r="AH116" s="146">
        <f t="shared" si="77"/>
        <v>80100401</v>
      </c>
      <c r="AI116" s="90">
        <v>6002</v>
      </c>
      <c r="AJ116" s="90">
        <v>2005</v>
      </c>
      <c r="AK116" s="27">
        <v>4001</v>
      </c>
      <c r="AL116" s="123">
        <f>_xlfn.XLOOKUP(H116,'#각종 참고'!$B$11:$B$20,'#각종 참고'!$D$11:$D$20)</f>
        <v>0</v>
      </c>
      <c r="AM116" s="27">
        <v>1</v>
      </c>
      <c r="AN116" s="27">
        <v>1</v>
      </c>
      <c r="AO116" s="124">
        <f t="shared" si="62"/>
        <v>1</v>
      </c>
      <c r="AP116" s="27">
        <v>1</v>
      </c>
      <c r="AQ116" s="21">
        <v>11141021</v>
      </c>
      <c r="AR116" s="21" t="s">
        <v>2300</v>
      </c>
      <c r="AS116" s="68"/>
      <c r="AT116" s="68"/>
      <c r="AU116" s="68"/>
    </row>
    <row r="117" spans="1:47" x14ac:dyDescent="0.3">
      <c r="A117" s="19"/>
      <c r="B117" s="109">
        <v>11151001</v>
      </c>
      <c r="C117" s="99" t="str">
        <f t="shared" ref="C117" si="78">IF(K117&gt;0,MID(K117,5, 1), 0)</f>
        <v>1</v>
      </c>
      <c r="D117" s="121">
        <f>COUNTIFS($F$33:F117,F117, $G$33:G117,G117, $C$33:C117,C117, $L$33:L117,L117)</f>
        <v>1</v>
      </c>
      <c r="E117" s="20">
        <v>1</v>
      </c>
      <c r="F117" s="20">
        <v>1</v>
      </c>
      <c r="G117" s="20">
        <v>1</v>
      </c>
      <c r="H117" s="103" t="s">
        <v>960</v>
      </c>
      <c r="I117" s="20" t="s">
        <v>1609</v>
      </c>
      <c r="J117" s="104" t="str">
        <f t="shared" si="69"/>
        <v>Item_Name_11151001</v>
      </c>
      <c r="K117" s="20">
        <v>10101001</v>
      </c>
      <c r="L117" s="108">
        <f t="shared" si="74"/>
        <v>5</v>
      </c>
      <c r="M117" s="105">
        <f>IF(D117=0, 0, _xlfn.XLOOKUP($F117,'#무게관련'!$B:$B,'#무게관련'!$C:$C)*_xlfn.XLOOKUP($L117,'#무게관련'!$F:$F,'#무게관련'!$G:$G)*100)</f>
        <v>14000</v>
      </c>
      <c r="N117" s="20">
        <v>20200</v>
      </c>
      <c r="O117" s="20">
        <v>1</v>
      </c>
      <c r="P117" s="20">
        <v>15</v>
      </c>
      <c r="Q117" s="20">
        <v>1</v>
      </c>
      <c r="R117" s="20">
        <v>100</v>
      </c>
      <c r="S117" s="20">
        <v>1</v>
      </c>
      <c r="T117" s="20" t="s">
        <v>1858</v>
      </c>
      <c r="U117" s="104" t="str">
        <f t="shared" si="5"/>
        <v>item_bg_grade_05</v>
      </c>
      <c r="V117" s="20" t="s">
        <v>319</v>
      </c>
      <c r="W117" s="20" t="s">
        <v>330</v>
      </c>
      <c r="X117" s="104">
        <v>0</v>
      </c>
      <c r="Y117" s="104">
        <v>0</v>
      </c>
      <c r="Z117" s="104">
        <v>0</v>
      </c>
      <c r="AA117" s="104">
        <v>0</v>
      </c>
      <c r="AB117" s="104">
        <v>0</v>
      </c>
      <c r="AC117" s="104">
        <v>0</v>
      </c>
      <c r="AD117" s="142">
        <v>0</v>
      </c>
      <c r="AE117" s="112">
        <f t="shared" si="76"/>
        <v>50</v>
      </c>
      <c r="AF117" s="70">
        <v>1501010</v>
      </c>
      <c r="AG117" s="105" cm="1">
        <f t="array" ref="AG117">_xlfn.SWITCH(L117,3,1,
           4,1,
           5,1,
           6,1,0)</f>
        <v>1</v>
      </c>
      <c r="AH117" s="146">
        <f t="shared" si="77"/>
        <v>80100501</v>
      </c>
      <c r="AI117" s="90">
        <v>6003</v>
      </c>
      <c r="AJ117" s="90">
        <v>2007</v>
      </c>
      <c r="AK117" s="27">
        <v>5001</v>
      </c>
      <c r="AL117" s="123">
        <f>_xlfn.XLOOKUP(H117,'#각종 참고'!$B$11:$B$20,'#각종 참고'!$D$11:$D$20)</f>
        <v>0</v>
      </c>
      <c r="AM117" s="27">
        <v>1</v>
      </c>
      <c r="AN117" s="27">
        <v>1</v>
      </c>
      <c r="AO117" s="124">
        <f t="shared" si="62"/>
        <v>1</v>
      </c>
      <c r="AP117" s="27">
        <v>1</v>
      </c>
      <c r="AQ117" s="21">
        <v>11151001</v>
      </c>
      <c r="AR117" s="21" t="s">
        <v>1609</v>
      </c>
      <c r="AS117" s="68"/>
      <c r="AT117" s="68"/>
      <c r="AU117" s="68"/>
    </row>
    <row r="118" spans="1:47" x14ac:dyDescent="0.3">
      <c r="A118" s="19"/>
      <c r="B118" s="109">
        <v>11151002</v>
      </c>
      <c r="C118" s="99" t="str">
        <f t="shared" ref="C118:C119" si="79">IF(K118&gt;0,MID(K118,5, 1), 0)</f>
        <v>1</v>
      </c>
      <c r="D118" s="121">
        <f>COUNTIFS($F$33:F118,F118, $G$33:G118,G118, $C$33:C118,C118, $L$33:L118,L118)</f>
        <v>2</v>
      </c>
      <c r="E118" s="20">
        <v>1</v>
      </c>
      <c r="F118" s="20">
        <v>1</v>
      </c>
      <c r="G118" s="20">
        <v>1</v>
      </c>
      <c r="H118" s="103" t="s">
        <v>960</v>
      </c>
      <c r="I118" s="20" t="s">
        <v>1610</v>
      </c>
      <c r="J118" s="104" t="str">
        <f t="shared" si="69"/>
        <v>Item_Name_11151002</v>
      </c>
      <c r="K118" s="20">
        <v>10101001</v>
      </c>
      <c r="L118" s="108">
        <f t="shared" si="74"/>
        <v>5</v>
      </c>
      <c r="M118" s="105">
        <f>IF(D118=0, 0, _xlfn.XLOOKUP($F118,'#무게관련'!$B:$B,'#무게관련'!$C:$C)*_xlfn.XLOOKUP($L118,'#무게관련'!$F:$F,'#무게관련'!$G:$G)*100)</f>
        <v>14000</v>
      </c>
      <c r="N118" s="20">
        <v>20200</v>
      </c>
      <c r="O118" s="20">
        <v>1</v>
      </c>
      <c r="P118" s="20">
        <v>15</v>
      </c>
      <c r="Q118" s="20">
        <v>1</v>
      </c>
      <c r="R118" s="20">
        <v>100</v>
      </c>
      <c r="S118" s="20">
        <v>1</v>
      </c>
      <c r="T118" s="20" t="s">
        <v>1858</v>
      </c>
      <c r="U118" s="104" t="str">
        <f t="shared" ref="U118:U119" si="80">"item_bg_grade_0"&amp;L118</f>
        <v>item_bg_grade_05</v>
      </c>
      <c r="V118" s="20" t="s">
        <v>319</v>
      </c>
      <c r="W118" s="20" t="s">
        <v>330</v>
      </c>
      <c r="X118" s="104">
        <v>0</v>
      </c>
      <c r="Y118" s="104">
        <v>0</v>
      </c>
      <c r="Z118" s="104">
        <v>0</v>
      </c>
      <c r="AA118" s="104">
        <v>0</v>
      </c>
      <c r="AB118" s="104">
        <v>0</v>
      </c>
      <c r="AC118" s="104">
        <v>0</v>
      </c>
      <c r="AD118" s="142">
        <v>0</v>
      </c>
      <c r="AE118" s="112">
        <f t="shared" si="76"/>
        <v>50</v>
      </c>
      <c r="AF118" s="70">
        <v>1501020</v>
      </c>
      <c r="AG118" s="105" cm="1">
        <f t="array" ref="AG118">_xlfn.SWITCH(L118,3,1,
           4,1,
           5,1,
           6,1,0)</f>
        <v>1</v>
      </c>
      <c r="AH118" s="146">
        <f t="shared" si="77"/>
        <v>80100501</v>
      </c>
      <c r="AI118" s="90">
        <v>6003</v>
      </c>
      <c r="AJ118" s="90">
        <v>2007</v>
      </c>
      <c r="AK118" s="27">
        <v>5001</v>
      </c>
      <c r="AL118" s="123">
        <f>_xlfn.XLOOKUP(H118,'#각종 참고'!$B$11:$B$20,'#각종 참고'!$D$11:$D$20)</f>
        <v>0</v>
      </c>
      <c r="AM118" s="27">
        <v>1</v>
      </c>
      <c r="AN118" s="27">
        <v>1</v>
      </c>
      <c r="AO118" s="124">
        <f t="shared" si="62"/>
        <v>1</v>
      </c>
      <c r="AP118" s="27">
        <v>1</v>
      </c>
      <c r="AQ118" s="21">
        <v>11151011</v>
      </c>
      <c r="AR118" s="21" t="s">
        <v>2301</v>
      </c>
      <c r="AS118" s="68"/>
      <c r="AT118" s="68"/>
      <c r="AU118" s="68"/>
    </row>
    <row r="119" spans="1:47" x14ac:dyDescent="0.3">
      <c r="A119" s="19"/>
      <c r="B119" s="109">
        <v>11151003</v>
      </c>
      <c r="C119" s="99" t="str">
        <f t="shared" si="79"/>
        <v>1</v>
      </c>
      <c r="D119" s="121">
        <f>COUNTIFS($F$33:F119,F119, $G$33:G119,G119, $C$33:C119,C119, $L$33:L119,L119)</f>
        <v>3</v>
      </c>
      <c r="E119" s="20">
        <v>1</v>
      </c>
      <c r="F119" s="20">
        <v>1</v>
      </c>
      <c r="G119" s="20">
        <v>1</v>
      </c>
      <c r="H119" s="103" t="s">
        <v>960</v>
      </c>
      <c r="I119" s="20" t="s">
        <v>1965</v>
      </c>
      <c r="J119" s="104" t="str">
        <f t="shared" si="69"/>
        <v>Item_Name_11151003</v>
      </c>
      <c r="K119" s="20">
        <v>10101001</v>
      </c>
      <c r="L119" s="108">
        <f t="shared" si="74"/>
        <v>5</v>
      </c>
      <c r="M119" s="105">
        <f>IF(D119=0, 0, _xlfn.XLOOKUP($F119,'#무게관련'!$B:$B,'#무게관련'!$C:$C)*_xlfn.XLOOKUP($L119,'#무게관련'!$F:$F,'#무게관련'!$G:$G)*100)</f>
        <v>14000</v>
      </c>
      <c r="N119" s="20">
        <v>20200</v>
      </c>
      <c r="O119" s="20">
        <v>1</v>
      </c>
      <c r="P119" s="20">
        <v>15</v>
      </c>
      <c r="Q119" s="20">
        <v>1</v>
      </c>
      <c r="R119" s="20">
        <v>100</v>
      </c>
      <c r="S119" s="20">
        <v>1</v>
      </c>
      <c r="T119" s="20" t="s">
        <v>1858</v>
      </c>
      <c r="U119" s="104" t="str">
        <f t="shared" si="80"/>
        <v>item_bg_grade_05</v>
      </c>
      <c r="V119" s="20" t="s">
        <v>319</v>
      </c>
      <c r="W119" s="20" t="s">
        <v>330</v>
      </c>
      <c r="X119" s="104">
        <v>0</v>
      </c>
      <c r="Y119" s="104">
        <v>0</v>
      </c>
      <c r="Z119" s="104">
        <v>0</v>
      </c>
      <c r="AA119" s="104">
        <v>0</v>
      </c>
      <c r="AB119" s="104">
        <v>0</v>
      </c>
      <c r="AC119" s="104">
        <v>0</v>
      </c>
      <c r="AD119" s="142">
        <v>0</v>
      </c>
      <c r="AE119" s="112">
        <f t="shared" si="76"/>
        <v>50</v>
      </c>
      <c r="AF119" s="70">
        <v>1501030</v>
      </c>
      <c r="AG119" s="105" cm="1">
        <f t="array" ref="AG119">_xlfn.SWITCH(L119,3,1,
           4,1,
           5,1,
           6,1,0)</f>
        <v>1</v>
      </c>
      <c r="AH119" s="146">
        <f t="shared" si="77"/>
        <v>80100501</v>
      </c>
      <c r="AI119" s="90">
        <v>6003</v>
      </c>
      <c r="AJ119" s="90">
        <v>2007</v>
      </c>
      <c r="AK119" s="27">
        <v>5001</v>
      </c>
      <c r="AL119" s="123">
        <f>_xlfn.XLOOKUP(H119,'#각종 참고'!$B$11:$B$20,'#각종 참고'!$D$11:$D$20)</f>
        <v>0</v>
      </c>
      <c r="AM119" s="27">
        <v>1</v>
      </c>
      <c r="AN119" s="27">
        <v>1</v>
      </c>
      <c r="AO119" s="124">
        <f t="shared" si="62"/>
        <v>1</v>
      </c>
      <c r="AP119" s="27">
        <v>1</v>
      </c>
      <c r="AQ119" s="21">
        <v>11151021</v>
      </c>
      <c r="AR119" s="21" t="s">
        <v>2302</v>
      </c>
      <c r="AS119" s="68"/>
      <c r="AT119" s="68"/>
      <c r="AU119" s="68"/>
    </row>
    <row r="120" spans="1:47" x14ac:dyDescent="0.3">
      <c r="A120" s="19"/>
      <c r="B120" s="109">
        <v>11161001</v>
      </c>
      <c r="C120" s="99" t="str">
        <f t="shared" ref="C120" si="81">IF(K120&gt;0,MID(K120,5, 1), 0)</f>
        <v>1</v>
      </c>
      <c r="D120" s="121">
        <f>COUNTIFS($F$33:F120,F120, $G$33:G120,G120, $C$33:C120,C120, $L$33:L120,L120)</f>
        <v>1</v>
      </c>
      <c r="E120" s="20">
        <v>1</v>
      </c>
      <c r="F120" s="20">
        <v>1</v>
      </c>
      <c r="G120" s="20">
        <v>1</v>
      </c>
      <c r="H120" s="103" t="s">
        <v>960</v>
      </c>
      <c r="I120" s="20" t="s">
        <v>1611</v>
      </c>
      <c r="J120" s="104" t="str">
        <f t="shared" si="69"/>
        <v>Item_Name_11161001</v>
      </c>
      <c r="K120" s="20">
        <v>10101001</v>
      </c>
      <c r="L120" s="108">
        <f t="shared" si="74"/>
        <v>6</v>
      </c>
      <c r="M120" s="105">
        <f>IF(D120=0, 0, _xlfn.XLOOKUP($F120,'#무게관련'!$B:$B,'#무게관련'!$C:$C)*_xlfn.XLOOKUP($L120,'#무게관련'!$F:$F,'#무게관련'!$G:$G)*100)</f>
        <v>14000</v>
      </c>
      <c r="N120" s="20">
        <v>20200</v>
      </c>
      <c r="O120" s="20">
        <v>1</v>
      </c>
      <c r="P120" s="20">
        <v>15</v>
      </c>
      <c r="Q120" s="20">
        <v>1</v>
      </c>
      <c r="R120" s="20">
        <v>100</v>
      </c>
      <c r="S120" s="20">
        <v>1</v>
      </c>
      <c r="T120" s="109" t="s">
        <v>1858</v>
      </c>
      <c r="U120" s="104" t="str">
        <f t="shared" si="5"/>
        <v>item_bg_grade_06</v>
      </c>
      <c r="V120" s="20" t="s">
        <v>319</v>
      </c>
      <c r="W120" s="20" t="s">
        <v>330</v>
      </c>
      <c r="X120" s="104">
        <v>0</v>
      </c>
      <c r="Y120" s="104">
        <v>0</v>
      </c>
      <c r="Z120" s="104">
        <v>0</v>
      </c>
      <c r="AA120" s="104">
        <v>0</v>
      </c>
      <c r="AB120" s="104">
        <v>0</v>
      </c>
      <c r="AC120" s="104">
        <v>0</v>
      </c>
      <c r="AD120" s="142">
        <v>0</v>
      </c>
      <c r="AE120" s="112">
        <f t="shared" si="76"/>
        <v>70</v>
      </c>
      <c r="AF120" s="70">
        <v>1601010</v>
      </c>
      <c r="AG120" s="105" cm="1">
        <f t="array" ref="AG120">_xlfn.SWITCH(L120,3,1,
           4,1,
           5,1,
           6,1,0)</f>
        <v>1</v>
      </c>
      <c r="AH120" s="146">
        <f t="shared" si="77"/>
        <v>0</v>
      </c>
      <c r="AI120" s="90">
        <v>6004</v>
      </c>
      <c r="AJ120" s="90">
        <v>2009</v>
      </c>
      <c r="AK120" s="27">
        <v>6001</v>
      </c>
      <c r="AL120" s="123">
        <f>_xlfn.XLOOKUP(H120,'#각종 참고'!$B$11:$B$20,'#각종 참고'!$D$11:$D$20)</f>
        <v>0</v>
      </c>
      <c r="AM120" s="27">
        <v>1</v>
      </c>
      <c r="AN120" s="27">
        <v>1</v>
      </c>
      <c r="AO120" s="124">
        <f t="shared" si="62"/>
        <v>1</v>
      </c>
      <c r="AP120" s="27">
        <v>1</v>
      </c>
      <c r="AQ120" s="21">
        <v>11161001</v>
      </c>
      <c r="AR120" s="21" t="s">
        <v>1611</v>
      </c>
      <c r="AS120" s="68"/>
      <c r="AT120" s="68"/>
      <c r="AU120" s="68"/>
    </row>
    <row r="121" spans="1:47" x14ac:dyDescent="0.3">
      <c r="A121" s="19" t="s">
        <v>513</v>
      </c>
      <c r="B121" s="109">
        <v>11161002</v>
      </c>
      <c r="C121" s="99" t="str">
        <f t="shared" ref="C121:C122" si="82">IF(K121&gt;0,MID(K121,5, 1), 0)</f>
        <v>1</v>
      </c>
      <c r="D121" s="121">
        <f>COUNTIFS($F$33:F121,F121, $G$33:G121,G121, $C$33:C121,C121, $L$33:L121,L121)</f>
        <v>2</v>
      </c>
      <c r="E121" s="20">
        <v>1</v>
      </c>
      <c r="F121" s="20">
        <v>1</v>
      </c>
      <c r="G121" s="20">
        <v>1</v>
      </c>
      <c r="H121" s="103" t="s">
        <v>960</v>
      </c>
      <c r="I121" s="20" t="s">
        <v>2059</v>
      </c>
      <c r="J121" s="104" t="str">
        <f t="shared" si="69"/>
        <v>Item_Name_11161002</v>
      </c>
      <c r="K121" s="20">
        <v>10101001</v>
      </c>
      <c r="L121" s="108">
        <f t="shared" si="74"/>
        <v>6</v>
      </c>
      <c r="M121" s="105">
        <f>IF(D121=0, 0, _xlfn.XLOOKUP($F121,'#무게관련'!$B:$B,'#무게관련'!$C:$C)*_xlfn.XLOOKUP($L121,'#무게관련'!$F:$F,'#무게관련'!$G:$G)*100)</f>
        <v>14000</v>
      </c>
      <c r="N121" s="20">
        <v>20200</v>
      </c>
      <c r="O121" s="20">
        <v>1</v>
      </c>
      <c r="P121" s="20">
        <v>15</v>
      </c>
      <c r="Q121" s="20">
        <v>1</v>
      </c>
      <c r="R121" s="20">
        <v>100</v>
      </c>
      <c r="S121" s="20">
        <v>1</v>
      </c>
      <c r="T121" s="109" t="s">
        <v>1858</v>
      </c>
      <c r="U121" s="104" t="str">
        <f t="shared" ref="U121:U122" si="83">"item_bg_grade_0"&amp;L121</f>
        <v>item_bg_grade_06</v>
      </c>
      <c r="V121" s="20" t="s">
        <v>319</v>
      </c>
      <c r="W121" s="20" t="s">
        <v>330</v>
      </c>
      <c r="X121" s="104">
        <v>0</v>
      </c>
      <c r="Y121" s="104">
        <v>0</v>
      </c>
      <c r="Z121" s="104">
        <v>0</v>
      </c>
      <c r="AA121" s="104">
        <v>0</v>
      </c>
      <c r="AB121" s="104">
        <v>0</v>
      </c>
      <c r="AC121" s="104">
        <v>0</v>
      </c>
      <c r="AD121" s="142">
        <v>0</v>
      </c>
      <c r="AE121" s="112">
        <f t="shared" si="76"/>
        <v>70</v>
      </c>
      <c r="AF121" s="70">
        <v>1601010</v>
      </c>
      <c r="AG121" s="105" cm="1">
        <f t="array" ref="AG121">_xlfn.SWITCH(L121,3,1,
           4,1,
           5,1,
           6,1,0)</f>
        <v>1</v>
      </c>
      <c r="AH121" s="146">
        <f t="shared" si="77"/>
        <v>0</v>
      </c>
      <c r="AI121" s="90">
        <v>6004</v>
      </c>
      <c r="AJ121" s="90">
        <v>2009</v>
      </c>
      <c r="AK121" s="27">
        <v>6001</v>
      </c>
      <c r="AL121" s="123">
        <f>_xlfn.XLOOKUP(H121,'#각종 참고'!$B$11:$B$20,'#각종 참고'!$D$11:$D$20)</f>
        <v>0</v>
      </c>
      <c r="AM121" s="27">
        <v>1</v>
      </c>
      <c r="AN121" s="27">
        <v>1</v>
      </c>
      <c r="AO121" s="124">
        <f t="shared" si="62"/>
        <v>1</v>
      </c>
      <c r="AP121" s="27">
        <v>1</v>
      </c>
      <c r="AQ121" s="21">
        <v>11161011</v>
      </c>
      <c r="AR121" s="21" t="s">
        <v>2303</v>
      </c>
      <c r="AS121" s="68"/>
      <c r="AT121" s="68"/>
      <c r="AU121" s="68"/>
    </row>
    <row r="122" spans="1:47" x14ac:dyDescent="0.3">
      <c r="A122" s="19" t="s">
        <v>513</v>
      </c>
      <c r="B122" s="109">
        <v>11161003</v>
      </c>
      <c r="C122" s="99" t="str">
        <f t="shared" si="82"/>
        <v>1</v>
      </c>
      <c r="D122" s="121">
        <f>COUNTIFS($F$33:F122,F122, $G$33:G122,G122, $C$33:C122,C122, $L$33:L122,L122)</f>
        <v>3</v>
      </c>
      <c r="E122" s="20">
        <v>1</v>
      </c>
      <c r="F122" s="20">
        <v>1</v>
      </c>
      <c r="G122" s="20">
        <v>1</v>
      </c>
      <c r="H122" s="103" t="s">
        <v>960</v>
      </c>
      <c r="I122" s="20" t="s">
        <v>2058</v>
      </c>
      <c r="J122" s="104" t="str">
        <f t="shared" si="69"/>
        <v>Item_Name_11161003</v>
      </c>
      <c r="K122" s="20">
        <v>10101001</v>
      </c>
      <c r="L122" s="108">
        <f t="shared" si="74"/>
        <v>6</v>
      </c>
      <c r="M122" s="105">
        <f>IF(D122=0, 0, _xlfn.XLOOKUP($F122,'#무게관련'!$B:$B,'#무게관련'!$C:$C)*_xlfn.XLOOKUP($L122,'#무게관련'!$F:$F,'#무게관련'!$G:$G)*100)</f>
        <v>14000</v>
      </c>
      <c r="N122" s="20">
        <v>20200</v>
      </c>
      <c r="O122" s="20">
        <v>1</v>
      </c>
      <c r="P122" s="20">
        <v>15</v>
      </c>
      <c r="Q122" s="20">
        <v>1</v>
      </c>
      <c r="R122" s="20">
        <v>100</v>
      </c>
      <c r="S122" s="20">
        <v>1</v>
      </c>
      <c r="T122" s="109" t="s">
        <v>1858</v>
      </c>
      <c r="U122" s="104" t="str">
        <f t="shared" si="83"/>
        <v>item_bg_grade_06</v>
      </c>
      <c r="V122" s="20" t="s">
        <v>319</v>
      </c>
      <c r="W122" s="20" t="s">
        <v>330</v>
      </c>
      <c r="X122" s="104">
        <v>0</v>
      </c>
      <c r="Y122" s="104">
        <v>0</v>
      </c>
      <c r="Z122" s="104">
        <v>0</v>
      </c>
      <c r="AA122" s="104">
        <v>0</v>
      </c>
      <c r="AB122" s="104">
        <v>0</v>
      </c>
      <c r="AC122" s="104">
        <v>0</v>
      </c>
      <c r="AD122" s="142">
        <v>0</v>
      </c>
      <c r="AE122" s="112">
        <f t="shared" si="76"/>
        <v>70</v>
      </c>
      <c r="AF122" s="70">
        <v>1601010</v>
      </c>
      <c r="AG122" s="105" cm="1">
        <f t="array" ref="AG122">_xlfn.SWITCH(L122,3,1,
           4,1,
           5,1,
           6,1,0)</f>
        <v>1</v>
      </c>
      <c r="AH122" s="146">
        <f t="shared" si="77"/>
        <v>0</v>
      </c>
      <c r="AI122" s="90">
        <v>6004</v>
      </c>
      <c r="AJ122" s="90">
        <v>2009</v>
      </c>
      <c r="AK122" s="27">
        <v>6001</v>
      </c>
      <c r="AL122" s="123">
        <f>_xlfn.XLOOKUP(H122,'#각종 참고'!$B$11:$B$20,'#각종 참고'!$D$11:$D$20)</f>
        <v>0</v>
      </c>
      <c r="AM122" s="27">
        <v>1</v>
      </c>
      <c r="AN122" s="27">
        <v>1</v>
      </c>
      <c r="AO122" s="124">
        <f t="shared" si="62"/>
        <v>1</v>
      </c>
      <c r="AP122" s="27">
        <v>1</v>
      </c>
      <c r="AQ122" s="21">
        <v>11161021</v>
      </c>
      <c r="AR122" s="21" t="s">
        <v>2304</v>
      </c>
      <c r="AS122" s="68"/>
      <c r="AT122" s="68"/>
      <c r="AU122" s="68"/>
    </row>
    <row r="123" spans="1:47" s="68" customFormat="1" x14ac:dyDescent="0.3">
      <c r="A123" s="65"/>
      <c r="B123" s="110">
        <v>12111001</v>
      </c>
      <c r="C123" s="99" t="str">
        <f t="shared" si="1"/>
        <v>2</v>
      </c>
      <c r="D123" s="120">
        <f>COUNTIFS($F$33:F123,F123, $G$33:G123,G123, $C$33:C123,C123, $L$33:L123,L123)</f>
        <v>1</v>
      </c>
      <c r="E123" s="20">
        <v>1</v>
      </c>
      <c r="F123" s="66">
        <v>1</v>
      </c>
      <c r="G123" s="66">
        <v>1</v>
      </c>
      <c r="H123" s="103" t="s">
        <v>960</v>
      </c>
      <c r="I123" s="66" t="s">
        <v>1612</v>
      </c>
      <c r="J123" s="104" t="str">
        <f t="shared" si="69"/>
        <v>Item_Name_12111001</v>
      </c>
      <c r="K123" s="66">
        <v>10102001</v>
      </c>
      <c r="L123" s="106">
        <f t="shared" si="74"/>
        <v>1</v>
      </c>
      <c r="M123" s="105">
        <f>IF(D123=0, 0, _xlfn.XLOOKUP($F123,'#무게관련'!$B:$B,'#무게관련'!$C:$C)*_xlfn.XLOOKUP($L123,'#무게관련'!$F:$F,'#무게관련'!$G:$G)*100)</f>
        <v>14000</v>
      </c>
      <c r="N123" s="20">
        <v>20200</v>
      </c>
      <c r="O123" s="20">
        <v>2</v>
      </c>
      <c r="P123" s="66">
        <v>15</v>
      </c>
      <c r="Q123" s="20">
        <v>1</v>
      </c>
      <c r="R123" s="66">
        <v>100</v>
      </c>
      <c r="S123" s="66">
        <v>1</v>
      </c>
      <c r="T123" s="66" t="s">
        <v>1854</v>
      </c>
      <c r="U123" s="104" t="str">
        <f t="shared" si="5"/>
        <v>item_bg_grade_01</v>
      </c>
      <c r="V123" s="66" t="s">
        <v>320</v>
      </c>
      <c r="W123" s="66" t="s">
        <v>330</v>
      </c>
      <c r="X123" s="104">
        <v>0</v>
      </c>
      <c r="Y123" s="104">
        <v>0</v>
      </c>
      <c r="Z123" s="104">
        <v>0</v>
      </c>
      <c r="AA123" s="104">
        <v>0</v>
      </c>
      <c r="AB123" s="104">
        <v>0</v>
      </c>
      <c r="AC123" s="104">
        <v>0</v>
      </c>
      <c r="AD123" s="142">
        <v>0</v>
      </c>
      <c r="AE123" s="111">
        <f t="shared" si="76"/>
        <v>10</v>
      </c>
      <c r="AF123" s="70">
        <v>2101010</v>
      </c>
      <c r="AG123" s="105" cm="1">
        <f t="array" ref="AG123">_xlfn.SWITCH(L123,3,1,
           4,1,
           5,1,
           6,1,0)</f>
        <v>0</v>
      </c>
      <c r="AH123" s="146">
        <f t="shared" si="77"/>
        <v>80100101</v>
      </c>
      <c r="AI123" s="90">
        <v>0</v>
      </c>
      <c r="AJ123" s="90">
        <v>0</v>
      </c>
      <c r="AK123" s="27">
        <v>0</v>
      </c>
      <c r="AL123" s="123">
        <f>_xlfn.XLOOKUP(H123,'#각종 참고'!$B$11:$B$20,'#각종 참고'!$D$11:$D$20)</f>
        <v>0</v>
      </c>
      <c r="AM123" s="27">
        <v>1</v>
      </c>
      <c r="AN123" s="27">
        <v>1</v>
      </c>
      <c r="AO123" s="124">
        <f t="shared" si="62"/>
        <v>1</v>
      </c>
      <c r="AP123" s="27">
        <v>1</v>
      </c>
      <c r="AQ123" s="21">
        <v>12111001</v>
      </c>
      <c r="AR123" s="68" t="s">
        <v>1612</v>
      </c>
    </row>
    <row r="124" spans="1:47" s="68" customFormat="1" x14ac:dyDescent="0.3">
      <c r="A124" s="65"/>
      <c r="B124" s="110">
        <v>12111002</v>
      </c>
      <c r="C124" s="99" t="str">
        <f t="shared" ref="C124:C125" si="84">IF(K124&gt;0,MID(K124,5, 1), 0)</f>
        <v>2</v>
      </c>
      <c r="D124" s="120">
        <f>COUNTIFS($F$33:F124,F124, $G$33:G124,G124, $C$33:C124,C124, $L$33:L124,L124)</f>
        <v>2</v>
      </c>
      <c r="E124" s="20">
        <v>1</v>
      </c>
      <c r="F124" s="66">
        <v>1</v>
      </c>
      <c r="G124" s="66">
        <v>1</v>
      </c>
      <c r="H124" s="103" t="s">
        <v>960</v>
      </c>
      <c r="I124" s="66" t="s">
        <v>2061</v>
      </c>
      <c r="J124" s="104" t="str">
        <f t="shared" si="69"/>
        <v>Item_Name_12111002</v>
      </c>
      <c r="K124" s="66">
        <v>10102001</v>
      </c>
      <c r="L124" s="106">
        <f t="shared" si="74"/>
        <v>1</v>
      </c>
      <c r="M124" s="105">
        <f>IF(D124=0, 0, _xlfn.XLOOKUP($F124,'#무게관련'!$B:$B,'#무게관련'!$C:$C)*_xlfn.XLOOKUP($L124,'#무게관련'!$F:$F,'#무게관련'!$G:$G)*100)</f>
        <v>14000</v>
      </c>
      <c r="N124" s="20">
        <v>20200</v>
      </c>
      <c r="O124" s="20">
        <v>2</v>
      </c>
      <c r="P124" s="66">
        <v>15</v>
      </c>
      <c r="Q124" s="20">
        <v>1</v>
      </c>
      <c r="R124" s="66">
        <v>100</v>
      </c>
      <c r="S124" s="66">
        <v>1</v>
      </c>
      <c r="T124" s="66" t="s">
        <v>1854</v>
      </c>
      <c r="U124" s="104" t="str">
        <f t="shared" ref="U124:U125" si="85">"item_bg_grade_0"&amp;L124</f>
        <v>item_bg_grade_01</v>
      </c>
      <c r="V124" s="66" t="s">
        <v>320</v>
      </c>
      <c r="W124" s="66" t="s">
        <v>330</v>
      </c>
      <c r="X124" s="104">
        <v>0</v>
      </c>
      <c r="Y124" s="104">
        <v>0</v>
      </c>
      <c r="Z124" s="104">
        <v>0</v>
      </c>
      <c r="AA124" s="104">
        <v>0</v>
      </c>
      <c r="AB124" s="104">
        <v>0</v>
      </c>
      <c r="AC124" s="104">
        <v>0</v>
      </c>
      <c r="AD124" s="142">
        <v>0</v>
      </c>
      <c r="AE124" s="111">
        <f t="shared" si="76"/>
        <v>10</v>
      </c>
      <c r="AF124" s="70">
        <v>2101020</v>
      </c>
      <c r="AG124" s="105" cm="1">
        <f t="array" ref="AG124">_xlfn.SWITCH(L124,3,1,
           4,1,
           5,1,
           6,1,0)</f>
        <v>0</v>
      </c>
      <c r="AH124" s="146">
        <f t="shared" si="77"/>
        <v>80100101</v>
      </c>
      <c r="AI124" s="90">
        <v>0</v>
      </c>
      <c r="AJ124" s="90">
        <v>0</v>
      </c>
      <c r="AK124" s="27">
        <v>0</v>
      </c>
      <c r="AL124" s="123">
        <f>_xlfn.XLOOKUP(H124,'#각종 참고'!$B$11:$B$20,'#각종 참고'!$D$11:$D$20)</f>
        <v>0</v>
      </c>
      <c r="AM124" s="27">
        <v>1</v>
      </c>
      <c r="AN124" s="27">
        <v>1</v>
      </c>
      <c r="AO124" s="124">
        <f t="shared" si="62"/>
        <v>1</v>
      </c>
      <c r="AP124" s="27">
        <v>1</v>
      </c>
      <c r="AQ124" s="21">
        <v>12111011</v>
      </c>
      <c r="AR124" s="68" t="s">
        <v>2305</v>
      </c>
    </row>
    <row r="125" spans="1:47" s="68" customFormat="1" x14ac:dyDescent="0.3">
      <c r="A125" s="65"/>
      <c r="B125" s="110">
        <v>12111003</v>
      </c>
      <c r="C125" s="99" t="str">
        <f t="shared" si="84"/>
        <v>2</v>
      </c>
      <c r="D125" s="120">
        <f>COUNTIFS($F$33:F125,F125, $G$33:G125,G125, $C$33:C125,C125, $L$33:L125,L125)</f>
        <v>3</v>
      </c>
      <c r="E125" s="20">
        <v>1</v>
      </c>
      <c r="F125" s="66">
        <v>1</v>
      </c>
      <c r="G125" s="66">
        <v>1</v>
      </c>
      <c r="H125" s="103" t="s">
        <v>960</v>
      </c>
      <c r="I125" s="66" t="s">
        <v>2060</v>
      </c>
      <c r="J125" s="104" t="str">
        <f t="shared" si="69"/>
        <v>Item_Name_12111003</v>
      </c>
      <c r="K125" s="66">
        <v>10102001</v>
      </c>
      <c r="L125" s="106">
        <f t="shared" si="74"/>
        <v>1</v>
      </c>
      <c r="M125" s="105">
        <f>IF(D125=0, 0, _xlfn.XLOOKUP($F125,'#무게관련'!$B:$B,'#무게관련'!$C:$C)*_xlfn.XLOOKUP($L125,'#무게관련'!$F:$F,'#무게관련'!$G:$G)*100)</f>
        <v>14000</v>
      </c>
      <c r="N125" s="20">
        <v>20200</v>
      </c>
      <c r="O125" s="20">
        <v>2</v>
      </c>
      <c r="P125" s="66">
        <v>15</v>
      </c>
      <c r="Q125" s="20">
        <v>1</v>
      </c>
      <c r="R125" s="66">
        <v>100</v>
      </c>
      <c r="S125" s="66">
        <v>1</v>
      </c>
      <c r="T125" s="66" t="s">
        <v>1854</v>
      </c>
      <c r="U125" s="104" t="str">
        <f t="shared" si="85"/>
        <v>item_bg_grade_01</v>
      </c>
      <c r="V125" s="66" t="s">
        <v>320</v>
      </c>
      <c r="W125" s="66" t="s">
        <v>330</v>
      </c>
      <c r="X125" s="104">
        <v>0</v>
      </c>
      <c r="Y125" s="104">
        <v>0</v>
      </c>
      <c r="Z125" s="104">
        <v>0</v>
      </c>
      <c r="AA125" s="104">
        <v>0</v>
      </c>
      <c r="AB125" s="104">
        <v>0</v>
      </c>
      <c r="AC125" s="104">
        <v>0</v>
      </c>
      <c r="AD125" s="142">
        <v>0</v>
      </c>
      <c r="AE125" s="111">
        <f t="shared" si="76"/>
        <v>10</v>
      </c>
      <c r="AF125" s="70">
        <v>2101030</v>
      </c>
      <c r="AG125" s="105" cm="1">
        <f t="array" ref="AG125">_xlfn.SWITCH(L125,3,1,
           4,1,
           5,1,
           6,1,0)</f>
        <v>0</v>
      </c>
      <c r="AH125" s="146">
        <f t="shared" si="77"/>
        <v>80100101</v>
      </c>
      <c r="AI125" s="90">
        <v>0</v>
      </c>
      <c r="AJ125" s="90">
        <v>0</v>
      </c>
      <c r="AK125" s="27">
        <v>0</v>
      </c>
      <c r="AL125" s="123">
        <f>_xlfn.XLOOKUP(H125,'#각종 참고'!$B$11:$B$20,'#각종 참고'!$D$11:$D$20)</f>
        <v>0</v>
      </c>
      <c r="AM125" s="27">
        <v>1</v>
      </c>
      <c r="AN125" s="27">
        <v>1</v>
      </c>
      <c r="AO125" s="124">
        <f t="shared" si="62"/>
        <v>1</v>
      </c>
      <c r="AP125" s="27">
        <v>1</v>
      </c>
      <c r="AQ125" s="21">
        <v>12111021</v>
      </c>
      <c r="AR125" s="68" t="s">
        <v>2306</v>
      </c>
    </row>
    <row r="126" spans="1:47" s="71" customFormat="1" x14ac:dyDescent="0.3">
      <c r="A126" s="69"/>
      <c r="B126" s="109">
        <v>12121001</v>
      </c>
      <c r="C126" s="99" t="str">
        <f t="shared" si="1"/>
        <v>2</v>
      </c>
      <c r="D126" s="122">
        <f>COUNTIFS($F$33:F126,F126, $G$33:G126,G126, $C$33:C126,C126, $L$33:L126,L126)</f>
        <v>1</v>
      </c>
      <c r="E126" s="20">
        <v>1</v>
      </c>
      <c r="F126" s="70">
        <v>1</v>
      </c>
      <c r="G126" s="70">
        <v>1</v>
      </c>
      <c r="H126" s="103" t="s">
        <v>960</v>
      </c>
      <c r="I126" s="70" t="s">
        <v>1613</v>
      </c>
      <c r="J126" s="104" t="str">
        <f t="shared" si="69"/>
        <v>Item_Name_12121001</v>
      </c>
      <c r="K126" s="70">
        <v>10102001</v>
      </c>
      <c r="L126" s="107">
        <f t="shared" si="74"/>
        <v>2</v>
      </c>
      <c r="M126" s="105">
        <f>IF(D126=0, 0, _xlfn.XLOOKUP($F126,'#무게관련'!$B:$B,'#무게관련'!$C:$C)*_xlfn.XLOOKUP($L126,'#무게관련'!$F:$F,'#무게관련'!$G:$G)*100)</f>
        <v>14000</v>
      </c>
      <c r="N126" s="20">
        <v>20200</v>
      </c>
      <c r="O126" s="20">
        <v>2</v>
      </c>
      <c r="P126" s="70">
        <v>15</v>
      </c>
      <c r="Q126" s="20">
        <v>1</v>
      </c>
      <c r="R126" s="70">
        <v>100</v>
      </c>
      <c r="S126" s="70">
        <v>1</v>
      </c>
      <c r="T126" s="70" t="s">
        <v>1855</v>
      </c>
      <c r="U126" s="104" t="str">
        <f t="shared" si="5"/>
        <v>item_bg_grade_02</v>
      </c>
      <c r="V126" s="70" t="s">
        <v>320</v>
      </c>
      <c r="W126" s="70" t="s">
        <v>330</v>
      </c>
      <c r="X126" s="104">
        <v>0</v>
      </c>
      <c r="Y126" s="104">
        <v>0</v>
      </c>
      <c r="Z126" s="104">
        <v>0</v>
      </c>
      <c r="AA126" s="104">
        <v>0</v>
      </c>
      <c r="AB126" s="104">
        <v>0</v>
      </c>
      <c r="AC126" s="104">
        <v>0</v>
      </c>
      <c r="AD126" s="142">
        <v>0</v>
      </c>
      <c r="AE126" s="112">
        <f t="shared" si="76"/>
        <v>20</v>
      </c>
      <c r="AF126" s="70">
        <v>2201010</v>
      </c>
      <c r="AG126" s="105" cm="1">
        <f t="array" ref="AG126">_xlfn.SWITCH(L126,3,1,
           4,1,
           5,1,
           6,1,0)</f>
        <v>0</v>
      </c>
      <c r="AH126" s="146">
        <f t="shared" si="77"/>
        <v>80100201</v>
      </c>
      <c r="AI126" s="90">
        <v>6000</v>
      </c>
      <c r="AJ126" s="90">
        <v>2001</v>
      </c>
      <c r="AK126" s="27">
        <v>2001</v>
      </c>
      <c r="AL126" s="123">
        <f>_xlfn.XLOOKUP(H126,'#각종 참고'!$B$11:$B$20,'#각종 참고'!$D$11:$D$20)</f>
        <v>0</v>
      </c>
      <c r="AM126" s="27">
        <v>1</v>
      </c>
      <c r="AN126" s="27">
        <v>1</v>
      </c>
      <c r="AO126" s="124">
        <f t="shared" si="62"/>
        <v>1</v>
      </c>
      <c r="AP126" s="27">
        <v>1</v>
      </c>
      <c r="AQ126" s="21">
        <v>12121001</v>
      </c>
      <c r="AR126" s="71" t="s">
        <v>1613</v>
      </c>
      <c r="AS126" s="68"/>
      <c r="AT126" s="68"/>
      <c r="AU126" s="68"/>
    </row>
    <row r="127" spans="1:47" s="71" customFormat="1" x14ac:dyDescent="0.3">
      <c r="A127" s="69"/>
      <c r="B127" s="109">
        <v>12121002</v>
      </c>
      <c r="C127" s="99" t="str">
        <f t="shared" ref="C127:C128" si="86">IF(K127&gt;0,MID(K127,5, 1), 0)</f>
        <v>2</v>
      </c>
      <c r="D127" s="122">
        <f>COUNTIFS($F$33:F127,F127, $G$33:G127,G127, $C$33:C127,C127, $L$33:L127,L127)</f>
        <v>2</v>
      </c>
      <c r="E127" s="20">
        <v>1</v>
      </c>
      <c r="F127" s="70">
        <v>1</v>
      </c>
      <c r="G127" s="70">
        <v>1</v>
      </c>
      <c r="H127" s="103" t="s">
        <v>960</v>
      </c>
      <c r="I127" s="70" t="s">
        <v>2062</v>
      </c>
      <c r="J127" s="104" t="str">
        <f t="shared" si="69"/>
        <v>Item_Name_12121002</v>
      </c>
      <c r="K127" s="70">
        <v>10102001</v>
      </c>
      <c r="L127" s="107">
        <f t="shared" si="74"/>
        <v>2</v>
      </c>
      <c r="M127" s="105">
        <f>IF(D127=0, 0, _xlfn.XLOOKUP($F127,'#무게관련'!$B:$B,'#무게관련'!$C:$C)*_xlfn.XLOOKUP($L127,'#무게관련'!$F:$F,'#무게관련'!$G:$G)*100)</f>
        <v>14000</v>
      </c>
      <c r="N127" s="20">
        <v>20200</v>
      </c>
      <c r="O127" s="20">
        <v>2</v>
      </c>
      <c r="P127" s="70">
        <v>15</v>
      </c>
      <c r="Q127" s="20">
        <v>1</v>
      </c>
      <c r="R127" s="70">
        <v>100</v>
      </c>
      <c r="S127" s="70">
        <v>1</v>
      </c>
      <c r="T127" s="70" t="s">
        <v>1855</v>
      </c>
      <c r="U127" s="104" t="str">
        <f t="shared" ref="U127:U128" si="87">"item_bg_grade_0"&amp;L127</f>
        <v>item_bg_grade_02</v>
      </c>
      <c r="V127" s="70" t="s">
        <v>320</v>
      </c>
      <c r="W127" s="70" t="s">
        <v>330</v>
      </c>
      <c r="X127" s="104">
        <v>0</v>
      </c>
      <c r="Y127" s="104">
        <v>0</v>
      </c>
      <c r="Z127" s="104">
        <v>0</v>
      </c>
      <c r="AA127" s="104">
        <v>0</v>
      </c>
      <c r="AB127" s="104">
        <v>0</v>
      </c>
      <c r="AC127" s="104">
        <v>0</v>
      </c>
      <c r="AD127" s="142">
        <v>0</v>
      </c>
      <c r="AE127" s="112">
        <f t="shared" si="76"/>
        <v>20</v>
      </c>
      <c r="AF127" s="70">
        <v>2201020</v>
      </c>
      <c r="AG127" s="105" cm="1">
        <f t="array" ref="AG127">_xlfn.SWITCH(L127,3,1,
           4,1,
           5,1,
           6,1,0)</f>
        <v>0</v>
      </c>
      <c r="AH127" s="146">
        <f t="shared" si="77"/>
        <v>80100201</v>
      </c>
      <c r="AI127" s="90">
        <v>6000</v>
      </c>
      <c r="AJ127" s="90">
        <v>2001</v>
      </c>
      <c r="AK127" s="27">
        <v>2001</v>
      </c>
      <c r="AL127" s="123">
        <f>_xlfn.XLOOKUP(H127,'#각종 참고'!$B$11:$B$20,'#각종 참고'!$D$11:$D$20)</f>
        <v>0</v>
      </c>
      <c r="AM127" s="27">
        <v>1</v>
      </c>
      <c r="AN127" s="27">
        <v>1</v>
      </c>
      <c r="AO127" s="124">
        <f t="shared" si="62"/>
        <v>1</v>
      </c>
      <c r="AP127" s="27">
        <v>1</v>
      </c>
      <c r="AQ127" s="21">
        <v>12121011</v>
      </c>
      <c r="AR127" s="71" t="s">
        <v>2307</v>
      </c>
      <c r="AS127" s="68"/>
      <c r="AT127" s="68"/>
      <c r="AU127" s="68"/>
    </row>
    <row r="128" spans="1:47" s="71" customFormat="1" x14ac:dyDescent="0.3">
      <c r="A128" s="69"/>
      <c r="B128" s="109">
        <v>12121003</v>
      </c>
      <c r="C128" s="99" t="str">
        <f t="shared" si="86"/>
        <v>2</v>
      </c>
      <c r="D128" s="122">
        <f>COUNTIFS($F$33:F128,F128, $G$33:G128,G128, $C$33:C128,C128, $L$33:L128,L128)</f>
        <v>3</v>
      </c>
      <c r="E128" s="20">
        <v>1</v>
      </c>
      <c r="F128" s="70">
        <v>1</v>
      </c>
      <c r="G128" s="70">
        <v>1</v>
      </c>
      <c r="H128" s="103" t="s">
        <v>960</v>
      </c>
      <c r="I128" s="70" t="s">
        <v>1981</v>
      </c>
      <c r="J128" s="104" t="str">
        <f t="shared" si="69"/>
        <v>Item_Name_12121003</v>
      </c>
      <c r="K128" s="70">
        <v>10102001</v>
      </c>
      <c r="L128" s="107">
        <f t="shared" si="74"/>
        <v>2</v>
      </c>
      <c r="M128" s="105">
        <f>IF(D128=0, 0, _xlfn.XLOOKUP($F128,'#무게관련'!$B:$B,'#무게관련'!$C:$C)*_xlfn.XLOOKUP($L128,'#무게관련'!$F:$F,'#무게관련'!$G:$G)*100)</f>
        <v>14000</v>
      </c>
      <c r="N128" s="20">
        <v>20200</v>
      </c>
      <c r="O128" s="20">
        <v>2</v>
      </c>
      <c r="P128" s="70">
        <v>15</v>
      </c>
      <c r="Q128" s="20">
        <v>1</v>
      </c>
      <c r="R128" s="70">
        <v>100</v>
      </c>
      <c r="S128" s="70">
        <v>1</v>
      </c>
      <c r="T128" s="70" t="s">
        <v>1855</v>
      </c>
      <c r="U128" s="104" t="str">
        <f t="shared" si="87"/>
        <v>item_bg_grade_02</v>
      </c>
      <c r="V128" s="70" t="s">
        <v>320</v>
      </c>
      <c r="W128" s="70" t="s">
        <v>330</v>
      </c>
      <c r="X128" s="104">
        <v>0</v>
      </c>
      <c r="Y128" s="104">
        <v>0</v>
      </c>
      <c r="Z128" s="104">
        <v>0</v>
      </c>
      <c r="AA128" s="104">
        <v>0</v>
      </c>
      <c r="AB128" s="104">
        <v>0</v>
      </c>
      <c r="AC128" s="104">
        <v>0</v>
      </c>
      <c r="AD128" s="142">
        <v>0</v>
      </c>
      <c r="AE128" s="112">
        <f t="shared" si="76"/>
        <v>20</v>
      </c>
      <c r="AF128" s="70">
        <v>2201030</v>
      </c>
      <c r="AG128" s="105" cm="1">
        <f t="array" ref="AG128">_xlfn.SWITCH(L128,3,1,
           4,1,
           5,1,
           6,1,0)</f>
        <v>0</v>
      </c>
      <c r="AH128" s="146">
        <f t="shared" si="77"/>
        <v>80100201</v>
      </c>
      <c r="AI128" s="90">
        <v>6000</v>
      </c>
      <c r="AJ128" s="90">
        <v>2001</v>
      </c>
      <c r="AK128" s="27">
        <v>2001</v>
      </c>
      <c r="AL128" s="123">
        <f>_xlfn.XLOOKUP(H128,'#각종 참고'!$B$11:$B$20,'#각종 참고'!$D$11:$D$20)</f>
        <v>0</v>
      </c>
      <c r="AM128" s="27">
        <v>1</v>
      </c>
      <c r="AN128" s="27">
        <v>1</v>
      </c>
      <c r="AO128" s="124">
        <f t="shared" si="62"/>
        <v>1</v>
      </c>
      <c r="AP128" s="27">
        <v>1</v>
      </c>
      <c r="AQ128" s="21">
        <v>12121021</v>
      </c>
      <c r="AR128" s="71" t="s">
        <v>2308</v>
      </c>
      <c r="AS128" s="68"/>
      <c r="AT128" s="68"/>
      <c r="AU128" s="68"/>
    </row>
    <row r="129" spans="1:47" x14ac:dyDescent="0.3">
      <c r="A129" s="19"/>
      <c r="B129" s="109">
        <v>12131001</v>
      </c>
      <c r="C129" s="99" t="str">
        <f t="shared" si="1"/>
        <v>2</v>
      </c>
      <c r="D129" s="121">
        <f>COUNTIFS($F$33:F129,F129, $G$33:G129,G129, $C$33:C129,C129, $L$33:L129,L129)</f>
        <v>1</v>
      </c>
      <c r="E129" s="20">
        <v>1</v>
      </c>
      <c r="F129" s="20">
        <v>1</v>
      </c>
      <c r="G129" s="20">
        <v>1</v>
      </c>
      <c r="H129" s="103" t="s">
        <v>960</v>
      </c>
      <c r="I129" s="20" t="s">
        <v>1553</v>
      </c>
      <c r="J129" s="104" t="str">
        <f t="shared" si="69"/>
        <v>Item_Name_12131001</v>
      </c>
      <c r="K129" s="20">
        <v>10102001</v>
      </c>
      <c r="L129" s="107">
        <f t="shared" si="74"/>
        <v>3</v>
      </c>
      <c r="M129" s="105">
        <f>IF(D129=0, 0, _xlfn.XLOOKUP($F129,'#무게관련'!$B:$B,'#무게관련'!$C:$C)*_xlfn.XLOOKUP($L129,'#무게관련'!$F:$F,'#무게관련'!$G:$G)*100)</f>
        <v>14000</v>
      </c>
      <c r="N129" s="20">
        <v>20200</v>
      </c>
      <c r="O129" s="20">
        <v>2</v>
      </c>
      <c r="P129" s="20">
        <v>15</v>
      </c>
      <c r="Q129" s="20">
        <v>1</v>
      </c>
      <c r="R129" s="20">
        <v>100</v>
      </c>
      <c r="S129" s="20">
        <v>1</v>
      </c>
      <c r="T129" s="20" t="s">
        <v>1856</v>
      </c>
      <c r="U129" s="104" t="str">
        <f t="shared" si="5"/>
        <v>item_bg_grade_03</v>
      </c>
      <c r="V129" s="20" t="s">
        <v>320</v>
      </c>
      <c r="W129" s="20" t="s">
        <v>330</v>
      </c>
      <c r="X129" s="104">
        <v>0</v>
      </c>
      <c r="Y129" s="104">
        <v>0</v>
      </c>
      <c r="Z129" s="104">
        <v>0</v>
      </c>
      <c r="AA129" s="104">
        <v>0</v>
      </c>
      <c r="AB129" s="104">
        <v>0</v>
      </c>
      <c r="AC129" s="104">
        <v>0</v>
      </c>
      <c r="AD129" s="142">
        <v>0</v>
      </c>
      <c r="AE129" s="112">
        <f t="shared" si="76"/>
        <v>30</v>
      </c>
      <c r="AF129" s="70">
        <v>2301010</v>
      </c>
      <c r="AG129" s="105" cm="1">
        <f t="array" ref="AG129">_xlfn.SWITCH(L129,3,1,
           4,1,
           5,1,
           6,1,0)</f>
        <v>1</v>
      </c>
      <c r="AH129" s="146">
        <f t="shared" si="77"/>
        <v>80100301</v>
      </c>
      <c r="AI129" s="90">
        <v>6001</v>
      </c>
      <c r="AJ129" s="90">
        <v>2003</v>
      </c>
      <c r="AK129" s="27">
        <v>3001</v>
      </c>
      <c r="AL129" s="123">
        <f>_xlfn.XLOOKUP(H129,'#각종 참고'!$B$11:$B$20,'#각종 참고'!$D$11:$D$20)</f>
        <v>0</v>
      </c>
      <c r="AM129" s="27">
        <v>1</v>
      </c>
      <c r="AN129" s="27">
        <v>1</v>
      </c>
      <c r="AO129" s="124">
        <f t="shared" si="62"/>
        <v>1</v>
      </c>
      <c r="AP129" s="27">
        <v>1</v>
      </c>
      <c r="AQ129" s="21">
        <v>12131001</v>
      </c>
      <c r="AR129" s="21" t="s">
        <v>1553</v>
      </c>
      <c r="AS129" s="68"/>
      <c r="AT129" s="68"/>
      <c r="AU129" s="68"/>
    </row>
    <row r="130" spans="1:47" x14ac:dyDescent="0.3">
      <c r="A130" s="19"/>
      <c r="B130" s="109">
        <v>12131002</v>
      </c>
      <c r="C130" s="99" t="str">
        <f t="shared" ref="C130:C131" si="88">IF(K130&gt;0,MID(K130,5, 1), 0)</f>
        <v>2</v>
      </c>
      <c r="D130" s="121">
        <f>COUNTIFS($F$33:F130,F130, $G$33:G130,G130, $C$33:C130,C130, $L$33:L130,L130)</f>
        <v>2</v>
      </c>
      <c r="E130" s="20">
        <v>1</v>
      </c>
      <c r="F130" s="20">
        <v>1</v>
      </c>
      <c r="G130" s="20">
        <v>1</v>
      </c>
      <c r="H130" s="103" t="s">
        <v>960</v>
      </c>
      <c r="I130" s="20" t="s">
        <v>1614</v>
      </c>
      <c r="J130" s="104" t="str">
        <f t="shared" si="69"/>
        <v>Item_Name_12131002</v>
      </c>
      <c r="K130" s="20">
        <v>10102001</v>
      </c>
      <c r="L130" s="107">
        <f t="shared" si="74"/>
        <v>3</v>
      </c>
      <c r="M130" s="105">
        <f>IF(D130=0, 0, _xlfn.XLOOKUP($F130,'#무게관련'!$B:$B,'#무게관련'!$C:$C)*_xlfn.XLOOKUP($L130,'#무게관련'!$F:$F,'#무게관련'!$G:$G)*100)</f>
        <v>14000</v>
      </c>
      <c r="N130" s="20">
        <v>20200</v>
      </c>
      <c r="O130" s="20">
        <v>2</v>
      </c>
      <c r="P130" s="20">
        <v>15</v>
      </c>
      <c r="Q130" s="20">
        <v>1</v>
      </c>
      <c r="R130" s="20">
        <v>100</v>
      </c>
      <c r="S130" s="20">
        <v>1</v>
      </c>
      <c r="T130" s="20" t="s">
        <v>1856</v>
      </c>
      <c r="U130" s="104" t="str">
        <f t="shared" ref="U130:U131" si="89">"item_bg_grade_0"&amp;L130</f>
        <v>item_bg_grade_03</v>
      </c>
      <c r="V130" s="20" t="s">
        <v>320</v>
      </c>
      <c r="W130" s="20" t="s">
        <v>330</v>
      </c>
      <c r="X130" s="104">
        <v>0</v>
      </c>
      <c r="Y130" s="104">
        <v>0</v>
      </c>
      <c r="Z130" s="104">
        <v>0</v>
      </c>
      <c r="AA130" s="104">
        <v>0</v>
      </c>
      <c r="AB130" s="104">
        <v>0</v>
      </c>
      <c r="AC130" s="104">
        <v>0</v>
      </c>
      <c r="AD130" s="142">
        <v>0</v>
      </c>
      <c r="AE130" s="112">
        <f t="shared" si="76"/>
        <v>30</v>
      </c>
      <c r="AF130" s="70">
        <v>2301020</v>
      </c>
      <c r="AG130" s="105" cm="1">
        <f t="array" ref="AG130">_xlfn.SWITCH(L130,3,1,
           4,1,
           5,1,
           6,1,0)</f>
        <v>1</v>
      </c>
      <c r="AH130" s="146">
        <f t="shared" si="77"/>
        <v>80100301</v>
      </c>
      <c r="AI130" s="90">
        <v>6001</v>
      </c>
      <c r="AJ130" s="90">
        <v>2003</v>
      </c>
      <c r="AK130" s="27">
        <v>3001</v>
      </c>
      <c r="AL130" s="123">
        <f>_xlfn.XLOOKUP(H130,'#각종 참고'!$B$11:$B$20,'#각종 참고'!$D$11:$D$20)</f>
        <v>0</v>
      </c>
      <c r="AM130" s="27">
        <v>1</v>
      </c>
      <c r="AN130" s="27">
        <v>1</v>
      </c>
      <c r="AO130" s="124">
        <f t="shared" si="62"/>
        <v>1</v>
      </c>
      <c r="AP130" s="27">
        <v>1</v>
      </c>
      <c r="AQ130" s="21">
        <v>12131011</v>
      </c>
      <c r="AR130" s="21" t="s">
        <v>2309</v>
      </c>
      <c r="AS130" s="68"/>
      <c r="AT130" s="68"/>
      <c r="AU130" s="68"/>
    </row>
    <row r="131" spans="1:47" x14ac:dyDescent="0.3">
      <c r="A131" s="19"/>
      <c r="B131" s="109">
        <v>12131003</v>
      </c>
      <c r="C131" s="99" t="str">
        <f t="shared" si="88"/>
        <v>2</v>
      </c>
      <c r="D131" s="121">
        <f>COUNTIFS($F$33:F131,F131, $G$33:G131,G131, $C$33:C131,C131, $L$33:L131,L131)</f>
        <v>3</v>
      </c>
      <c r="E131" s="20">
        <v>1</v>
      </c>
      <c r="F131" s="20">
        <v>1</v>
      </c>
      <c r="G131" s="20">
        <v>1</v>
      </c>
      <c r="H131" s="103" t="s">
        <v>960</v>
      </c>
      <c r="I131" s="20" t="s">
        <v>2063</v>
      </c>
      <c r="J131" s="104" t="str">
        <f t="shared" si="69"/>
        <v>Item_Name_12131003</v>
      </c>
      <c r="K131" s="20">
        <v>10102001</v>
      </c>
      <c r="L131" s="107">
        <f t="shared" si="74"/>
        <v>3</v>
      </c>
      <c r="M131" s="105">
        <f>IF(D131=0, 0, _xlfn.XLOOKUP($F131,'#무게관련'!$B:$B,'#무게관련'!$C:$C)*_xlfn.XLOOKUP($L131,'#무게관련'!$F:$F,'#무게관련'!$G:$G)*100)</f>
        <v>14000</v>
      </c>
      <c r="N131" s="20">
        <v>20200</v>
      </c>
      <c r="O131" s="20">
        <v>2</v>
      </c>
      <c r="P131" s="20">
        <v>15</v>
      </c>
      <c r="Q131" s="20">
        <v>1</v>
      </c>
      <c r="R131" s="20">
        <v>100</v>
      </c>
      <c r="S131" s="20">
        <v>1</v>
      </c>
      <c r="T131" s="20" t="s">
        <v>1856</v>
      </c>
      <c r="U131" s="104" t="str">
        <f t="shared" si="89"/>
        <v>item_bg_grade_03</v>
      </c>
      <c r="V131" s="20" t="s">
        <v>320</v>
      </c>
      <c r="W131" s="20" t="s">
        <v>330</v>
      </c>
      <c r="X131" s="104">
        <v>0</v>
      </c>
      <c r="Y131" s="104">
        <v>0</v>
      </c>
      <c r="Z131" s="104">
        <v>0</v>
      </c>
      <c r="AA131" s="104">
        <v>0</v>
      </c>
      <c r="AB131" s="104">
        <v>0</v>
      </c>
      <c r="AC131" s="104">
        <v>0</v>
      </c>
      <c r="AD131" s="142">
        <v>0</v>
      </c>
      <c r="AE131" s="112">
        <f t="shared" si="76"/>
        <v>30</v>
      </c>
      <c r="AF131" s="70">
        <v>2301030</v>
      </c>
      <c r="AG131" s="105" cm="1">
        <f t="array" ref="AG131">_xlfn.SWITCH(L131,3,1,
           4,1,
           5,1,
           6,1,0)</f>
        <v>1</v>
      </c>
      <c r="AH131" s="146">
        <f t="shared" si="77"/>
        <v>80100301</v>
      </c>
      <c r="AI131" s="90">
        <v>6001</v>
      </c>
      <c r="AJ131" s="90">
        <v>2003</v>
      </c>
      <c r="AK131" s="27">
        <v>3001</v>
      </c>
      <c r="AL131" s="123">
        <f>_xlfn.XLOOKUP(H131,'#각종 참고'!$B$11:$B$20,'#각종 참고'!$D$11:$D$20)</f>
        <v>0</v>
      </c>
      <c r="AM131" s="27">
        <v>1</v>
      </c>
      <c r="AN131" s="27">
        <v>1</v>
      </c>
      <c r="AO131" s="124">
        <f t="shared" si="62"/>
        <v>1</v>
      </c>
      <c r="AP131" s="27">
        <v>1</v>
      </c>
      <c r="AQ131" s="21">
        <v>12131021</v>
      </c>
      <c r="AR131" s="21" t="s">
        <v>2310</v>
      </c>
      <c r="AS131" s="68"/>
      <c r="AT131" s="68"/>
      <c r="AU131" s="68"/>
    </row>
    <row r="132" spans="1:47" x14ac:dyDescent="0.3">
      <c r="A132" s="19"/>
      <c r="B132" s="109">
        <v>12141001</v>
      </c>
      <c r="C132" s="99" t="str">
        <f t="shared" si="1"/>
        <v>2</v>
      </c>
      <c r="D132" s="121">
        <f>COUNTIFS($F$33:F132,F132, $G$33:G132,G132, $C$33:C132,C132, $L$33:L132,L132)</f>
        <v>1</v>
      </c>
      <c r="E132" s="20">
        <v>1</v>
      </c>
      <c r="F132" s="20">
        <v>1</v>
      </c>
      <c r="G132" s="20">
        <v>1</v>
      </c>
      <c r="H132" s="103" t="s">
        <v>960</v>
      </c>
      <c r="I132" s="20" t="s">
        <v>1554</v>
      </c>
      <c r="J132" s="104" t="str">
        <f t="shared" si="69"/>
        <v>Item_Name_12141001</v>
      </c>
      <c r="K132" s="20">
        <v>10102001</v>
      </c>
      <c r="L132" s="107">
        <f t="shared" si="74"/>
        <v>4</v>
      </c>
      <c r="M132" s="105">
        <f>IF(D132=0, 0, _xlfn.XLOOKUP($F132,'#무게관련'!$B:$B,'#무게관련'!$C:$C)*_xlfn.XLOOKUP($L132,'#무게관련'!$F:$F,'#무게관련'!$G:$G)*100)</f>
        <v>14000</v>
      </c>
      <c r="N132" s="20">
        <v>20200</v>
      </c>
      <c r="O132" s="20">
        <v>2</v>
      </c>
      <c r="P132" s="20">
        <v>15</v>
      </c>
      <c r="Q132" s="20">
        <v>1</v>
      </c>
      <c r="R132" s="20">
        <v>100</v>
      </c>
      <c r="S132" s="20">
        <v>1</v>
      </c>
      <c r="T132" s="20" t="s">
        <v>1857</v>
      </c>
      <c r="U132" s="104" t="str">
        <f t="shared" si="5"/>
        <v>item_bg_grade_04</v>
      </c>
      <c r="V132" s="20" t="s">
        <v>320</v>
      </c>
      <c r="W132" s="20" t="s">
        <v>330</v>
      </c>
      <c r="X132" s="104">
        <v>0</v>
      </c>
      <c r="Y132" s="104">
        <v>0</v>
      </c>
      <c r="Z132" s="104">
        <v>0</v>
      </c>
      <c r="AA132" s="104">
        <v>0</v>
      </c>
      <c r="AB132" s="104">
        <v>0</v>
      </c>
      <c r="AC132" s="104">
        <v>0</v>
      </c>
      <c r="AD132" s="142">
        <v>0</v>
      </c>
      <c r="AE132" s="112">
        <f t="shared" si="76"/>
        <v>40</v>
      </c>
      <c r="AF132" s="70">
        <v>2401010</v>
      </c>
      <c r="AG132" s="105" cm="1">
        <f t="array" ref="AG132">_xlfn.SWITCH(L132,3,1,
           4,1,
           5,1,
           6,1,0)</f>
        <v>1</v>
      </c>
      <c r="AH132" s="146">
        <f t="shared" si="77"/>
        <v>80100401</v>
      </c>
      <c r="AI132" s="90">
        <v>6002</v>
      </c>
      <c r="AJ132" s="90">
        <v>2005</v>
      </c>
      <c r="AK132" s="27">
        <v>4001</v>
      </c>
      <c r="AL132" s="123">
        <f>_xlfn.XLOOKUP(H132,'#각종 참고'!$B$11:$B$20,'#각종 참고'!$D$11:$D$20)</f>
        <v>0</v>
      </c>
      <c r="AM132" s="27">
        <v>1</v>
      </c>
      <c r="AN132" s="27">
        <v>1</v>
      </c>
      <c r="AO132" s="124">
        <f t="shared" si="62"/>
        <v>1</v>
      </c>
      <c r="AP132" s="27">
        <v>1</v>
      </c>
      <c r="AQ132" s="21">
        <v>12141001</v>
      </c>
      <c r="AR132" s="21" t="s">
        <v>1554</v>
      </c>
      <c r="AS132" s="68"/>
      <c r="AT132" s="68"/>
      <c r="AU132" s="68"/>
    </row>
    <row r="133" spans="1:47" x14ac:dyDescent="0.3">
      <c r="A133" s="19"/>
      <c r="B133" s="109">
        <v>12141002</v>
      </c>
      <c r="C133" s="99" t="str">
        <f t="shared" ref="C133:C134" si="90">IF(K133&gt;0,MID(K133,5, 1), 0)</f>
        <v>2</v>
      </c>
      <c r="D133" s="121">
        <f>COUNTIFS($F$33:F133,F133, $G$33:G133,G133, $C$33:C133,C133, $L$33:L133,L133)</f>
        <v>2</v>
      </c>
      <c r="E133" s="20">
        <v>1</v>
      </c>
      <c r="F133" s="20">
        <v>1</v>
      </c>
      <c r="G133" s="20">
        <v>1</v>
      </c>
      <c r="H133" s="103" t="s">
        <v>960</v>
      </c>
      <c r="I133" s="20" t="s">
        <v>1615</v>
      </c>
      <c r="J133" s="104" t="str">
        <f t="shared" si="69"/>
        <v>Item_Name_12141002</v>
      </c>
      <c r="K133" s="20">
        <v>10102001</v>
      </c>
      <c r="L133" s="107">
        <f t="shared" si="74"/>
        <v>4</v>
      </c>
      <c r="M133" s="105">
        <f>IF(D133=0, 0, _xlfn.XLOOKUP($F133,'#무게관련'!$B:$B,'#무게관련'!$C:$C)*_xlfn.XLOOKUP($L133,'#무게관련'!$F:$F,'#무게관련'!$G:$G)*100)</f>
        <v>14000</v>
      </c>
      <c r="N133" s="20">
        <v>20200</v>
      </c>
      <c r="O133" s="20">
        <v>2</v>
      </c>
      <c r="P133" s="20">
        <v>15</v>
      </c>
      <c r="Q133" s="20">
        <v>1</v>
      </c>
      <c r="R133" s="20">
        <v>100</v>
      </c>
      <c r="S133" s="20">
        <v>1</v>
      </c>
      <c r="T133" s="20" t="s">
        <v>1857</v>
      </c>
      <c r="U133" s="104" t="str">
        <f t="shared" ref="U133:U134" si="91">"item_bg_grade_0"&amp;L133</f>
        <v>item_bg_grade_04</v>
      </c>
      <c r="V133" s="20" t="s">
        <v>320</v>
      </c>
      <c r="W133" s="20" t="s">
        <v>330</v>
      </c>
      <c r="X133" s="104">
        <v>0</v>
      </c>
      <c r="Y133" s="104">
        <v>0</v>
      </c>
      <c r="Z133" s="104">
        <v>0</v>
      </c>
      <c r="AA133" s="104">
        <v>0</v>
      </c>
      <c r="AB133" s="104">
        <v>0</v>
      </c>
      <c r="AC133" s="104">
        <v>0</v>
      </c>
      <c r="AD133" s="142">
        <v>0</v>
      </c>
      <c r="AE133" s="112">
        <f t="shared" si="76"/>
        <v>40</v>
      </c>
      <c r="AF133" s="70">
        <v>2401020</v>
      </c>
      <c r="AG133" s="105" cm="1">
        <f t="array" ref="AG133">_xlfn.SWITCH(L133,3,1,
           4,1,
           5,1,
           6,1,0)</f>
        <v>1</v>
      </c>
      <c r="AH133" s="146">
        <f t="shared" si="77"/>
        <v>80100401</v>
      </c>
      <c r="AI133" s="90">
        <v>6002</v>
      </c>
      <c r="AJ133" s="90">
        <v>2005</v>
      </c>
      <c r="AK133" s="27">
        <v>4001</v>
      </c>
      <c r="AL133" s="123">
        <f>_xlfn.XLOOKUP(H133,'#각종 참고'!$B$11:$B$20,'#각종 참고'!$D$11:$D$20)</f>
        <v>0</v>
      </c>
      <c r="AM133" s="27">
        <v>1</v>
      </c>
      <c r="AN133" s="27">
        <v>1</v>
      </c>
      <c r="AO133" s="124">
        <f t="shared" si="62"/>
        <v>1</v>
      </c>
      <c r="AP133" s="27">
        <v>1</v>
      </c>
      <c r="AQ133" s="21">
        <v>12141011</v>
      </c>
      <c r="AR133" s="21" t="s">
        <v>2311</v>
      </c>
      <c r="AS133" s="68"/>
      <c r="AT133" s="68"/>
      <c r="AU133" s="68"/>
    </row>
    <row r="134" spans="1:47" x14ac:dyDescent="0.3">
      <c r="A134" s="19"/>
      <c r="B134" s="109">
        <v>12141003</v>
      </c>
      <c r="C134" s="99" t="str">
        <f t="shared" si="90"/>
        <v>2</v>
      </c>
      <c r="D134" s="121">
        <f>COUNTIFS($F$33:F134,F134, $G$33:G134,G134, $C$33:C134,C134, $L$33:L134,L134)</f>
        <v>3</v>
      </c>
      <c r="E134" s="20">
        <v>1</v>
      </c>
      <c r="F134" s="20">
        <v>1</v>
      </c>
      <c r="G134" s="20">
        <v>1</v>
      </c>
      <c r="H134" s="103" t="s">
        <v>960</v>
      </c>
      <c r="I134" s="20" t="s">
        <v>1997</v>
      </c>
      <c r="J134" s="104" t="str">
        <f t="shared" si="69"/>
        <v>Item_Name_12141003</v>
      </c>
      <c r="K134" s="20">
        <v>10102001</v>
      </c>
      <c r="L134" s="107">
        <f t="shared" si="74"/>
        <v>4</v>
      </c>
      <c r="M134" s="105">
        <f>IF(D134=0, 0, _xlfn.XLOOKUP($F134,'#무게관련'!$B:$B,'#무게관련'!$C:$C)*_xlfn.XLOOKUP($L134,'#무게관련'!$F:$F,'#무게관련'!$G:$G)*100)</f>
        <v>14000</v>
      </c>
      <c r="N134" s="20">
        <v>20200</v>
      </c>
      <c r="O134" s="20">
        <v>2</v>
      </c>
      <c r="P134" s="20">
        <v>15</v>
      </c>
      <c r="Q134" s="20">
        <v>1</v>
      </c>
      <c r="R134" s="20">
        <v>100</v>
      </c>
      <c r="S134" s="20">
        <v>1</v>
      </c>
      <c r="T134" s="20" t="s">
        <v>1857</v>
      </c>
      <c r="U134" s="104" t="str">
        <f t="shared" si="91"/>
        <v>item_bg_grade_04</v>
      </c>
      <c r="V134" s="20" t="s">
        <v>320</v>
      </c>
      <c r="W134" s="20" t="s">
        <v>330</v>
      </c>
      <c r="X134" s="104">
        <v>0</v>
      </c>
      <c r="Y134" s="104">
        <v>0</v>
      </c>
      <c r="Z134" s="104">
        <v>0</v>
      </c>
      <c r="AA134" s="104">
        <v>0</v>
      </c>
      <c r="AB134" s="104">
        <v>0</v>
      </c>
      <c r="AC134" s="104">
        <v>0</v>
      </c>
      <c r="AD134" s="142">
        <v>0</v>
      </c>
      <c r="AE134" s="112">
        <f t="shared" si="76"/>
        <v>40</v>
      </c>
      <c r="AF134" s="70">
        <v>2401030</v>
      </c>
      <c r="AG134" s="105" cm="1">
        <f t="array" ref="AG134">_xlfn.SWITCH(L134,3,1,
           4,1,
           5,1,
           6,1,0)</f>
        <v>1</v>
      </c>
      <c r="AH134" s="146">
        <f t="shared" si="77"/>
        <v>80100401</v>
      </c>
      <c r="AI134" s="90">
        <v>6002</v>
      </c>
      <c r="AJ134" s="90">
        <v>2005</v>
      </c>
      <c r="AK134" s="27">
        <v>4001</v>
      </c>
      <c r="AL134" s="123">
        <f>_xlfn.XLOOKUP(H134,'#각종 참고'!$B$11:$B$20,'#각종 참고'!$D$11:$D$20)</f>
        <v>0</v>
      </c>
      <c r="AM134" s="27">
        <v>1</v>
      </c>
      <c r="AN134" s="27">
        <v>1</v>
      </c>
      <c r="AO134" s="124">
        <f t="shared" si="62"/>
        <v>1</v>
      </c>
      <c r="AP134" s="27">
        <v>1</v>
      </c>
      <c r="AQ134" s="21">
        <v>12141021</v>
      </c>
      <c r="AR134" s="21" t="s">
        <v>2312</v>
      </c>
      <c r="AS134" s="68"/>
      <c r="AT134" s="68"/>
      <c r="AU134" s="68"/>
    </row>
    <row r="135" spans="1:47" x14ac:dyDescent="0.3">
      <c r="A135" s="19"/>
      <c r="B135" s="109">
        <v>12151001</v>
      </c>
      <c r="C135" s="99" t="str">
        <f t="shared" ref="C135" si="92">IF(K135&gt;0,MID(K135,5, 1), 0)</f>
        <v>2</v>
      </c>
      <c r="D135" s="121">
        <f>COUNTIFS($F$33:F135,F135, $G$33:G135,G135, $C$33:C135,C135, $L$33:L135,L135)</f>
        <v>1</v>
      </c>
      <c r="E135" s="20">
        <v>1</v>
      </c>
      <c r="F135" s="20">
        <v>1</v>
      </c>
      <c r="G135" s="20">
        <v>1</v>
      </c>
      <c r="H135" s="103" t="s">
        <v>960</v>
      </c>
      <c r="I135" s="20" t="s">
        <v>1616</v>
      </c>
      <c r="J135" s="104" t="str">
        <f t="shared" si="69"/>
        <v>Item_Name_12151001</v>
      </c>
      <c r="K135" s="20">
        <v>10102001</v>
      </c>
      <c r="L135" s="107">
        <f t="shared" si="74"/>
        <v>5</v>
      </c>
      <c r="M135" s="105">
        <f>IF(D135=0, 0, _xlfn.XLOOKUP($F135,'#무게관련'!$B:$B,'#무게관련'!$C:$C)*_xlfn.XLOOKUP($L135,'#무게관련'!$F:$F,'#무게관련'!$G:$G)*100)</f>
        <v>14000</v>
      </c>
      <c r="N135" s="20">
        <v>20200</v>
      </c>
      <c r="O135" s="20">
        <v>2</v>
      </c>
      <c r="P135" s="20">
        <v>15</v>
      </c>
      <c r="Q135" s="20">
        <v>1</v>
      </c>
      <c r="R135" s="20">
        <v>100</v>
      </c>
      <c r="S135" s="20">
        <v>1</v>
      </c>
      <c r="T135" s="20" t="s">
        <v>1858</v>
      </c>
      <c r="U135" s="104" t="str">
        <f t="shared" si="5"/>
        <v>item_bg_grade_05</v>
      </c>
      <c r="V135" s="20" t="s">
        <v>320</v>
      </c>
      <c r="W135" s="20" t="s">
        <v>330</v>
      </c>
      <c r="X135" s="104">
        <v>0</v>
      </c>
      <c r="Y135" s="104">
        <v>0</v>
      </c>
      <c r="Z135" s="104">
        <v>0</v>
      </c>
      <c r="AA135" s="104">
        <v>0</v>
      </c>
      <c r="AB135" s="104">
        <v>0</v>
      </c>
      <c r="AC135" s="104">
        <v>0</v>
      </c>
      <c r="AD135" s="142">
        <v>0</v>
      </c>
      <c r="AE135" s="112">
        <f t="shared" si="76"/>
        <v>50</v>
      </c>
      <c r="AF135" s="70">
        <v>2501010</v>
      </c>
      <c r="AG135" s="105" cm="1">
        <f t="array" ref="AG135">_xlfn.SWITCH(L135,3,1,
           4,1,
           5,1,
           6,1,0)</f>
        <v>1</v>
      </c>
      <c r="AH135" s="146">
        <f t="shared" si="77"/>
        <v>80100501</v>
      </c>
      <c r="AI135" s="90">
        <v>6003</v>
      </c>
      <c r="AJ135" s="90">
        <v>2007</v>
      </c>
      <c r="AK135" s="27">
        <v>5001</v>
      </c>
      <c r="AL135" s="123">
        <f>_xlfn.XLOOKUP(H135,'#각종 참고'!$B$11:$B$20,'#각종 참고'!$D$11:$D$20)</f>
        <v>0</v>
      </c>
      <c r="AM135" s="27">
        <v>1</v>
      </c>
      <c r="AN135" s="27">
        <v>1</v>
      </c>
      <c r="AO135" s="124">
        <f t="shared" si="62"/>
        <v>1</v>
      </c>
      <c r="AP135" s="27">
        <v>1</v>
      </c>
      <c r="AQ135" s="21">
        <v>12151001</v>
      </c>
      <c r="AR135" s="21" t="s">
        <v>1616</v>
      </c>
      <c r="AS135" s="68"/>
      <c r="AT135" s="68"/>
      <c r="AU135" s="68"/>
    </row>
    <row r="136" spans="1:47" x14ac:dyDescent="0.3">
      <c r="A136" s="19"/>
      <c r="B136" s="109">
        <v>12151002</v>
      </c>
      <c r="C136" s="99" t="str">
        <f t="shared" ref="C136:C137" si="93">IF(K136&gt;0,MID(K136,5, 1), 0)</f>
        <v>2</v>
      </c>
      <c r="D136" s="121">
        <f>COUNTIFS($F$33:F136,F136, $G$33:G136,G136, $C$33:C136,C136, $L$33:L136,L136)</f>
        <v>2</v>
      </c>
      <c r="E136" s="20">
        <v>1</v>
      </c>
      <c r="F136" s="20">
        <v>1</v>
      </c>
      <c r="G136" s="20">
        <v>1</v>
      </c>
      <c r="H136" s="103" t="s">
        <v>960</v>
      </c>
      <c r="I136" s="20" t="s">
        <v>2064</v>
      </c>
      <c r="J136" s="104" t="str">
        <f t="shared" si="69"/>
        <v>Item_Name_12151002</v>
      </c>
      <c r="K136" s="20">
        <v>10102001</v>
      </c>
      <c r="L136" s="107">
        <f t="shared" si="74"/>
        <v>5</v>
      </c>
      <c r="M136" s="105">
        <f>IF(D136=0, 0, _xlfn.XLOOKUP($F136,'#무게관련'!$B:$B,'#무게관련'!$C:$C)*_xlfn.XLOOKUP($L136,'#무게관련'!$F:$F,'#무게관련'!$G:$G)*100)</f>
        <v>14000</v>
      </c>
      <c r="N136" s="20">
        <v>20200</v>
      </c>
      <c r="O136" s="20">
        <v>2</v>
      </c>
      <c r="P136" s="20">
        <v>15</v>
      </c>
      <c r="Q136" s="20">
        <v>1</v>
      </c>
      <c r="R136" s="20">
        <v>100</v>
      </c>
      <c r="S136" s="20">
        <v>1</v>
      </c>
      <c r="T136" s="20" t="s">
        <v>1858</v>
      </c>
      <c r="U136" s="104" t="str">
        <f t="shared" ref="U136:U137" si="94">"item_bg_grade_0"&amp;L136</f>
        <v>item_bg_grade_05</v>
      </c>
      <c r="V136" s="20" t="s">
        <v>320</v>
      </c>
      <c r="W136" s="20" t="s">
        <v>330</v>
      </c>
      <c r="X136" s="104">
        <v>0</v>
      </c>
      <c r="Y136" s="104">
        <v>0</v>
      </c>
      <c r="Z136" s="104">
        <v>0</v>
      </c>
      <c r="AA136" s="104">
        <v>0</v>
      </c>
      <c r="AB136" s="104">
        <v>0</v>
      </c>
      <c r="AC136" s="104">
        <v>0</v>
      </c>
      <c r="AD136" s="142">
        <v>0</v>
      </c>
      <c r="AE136" s="112">
        <f t="shared" si="76"/>
        <v>50</v>
      </c>
      <c r="AF136" s="70">
        <v>2501020</v>
      </c>
      <c r="AG136" s="105" cm="1">
        <f t="array" ref="AG136">_xlfn.SWITCH(L136,3,1,
           4,1,
           5,1,
           6,1,0)</f>
        <v>1</v>
      </c>
      <c r="AH136" s="146">
        <f t="shared" si="77"/>
        <v>80100501</v>
      </c>
      <c r="AI136" s="90">
        <v>6003</v>
      </c>
      <c r="AJ136" s="90">
        <v>2007</v>
      </c>
      <c r="AK136" s="27">
        <v>5001</v>
      </c>
      <c r="AL136" s="123">
        <f>_xlfn.XLOOKUP(H136,'#각종 참고'!$B$11:$B$20,'#각종 참고'!$D$11:$D$20)</f>
        <v>0</v>
      </c>
      <c r="AM136" s="27">
        <v>1</v>
      </c>
      <c r="AN136" s="27">
        <v>1</v>
      </c>
      <c r="AO136" s="124">
        <f t="shared" si="62"/>
        <v>1</v>
      </c>
      <c r="AP136" s="27">
        <v>1</v>
      </c>
      <c r="AQ136" s="21">
        <v>12151011</v>
      </c>
      <c r="AR136" s="21" t="s">
        <v>2313</v>
      </c>
      <c r="AS136" s="68"/>
      <c r="AT136" s="68"/>
      <c r="AU136" s="68"/>
    </row>
    <row r="137" spans="1:47" x14ac:dyDescent="0.3">
      <c r="A137" s="19"/>
      <c r="B137" s="109">
        <v>12151003</v>
      </c>
      <c r="C137" s="99" t="str">
        <f t="shared" si="93"/>
        <v>2</v>
      </c>
      <c r="D137" s="121">
        <f>COUNTIFS($F$33:F137,F137, $G$33:G137,G137, $C$33:C137,C137, $L$33:L137,L137)</f>
        <v>3</v>
      </c>
      <c r="E137" s="20">
        <v>1</v>
      </c>
      <c r="F137" s="20">
        <v>1</v>
      </c>
      <c r="G137" s="20">
        <v>1</v>
      </c>
      <c r="H137" s="103" t="s">
        <v>960</v>
      </c>
      <c r="I137" s="20" t="s">
        <v>1617</v>
      </c>
      <c r="J137" s="104" t="str">
        <f t="shared" si="69"/>
        <v>Item_Name_12151003</v>
      </c>
      <c r="K137" s="20">
        <v>10102001</v>
      </c>
      <c r="L137" s="107">
        <f t="shared" si="74"/>
        <v>5</v>
      </c>
      <c r="M137" s="105">
        <f>IF(D137=0, 0, _xlfn.XLOOKUP($F137,'#무게관련'!$B:$B,'#무게관련'!$C:$C)*_xlfn.XLOOKUP($L137,'#무게관련'!$F:$F,'#무게관련'!$G:$G)*100)</f>
        <v>14000</v>
      </c>
      <c r="N137" s="20">
        <v>20200</v>
      </c>
      <c r="O137" s="20">
        <v>2</v>
      </c>
      <c r="P137" s="20">
        <v>15</v>
      </c>
      <c r="Q137" s="20">
        <v>1</v>
      </c>
      <c r="R137" s="20">
        <v>100</v>
      </c>
      <c r="S137" s="20">
        <v>1</v>
      </c>
      <c r="T137" s="20" t="s">
        <v>1858</v>
      </c>
      <c r="U137" s="104" t="str">
        <f t="shared" si="94"/>
        <v>item_bg_grade_05</v>
      </c>
      <c r="V137" s="20" t="s">
        <v>320</v>
      </c>
      <c r="W137" s="20" t="s">
        <v>330</v>
      </c>
      <c r="X137" s="104">
        <v>0</v>
      </c>
      <c r="Y137" s="104">
        <v>0</v>
      </c>
      <c r="Z137" s="104">
        <v>0</v>
      </c>
      <c r="AA137" s="104">
        <v>0</v>
      </c>
      <c r="AB137" s="104">
        <v>0</v>
      </c>
      <c r="AC137" s="104">
        <v>0</v>
      </c>
      <c r="AD137" s="142">
        <v>0</v>
      </c>
      <c r="AE137" s="112">
        <f t="shared" si="76"/>
        <v>50</v>
      </c>
      <c r="AF137" s="70">
        <v>2501030</v>
      </c>
      <c r="AG137" s="105" cm="1">
        <f t="array" ref="AG137">_xlfn.SWITCH(L137,3,1,
           4,1,
           5,1,
           6,1,0)</f>
        <v>1</v>
      </c>
      <c r="AH137" s="146">
        <f t="shared" si="77"/>
        <v>80100501</v>
      </c>
      <c r="AI137" s="90">
        <v>6003</v>
      </c>
      <c r="AJ137" s="90">
        <v>2007</v>
      </c>
      <c r="AK137" s="27">
        <v>5001</v>
      </c>
      <c r="AL137" s="123">
        <f>_xlfn.XLOOKUP(H137,'#각종 참고'!$B$11:$B$20,'#각종 참고'!$D$11:$D$20)</f>
        <v>0</v>
      </c>
      <c r="AM137" s="27">
        <v>1</v>
      </c>
      <c r="AN137" s="27">
        <v>1</v>
      </c>
      <c r="AO137" s="124">
        <f t="shared" si="62"/>
        <v>1</v>
      </c>
      <c r="AP137" s="27">
        <v>1</v>
      </c>
      <c r="AQ137" s="21">
        <v>12151021</v>
      </c>
      <c r="AR137" s="21" t="s">
        <v>2314</v>
      </c>
      <c r="AS137" s="68"/>
      <c r="AT137" s="68"/>
      <c r="AU137" s="68"/>
    </row>
    <row r="138" spans="1:47" x14ac:dyDescent="0.3">
      <c r="A138" s="19"/>
      <c r="B138" s="109">
        <v>12161001</v>
      </c>
      <c r="C138" s="99" t="str">
        <f t="shared" ref="C138" si="95">IF(K138&gt;0,MID(K138,5, 1), 0)</f>
        <v>2</v>
      </c>
      <c r="D138" s="121">
        <f>COUNTIFS($F$33:F138,F138, $G$33:G138,G138, $C$33:C138,C138, $L$33:L138,L138)</f>
        <v>1</v>
      </c>
      <c r="E138" s="20">
        <v>1</v>
      </c>
      <c r="F138" s="20">
        <v>1</v>
      </c>
      <c r="G138" s="20">
        <v>1</v>
      </c>
      <c r="H138" s="103" t="s">
        <v>960</v>
      </c>
      <c r="I138" s="20" t="s">
        <v>1618</v>
      </c>
      <c r="J138" s="104" t="str">
        <f t="shared" si="69"/>
        <v>Item_Name_12161001</v>
      </c>
      <c r="K138" s="20">
        <v>10102001</v>
      </c>
      <c r="L138" s="107">
        <f t="shared" si="74"/>
        <v>6</v>
      </c>
      <c r="M138" s="105">
        <f>IF(D138=0, 0, _xlfn.XLOOKUP($F138,'#무게관련'!$B:$B,'#무게관련'!$C:$C)*_xlfn.XLOOKUP($L138,'#무게관련'!$F:$F,'#무게관련'!$G:$G)*100)</f>
        <v>14000</v>
      </c>
      <c r="N138" s="20">
        <v>20200</v>
      </c>
      <c r="O138" s="20">
        <v>2</v>
      </c>
      <c r="P138" s="20">
        <v>15</v>
      </c>
      <c r="Q138" s="20">
        <v>1</v>
      </c>
      <c r="R138" s="20">
        <v>100</v>
      </c>
      <c r="S138" s="20">
        <v>1</v>
      </c>
      <c r="T138" s="109" t="s">
        <v>1858</v>
      </c>
      <c r="U138" s="104" t="str">
        <f t="shared" si="5"/>
        <v>item_bg_grade_06</v>
      </c>
      <c r="V138" s="20" t="s">
        <v>320</v>
      </c>
      <c r="W138" s="20" t="s">
        <v>330</v>
      </c>
      <c r="X138" s="104">
        <v>0</v>
      </c>
      <c r="Y138" s="104">
        <v>0</v>
      </c>
      <c r="Z138" s="104">
        <v>0</v>
      </c>
      <c r="AA138" s="104">
        <v>0</v>
      </c>
      <c r="AB138" s="104">
        <v>0</v>
      </c>
      <c r="AC138" s="104">
        <v>0</v>
      </c>
      <c r="AD138" s="142">
        <v>0</v>
      </c>
      <c r="AE138" s="112">
        <f t="shared" si="76"/>
        <v>70</v>
      </c>
      <c r="AF138" s="70">
        <v>2601010</v>
      </c>
      <c r="AG138" s="105" cm="1">
        <f t="array" ref="AG138">_xlfn.SWITCH(L138,3,1,
           4,1,
           5,1,
           6,1,0)</f>
        <v>1</v>
      </c>
      <c r="AH138" s="146">
        <f t="shared" si="77"/>
        <v>0</v>
      </c>
      <c r="AI138" s="90">
        <v>6004</v>
      </c>
      <c r="AJ138" s="90">
        <v>2009</v>
      </c>
      <c r="AK138" s="27">
        <v>6001</v>
      </c>
      <c r="AL138" s="123">
        <f>_xlfn.XLOOKUP(H138,'#각종 참고'!$B$11:$B$20,'#각종 참고'!$D$11:$D$20)</f>
        <v>0</v>
      </c>
      <c r="AM138" s="27">
        <v>1</v>
      </c>
      <c r="AN138" s="27">
        <v>1</v>
      </c>
      <c r="AO138" s="124">
        <f t="shared" si="62"/>
        <v>1</v>
      </c>
      <c r="AP138" s="27">
        <v>1</v>
      </c>
      <c r="AQ138" s="21">
        <v>12161001</v>
      </c>
      <c r="AR138" s="21" t="s">
        <v>1618</v>
      </c>
      <c r="AS138" s="68"/>
      <c r="AT138" s="68"/>
      <c r="AU138" s="68"/>
    </row>
    <row r="139" spans="1:47" x14ac:dyDescent="0.3">
      <c r="A139" s="19" t="s">
        <v>513</v>
      </c>
      <c r="B139" s="109">
        <v>12161002</v>
      </c>
      <c r="C139" s="99" t="str">
        <f t="shared" ref="C139:C140" si="96">IF(K139&gt;0,MID(K139,5, 1), 0)</f>
        <v>2</v>
      </c>
      <c r="D139" s="121">
        <f>COUNTIFS($F$33:F139,F139, $G$33:G139,G139, $C$33:C139,C139, $L$33:L139,L139)</f>
        <v>2</v>
      </c>
      <c r="E139" s="20">
        <v>1</v>
      </c>
      <c r="F139" s="20">
        <v>1</v>
      </c>
      <c r="G139" s="20">
        <v>1</v>
      </c>
      <c r="H139" s="103" t="s">
        <v>960</v>
      </c>
      <c r="I139" s="20" t="s">
        <v>2066</v>
      </c>
      <c r="J139" s="104" t="str">
        <f t="shared" si="69"/>
        <v>Item_Name_12161002</v>
      </c>
      <c r="K139" s="20">
        <v>10102001</v>
      </c>
      <c r="L139" s="107">
        <f t="shared" si="74"/>
        <v>6</v>
      </c>
      <c r="M139" s="105">
        <f>IF(D139=0, 0, _xlfn.XLOOKUP($F139,'#무게관련'!$B:$B,'#무게관련'!$C:$C)*_xlfn.XLOOKUP($L139,'#무게관련'!$F:$F,'#무게관련'!$G:$G)*100)</f>
        <v>14000</v>
      </c>
      <c r="N139" s="20">
        <v>20200</v>
      </c>
      <c r="O139" s="20">
        <v>2</v>
      </c>
      <c r="P139" s="20">
        <v>15</v>
      </c>
      <c r="Q139" s="20">
        <v>1</v>
      </c>
      <c r="R139" s="20">
        <v>100</v>
      </c>
      <c r="S139" s="20">
        <v>1</v>
      </c>
      <c r="T139" s="109" t="s">
        <v>1858</v>
      </c>
      <c r="U139" s="104" t="str">
        <f t="shared" ref="U139:U140" si="97">"item_bg_grade_0"&amp;L139</f>
        <v>item_bg_grade_06</v>
      </c>
      <c r="V139" s="20" t="s">
        <v>320</v>
      </c>
      <c r="W139" s="20" t="s">
        <v>330</v>
      </c>
      <c r="X139" s="104">
        <v>0</v>
      </c>
      <c r="Y139" s="104">
        <v>0</v>
      </c>
      <c r="Z139" s="104">
        <v>0</v>
      </c>
      <c r="AA139" s="104">
        <v>0</v>
      </c>
      <c r="AB139" s="104">
        <v>0</v>
      </c>
      <c r="AC139" s="104">
        <v>0</v>
      </c>
      <c r="AD139" s="142">
        <v>0</v>
      </c>
      <c r="AE139" s="112">
        <f t="shared" si="76"/>
        <v>70</v>
      </c>
      <c r="AF139" s="70">
        <v>2601010</v>
      </c>
      <c r="AG139" s="105" cm="1">
        <f t="array" ref="AG139">_xlfn.SWITCH(L139,3,1,
           4,1,
           5,1,
           6,1,0)</f>
        <v>1</v>
      </c>
      <c r="AH139" s="146">
        <f t="shared" si="77"/>
        <v>0</v>
      </c>
      <c r="AI139" s="90">
        <v>6004</v>
      </c>
      <c r="AJ139" s="90">
        <v>2009</v>
      </c>
      <c r="AK139" s="27">
        <v>6001</v>
      </c>
      <c r="AL139" s="123">
        <f>_xlfn.XLOOKUP(H139,'#각종 참고'!$B$11:$B$20,'#각종 참고'!$D$11:$D$20)</f>
        <v>0</v>
      </c>
      <c r="AM139" s="27">
        <v>1</v>
      </c>
      <c r="AN139" s="27">
        <v>1</v>
      </c>
      <c r="AO139" s="124">
        <f t="shared" si="62"/>
        <v>1</v>
      </c>
      <c r="AP139" s="27">
        <v>1</v>
      </c>
      <c r="AQ139" s="21">
        <v>12161011</v>
      </c>
      <c r="AR139" s="21" t="s">
        <v>2315</v>
      </c>
      <c r="AS139" s="68"/>
      <c r="AT139" s="68"/>
      <c r="AU139" s="68"/>
    </row>
    <row r="140" spans="1:47" x14ac:dyDescent="0.3">
      <c r="A140" s="19" t="s">
        <v>513</v>
      </c>
      <c r="B140" s="109">
        <v>12161003</v>
      </c>
      <c r="C140" s="99" t="str">
        <f t="shared" si="96"/>
        <v>2</v>
      </c>
      <c r="D140" s="121">
        <f>COUNTIFS($F$33:F140,F140, $G$33:G140,G140, $C$33:C140,C140, $L$33:L140,L140)</f>
        <v>3</v>
      </c>
      <c r="E140" s="20">
        <v>1</v>
      </c>
      <c r="F140" s="20">
        <v>1</v>
      </c>
      <c r="G140" s="20">
        <v>1</v>
      </c>
      <c r="H140" s="103" t="s">
        <v>960</v>
      </c>
      <c r="I140" s="20" t="s">
        <v>2065</v>
      </c>
      <c r="J140" s="104" t="str">
        <f t="shared" si="69"/>
        <v>Item_Name_12161003</v>
      </c>
      <c r="K140" s="20">
        <v>10102001</v>
      </c>
      <c r="L140" s="107">
        <f t="shared" si="74"/>
        <v>6</v>
      </c>
      <c r="M140" s="105">
        <f>IF(D140=0, 0, _xlfn.XLOOKUP($F140,'#무게관련'!$B:$B,'#무게관련'!$C:$C)*_xlfn.XLOOKUP($L140,'#무게관련'!$F:$F,'#무게관련'!$G:$G)*100)</f>
        <v>14000</v>
      </c>
      <c r="N140" s="20">
        <v>20200</v>
      </c>
      <c r="O140" s="20">
        <v>2</v>
      </c>
      <c r="P140" s="20">
        <v>15</v>
      </c>
      <c r="Q140" s="20">
        <v>1</v>
      </c>
      <c r="R140" s="20">
        <v>100</v>
      </c>
      <c r="S140" s="20">
        <v>1</v>
      </c>
      <c r="T140" s="109" t="s">
        <v>1858</v>
      </c>
      <c r="U140" s="104" t="str">
        <f t="shared" si="97"/>
        <v>item_bg_grade_06</v>
      </c>
      <c r="V140" s="20" t="s">
        <v>320</v>
      </c>
      <c r="W140" s="20" t="s">
        <v>330</v>
      </c>
      <c r="X140" s="104">
        <v>0</v>
      </c>
      <c r="Y140" s="104">
        <v>0</v>
      </c>
      <c r="Z140" s="104">
        <v>0</v>
      </c>
      <c r="AA140" s="104">
        <v>0</v>
      </c>
      <c r="AB140" s="104">
        <v>0</v>
      </c>
      <c r="AC140" s="104">
        <v>0</v>
      </c>
      <c r="AD140" s="142">
        <v>0</v>
      </c>
      <c r="AE140" s="112">
        <f t="shared" si="76"/>
        <v>70</v>
      </c>
      <c r="AF140" s="70">
        <v>2601010</v>
      </c>
      <c r="AG140" s="105" cm="1">
        <f t="array" ref="AG140">_xlfn.SWITCH(L140,3,1,
           4,1,
           5,1,
           6,1,0)</f>
        <v>1</v>
      </c>
      <c r="AH140" s="146">
        <f t="shared" si="77"/>
        <v>0</v>
      </c>
      <c r="AI140" s="90">
        <v>6004</v>
      </c>
      <c r="AJ140" s="90">
        <v>2009</v>
      </c>
      <c r="AK140" s="27">
        <v>6001</v>
      </c>
      <c r="AL140" s="123">
        <f>_xlfn.XLOOKUP(H140,'#각종 참고'!$B$11:$B$20,'#각종 참고'!$D$11:$D$20)</f>
        <v>0</v>
      </c>
      <c r="AM140" s="27">
        <v>1</v>
      </c>
      <c r="AN140" s="27">
        <v>1</v>
      </c>
      <c r="AO140" s="124">
        <f t="shared" si="62"/>
        <v>1</v>
      </c>
      <c r="AP140" s="27">
        <v>1</v>
      </c>
      <c r="AQ140" s="21">
        <v>12161021</v>
      </c>
      <c r="AR140" s="21" t="s">
        <v>2316</v>
      </c>
      <c r="AS140" s="68"/>
      <c r="AT140" s="68"/>
      <c r="AU140" s="68"/>
    </row>
    <row r="141" spans="1:47" s="68" customFormat="1" x14ac:dyDescent="0.3">
      <c r="A141" s="65"/>
      <c r="B141" s="110">
        <v>13111001</v>
      </c>
      <c r="C141" s="99" t="str">
        <f t="shared" si="1"/>
        <v>3</v>
      </c>
      <c r="D141" s="120">
        <f>COUNTIFS($F$33:F141,F141, $G$33:G141,G141, $C$33:C141,C141, $L$33:L141,L141)</f>
        <v>1</v>
      </c>
      <c r="E141" s="20">
        <v>1</v>
      </c>
      <c r="F141" s="66">
        <v>1</v>
      </c>
      <c r="G141" s="66">
        <v>1</v>
      </c>
      <c r="H141" s="103" t="s">
        <v>960</v>
      </c>
      <c r="I141" s="66" t="s">
        <v>1619</v>
      </c>
      <c r="J141" s="104" t="str">
        <f t="shared" si="69"/>
        <v>Item_Name_13111001</v>
      </c>
      <c r="K141" s="66">
        <v>10103001</v>
      </c>
      <c r="L141" s="106">
        <f t="shared" si="74"/>
        <v>1</v>
      </c>
      <c r="M141" s="105">
        <f>IF(D141=0, 0, _xlfn.XLOOKUP($F141,'#무게관련'!$B:$B,'#무게관련'!$C:$C)*_xlfn.XLOOKUP($L141,'#무게관련'!$F:$F,'#무게관련'!$G:$G)*100)</f>
        <v>14000</v>
      </c>
      <c r="N141" s="20">
        <v>20200</v>
      </c>
      <c r="O141" s="20">
        <v>3</v>
      </c>
      <c r="P141" s="66">
        <v>15</v>
      </c>
      <c r="Q141" s="20">
        <v>1</v>
      </c>
      <c r="R141" s="66">
        <v>100</v>
      </c>
      <c r="S141" s="66">
        <v>1</v>
      </c>
      <c r="T141" s="66" t="s">
        <v>1854</v>
      </c>
      <c r="U141" s="104" t="str">
        <f t="shared" si="5"/>
        <v>item_bg_grade_01</v>
      </c>
      <c r="V141" s="66" t="s">
        <v>525</v>
      </c>
      <c r="W141" s="66" t="s">
        <v>330</v>
      </c>
      <c r="X141" s="104">
        <v>0</v>
      </c>
      <c r="Y141" s="104">
        <v>0</v>
      </c>
      <c r="Z141" s="104">
        <v>0</v>
      </c>
      <c r="AA141" s="104">
        <v>0</v>
      </c>
      <c r="AB141" s="104">
        <v>0</v>
      </c>
      <c r="AC141" s="104">
        <v>0</v>
      </c>
      <c r="AD141" s="142">
        <v>0</v>
      </c>
      <c r="AE141" s="111">
        <f t="shared" si="76"/>
        <v>10</v>
      </c>
      <c r="AF141" s="70">
        <v>3101010</v>
      </c>
      <c r="AG141" s="105" cm="1">
        <f t="array" ref="AG141">_xlfn.SWITCH(L141,3,1,
           4,1,
           5,1,
           6,1,0)</f>
        <v>0</v>
      </c>
      <c r="AH141" s="146">
        <f t="shared" si="77"/>
        <v>80100101</v>
      </c>
      <c r="AI141" s="90">
        <v>0</v>
      </c>
      <c r="AJ141" s="90">
        <v>0</v>
      </c>
      <c r="AK141" s="27">
        <v>0</v>
      </c>
      <c r="AL141" s="123">
        <f>_xlfn.XLOOKUP(H141,'#각종 참고'!$B$11:$B$20,'#각종 참고'!$D$11:$D$20)</f>
        <v>0</v>
      </c>
      <c r="AM141" s="27">
        <v>1</v>
      </c>
      <c r="AN141" s="27">
        <v>1</v>
      </c>
      <c r="AO141" s="124">
        <f t="shared" si="62"/>
        <v>1</v>
      </c>
      <c r="AP141" s="27">
        <v>1</v>
      </c>
      <c r="AQ141" s="21">
        <v>13111001</v>
      </c>
      <c r="AR141" s="68" t="s">
        <v>1619</v>
      </c>
    </row>
    <row r="142" spans="1:47" s="68" customFormat="1" x14ac:dyDescent="0.3">
      <c r="A142" s="65"/>
      <c r="B142" s="110">
        <v>13111002</v>
      </c>
      <c r="C142" s="99" t="str">
        <f t="shared" ref="C142:C143" si="98">IF(K142&gt;0,MID(K142,5, 1), 0)</f>
        <v>3</v>
      </c>
      <c r="D142" s="120">
        <f>COUNTIFS($F$33:F142,F142, $G$33:G142,G142, $C$33:C142,C142, $L$33:L142,L142)</f>
        <v>2</v>
      </c>
      <c r="E142" s="20">
        <v>1</v>
      </c>
      <c r="F142" s="66">
        <v>1</v>
      </c>
      <c r="G142" s="66">
        <v>1</v>
      </c>
      <c r="H142" s="103" t="s">
        <v>960</v>
      </c>
      <c r="I142" s="66" t="s">
        <v>2068</v>
      </c>
      <c r="J142" s="104" t="str">
        <f t="shared" si="69"/>
        <v>Item_Name_13111002</v>
      </c>
      <c r="K142" s="66">
        <v>10103001</v>
      </c>
      <c r="L142" s="106">
        <f t="shared" si="74"/>
        <v>1</v>
      </c>
      <c r="M142" s="105">
        <f>IF(D142=0, 0, _xlfn.XLOOKUP($F142,'#무게관련'!$B:$B,'#무게관련'!$C:$C)*_xlfn.XLOOKUP($L142,'#무게관련'!$F:$F,'#무게관련'!$G:$G)*100)</f>
        <v>14000</v>
      </c>
      <c r="N142" s="20">
        <v>20200</v>
      </c>
      <c r="O142" s="20">
        <v>3</v>
      </c>
      <c r="P142" s="66">
        <v>15</v>
      </c>
      <c r="Q142" s="20">
        <v>1</v>
      </c>
      <c r="R142" s="66">
        <v>100</v>
      </c>
      <c r="S142" s="66">
        <v>1</v>
      </c>
      <c r="T142" s="66" t="s">
        <v>1854</v>
      </c>
      <c r="U142" s="104" t="str">
        <f t="shared" ref="U142:U143" si="99">"item_bg_grade_0"&amp;L142</f>
        <v>item_bg_grade_01</v>
      </c>
      <c r="V142" s="66" t="s">
        <v>525</v>
      </c>
      <c r="W142" s="66" t="s">
        <v>330</v>
      </c>
      <c r="X142" s="104">
        <v>0</v>
      </c>
      <c r="Y142" s="104">
        <v>0</v>
      </c>
      <c r="Z142" s="104">
        <v>0</v>
      </c>
      <c r="AA142" s="104">
        <v>0</v>
      </c>
      <c r="AB142" s="104">
        <v>0</v>
      </c>
      <c r="AC142" s="104">
        <v>0</v>
      </c>
      <c r="AD142" s="142">
        <v>0</v>
      </c>
      <c r="AE142" s="111">
        <f t="shared" si="76"/>
        <v>10</v>
      </c>
      <c r="AF142" s="70">
        <v>3101020</v>
      </c>
      <c r="AG142" s="105" cm="1">
        <f t="array" ref="AG142">_xlfn.SWITCH(L142,3,1,
           4,1,
           5,1,
           6,1,0)</f>
        <v>0</v>
      </c>
      <c r="AH142" s="146">
        <f t="shared" si="77"/>
        <v>80100101</v>
      </c>
      <c r="AI142" s="90">
        <v>0</v>
      </c>
      <c r="AJ142" s="90">
        <v>0</v>
      </c>
      <c r="AK142" s="27">
        <v>0</v>
      </c>
      <c r="AL142" s="123">
        <f>_xlfn.XLOOKUP(H142,'#각종 참고'!$B$11:$B$20,'#각종 참고'!$D$11:$D$20)</f>
        <v>0</v>
      </c>
      <c r="AM142" s="27">
        <v>1</v>
      </c>
      <c r="AN142" s="27">
        <v>1</v>
      </c>
      <c r="AO142" s="124">
        <f t="shared" si="62"/>
        <v>1</v>
      </c>
      <c r="AP142" s="27">
        <v>1</v>
      </c>
      <c r="AQ142" s="21">
        <v>13111011</v>
      </c>
      <c r="AR142" s="68" t="s">
        <v>2317</v>
      </c>
    </row>
    <row r="143" spans="1:47" s="68" customFormat="1" x14ac:dyDescent="0.3">
      <c r="A143" s="65"/>
      <c r="B143" s="110">
        <v>13111003</v>
      </c>
      <c r="C143" s="99" t="str">
        <f t="shared" si="98"/>
        <v>3</v>
      </c>
      <c r="D143" s="120">
        <f>COUNTIFS($F$33:F143,F143, $G$33:G143,G143, $C$33:C143,C143, $L$33:L143,L143)</f>
        <v>3</v>
      </c>
      <c r="E143" s="20">
        <v>1</v>
      </c>
      <c r="F143" s="66">
        <v>1</v>
      </c>
      <c r="G143" s="66">
        <v>1</v>
      </c>
      <c r="H143" s="103" t="s">
        <v>960</v>
      </c>
      <c r="I143" s="66" t="s">
        <v>2067</v>
      </c>
      <c r="J143" s="104" t="str">
        <f t="shared" si="69"/>
        <v>Item_Name_13111003</v>
      </c>
      <c r="K143" s="66">
        <v>10103001</v>
      </c>
      <c r="L143" s="106">
        <f t="shared" si="74"/>
        <v>1</v>
      </c>
      <c r="M143" s="105">
        <f>IF(D143=0, 0, _xlfn.XLOOKUP($F143,'#무게관련'!$B:$B,'#무게관련'!$C:$C)*_xlfn.XLOOKUP($L143,'#무게관련'!$F:$F,'#무게관련'!$G:$G)*100)</f>
        <v>14000</v>
      </c>
      <c r="N143" s="20">
        <v>20200</v>
      </c>
      <c r="O143" s="20">
        <v>3</v>
      </c>
      <c r="P143" s="66">
        <v>15</v>
      </c>
      <c r="Q143" s="20">
        <v>1</v>
      </c>
      <c r="R143" s="66">
        <v>100</v>
      </c>
      <c r="S143" s="66">
        <v>1</v>
      </c>
      <c r="T143" s="66" t="s">
        <v>1854</v>
      </c>
      <c r="U143" s="104" t="str">
        <f t="shared" si="99"/>
        <v>item_bg_grade_01</v>
      </c>
      <c r="V143" s="66" t="s">
        <v>525</v>
      </c>
      <c r="W143" s="66" t="s">
        <v>330</v>
      </c>
      <c r="X143" s="104">
        <v>0</v>
      </c>
      <c r="Y143" s="104">
        <v>0</v>
      </c>
      <c r="Z143" s="104">
        <v>0</v>
      </c>
      <c r="AA143" s="104">
        <v>0</v>
      </c>
      <c r="AB143" s="104">
        <v>0</v>
      </c>
      <c r="AC143" s="104">
        <v>0</v>
      </c>
      <c r="AD143" s="142">
        <v>0</v>
      </c>
      <c r="AE143" s="111">
        <f t="shared" si="76"/>
        <v>10</v>
      </c>
      <c r="AF143" s="70">
        <v>3101030</v>
      </c>
      <c r="AG143" s="105" cm="1">
        <f t="array" ref="AG143">_xlfn.SWITCH(L143,3,1,
           4,1,
           5,1,
           6,1,0)</f>
        <v>0</v>
      </c>
      <c r="AH143" s="146">
        <f t="shared" si="77"/>
        <v>80100101</v>
      </c>
      <c r="AI143" s="90">
        <v>0</v>
      </c>
      <c r="AJ143" s="90">
        <v>0</v>
      </c>
      <c r="AK143" s="27">
        <v>0</v>
      </c>
      <c r="AL143" s="123">
        <f>_xlfn.XLOOKUP(H143,'#각종 참고'!$B$11:$B$20,'#각종 참고'!$D$11:$D$20)</f>
        <v>0</v>
      </c>
      <c r="AM143" s="27">
        <v>1</v>
      </c>
      <c r="AN143" s="27">
        <v>1</v>
      </c>
      <c r="AO143" s="124">
        <f t="shared" ref="AO143:AO185" si="100">IF(AM143=1,AM143,AL143)</f>
        <v>1</v>
      </c>
      <c r="AP143" s="27">
        <v>1</v>
      </c>
      <c r="AQ143" s="21">
        <v>13111021</v>
      </c>
      <c r="AR143" s="68" t="s">
        <v>2318</v>
      </c>
    </row>
    <row r="144" spans="1:47" s="71" customFormat="1" x14ac:dyDescent="0.3">
      <c r="A144" s="69"/>
      <c r="B144" s="109">
        <v>13121001</v>
      </c>
      <c r="C144" s="99" t="str">
        <f t="shared" si="1"/>
        <v>3</v>
      </c>
      <c r="D144" s="122">
        <f>COUNTIFS($F$33:F144,F144, $G$33:G144,G144, $C$33:C144,C144, $L$33:L144,L144)</f>
        <v>1</v>
      </c>
      <c r="E144" s="20">
        <v>1</v>
      </c>
      <c r="F144" s="70">
        <v>1</v>
      </c>
      <c r="G144" s="70">
        <v>1</v>
      </c>
      <c r="H144" s="103" t="s">
        <v>960</v>
      </c>
      <c r="I144" s="70" t="s">
        <v>1620</v>
      </c>
      <c r="J144" s="104" t="str">
        <f t="shared" si="69"/>
        <v>Item_Name_13121001</v>
      </c>
      <c r="K144" s="70">
        <v>10103001</v>
      </c>
      <c r="L144" s="108">
        <f t="shared" si="74"/>
        <v>2</v>
      </c>
      <c r="M144" s="105">
        <f>IF(D144=0, 0, _xlfn.XLOOKUP($F144,'#무게관련'!$B:$B,'#무게관련'!$C:$C)*_xlfn.XLOOKUP($L144,'#무게관련'!$F:$F,'#무게관련'!$G:$G)*100)</f>
        <v>14000</v>
      </c>
      <c r="N144" s="20">
        <v>20200</v>
      </c>
      <c r="O144" s="20">
        <v>3</v>
      </c>
      <c r="P144" s="20">
        <v>15</v>
      </c>
      <c r="Q144" s="20">
        <v>1</v>
      </c>
      <c r="R144" s="20">
        <v>100</v>
      </c>
      <c r="S144" s="20">
        <v>1</v>
      </c>
      <c r="T144" s="20" t="s">
        <v>1855</v>
      </c>
      <c r="U144" s="104" t="str">
        <f t="shared" si="5"/>
        <v>item_bg_grade_02</v>
      </c>
      <c r="V144" s="20" t="s">
        <v>525</v>
      </c>
      <c r="W144" s="20" t="s">
        <v>330</v>
      </c>
      <c r="X144" s="104">
        <v>0</v>
      </c>
      <c r="Y144" s="104">
        <v>0</v>
      </c>
      <c r="Z144" s="104">
        <v>0</v>
      </c>
      <c r="AA144" s="104">
        <v>0</v>
      </c>
      <c r="AB144" s="104">
        <v>0</v>
      </c>
      <c r="AC144" s="104">
        <v>0</v>
      </c>
      <c r="AD144" s="142">
        <v>0</v>
      </c>
      <c r="AE144" s="112">
        <f t="shared" si="76"/>
        <v>20</v>
      </c>
      <c r="AF144" s="70">
        <v>3201010</v>
      </c>
      <c r="AG144" s="105" cm="1">
        <f t="array" ref="AG144">_xlfn.SWITCH(L144,3,1,
           4,1,
           5,1,
           6,1,0)</f>
        <v>0</v>
      </c>
      <c r="AH144" s="146">
        <f t="shared" si="77"/>
        <v>80100201</v>
      </c>
      <c r="AI144" s="90">
        <v>6000</v>
      </c>
      <c r="AJ144" s="90">
        <v>2002</v>
      </c>
      <c r="AK144" s="27">
        <v>2001</v>
      </c>
      <c r="AL144" s="123">
        <f>_xlfn.XLOOKUP(H144,'#각종 참고'!$B$11:$B$20,'#각종 참고'!$D$11:$D$20)</f>
        <v>0</v>
      </c>
      <c r="AM144" s="27">
        <v>1</v>
      </c>
      <c r="AN144" s="27">
        <v>1</v>
      </c>
      <c r="AO144" s="124">
        <f t="shared" si="100"/>
        <v>1</v>
      </c>
      <c r="AP144" s="27">
        <v>1</v>
      </c>
      <c r="AQ144" s="21">
        <v>13121001</v>
      </c>
      <c r="AR144" s="71" t="s">
        <v>1620</v>
      </c>
      <c r="AS144" s="68"/>
      <c r="AT144" s="68"/>
      <c r="AU144" s="68"/>
    </row>
    <row r="145" spans="1:47" s="71" customFormat="1" x14ac:dyDescent="0.3">
      <c r="A145" s="69"/>
      <c r="B145" s="109">
        <v>13121002</v>
      </c>
      <c r="C145" s="99" t="str">
        <f t="shared" ref="C145:C146" si="101">IF(K145&gt;0,MID(K145,5, 1), 0)</f>
        <v>3</v>
      </c>
      <c r="D145" s="122">
        <f>COUNTIFS($F$33:F145,F145, $G$33:G145,G145, $C$33:C145,C145, $L$33:L145,L145)</f>
        <v>2</v>
      </c>
      <c r="E145" s="20">
        <v>1</v>
      </c>
      <c r="F145" s="70">
        <v>1</v>
      </c>
      <c r="G145" s="70">
        <v>1</v>
      </c>
      <c r="H145" s="103" t="s">
        <v>960</v>
      </c>
      <c r="I145" s="70" t="s">
        <v>1622</v>
      </c>
      <c r="J145" s="104" t="str">
        <f t="shared" si="69"/>
        <v>Item_Name_13121002</v>
      </c>
      <c r="K145" s="70">
        <v>10103001</v>
      </c>
      <c r="L145" s="108">
        <f t="shared" si="74"/>
        <v>2</v>
      </c>
      <c r="M145" s="105">
        <f>IF(D145=0, 0, _xlfn.XLOOKUP($F145,'#무게관련'!$B:$B,'#무게관련'!$C:$C)*_xlfn.XLOOKUP($L145,'#무게관련'!$F:$F,'#무게관련'!$G:$G)*100)</f>
        <v>14000</v>
      </c>
      <c r="N145" s="20">
        <v>20200</v>
      </c>
      <c r="O145" s="20">
        <v>3</v>
      </c>
      <c r="P145" s="20">
        <v>15</v>
      </c>
      <c r="Q145" s="20">
        <v>1</v>
      </c>
      <c r="R145" s="20">
        <v>100</v>
      </c>
      <c r="S145" s="20">
        <v>1</v>
      </c>
      <c r="T145" s="20" t="s">
        <v>1855</v>
      </c>
      <c r="U145" s="104" t="str">
        <f t="shared" ref="U145:U146" si="102">"item_bg_grade_0"&amp;L145</f>
        <v>item_bg_grade_02</v>
      </c>
      <c r="V145" s="20" t="s">
        <v>525</v>
      </c>
      <c r="W145" s="20" t="s">
        <v>330</v>
      </c>
      <c r="X145" s="104">
        <v>0</v>
      </c>
      <c r="Y145" s="104">
        <v>0</v>
      </c>
      <c r="Z145" s="104">
        <v>0</v>
      </c>
      <c r="AA145" s="104">
        <v>0</v>
      </c>
      <c r="AB145" s="104">
        <v>0</v>
      </c>
      <c r="AC145" s="104">
        <v>0</v>
      </c>
      <c r="AD145" s="142">
        <v>0</v>
      </c>
      <c r="AE145" s="112">
        <f t="shared" si="76"/>
        <v>20</v>
      </c>
      <c r="AF145" s="70">
        <v>3201020</v>
      </c>
      <c r="AG145" s="105" cm="1">
        <f t="array" ref="AG145">_xlfn.SWITCH(L145,3,1,
           4,1,
           5,1,
           6,1,0)</f>
        <v>0</v>
      </c>
      <c r="AH145" s="146">
        <f t="shared" si="77"/>
        <v>80100201</v>
      </c>
      <c r="AI145" s="90">
        <v>6000</v>
      </c>
      <c r="AJ145" s="90">
        <v>2002</v>
      </c>
      <c r="AK145" s="27">
        <v>2001</v>
      </c>
      <c r="AL145" s="123">
        <f>_xlfn.XLOOKUP(H145,'#각종 참고'!$B$11:$B$20,'#각종 참고'!$D$11:$D$20)</f>
        <v>0</v>
      </c>
      <c r="AM145" s="27">
        <v>1</v>
      </c>
      <c r="AN145" s="27">
        <v>1</v>
      </c>
      <c r="AO145" s="124">
        <f t="shared" si="100"/>
        <v>1</v>
      </c>
      <c r="AP145" s="27">
        <v>1</v>
      </c>
      <c r="AQ145" s="21">
        <v>13121011</v>
      </c>
      <c r="AR145" s="71" t="s">
        <v>2319</v>
      </c>
      <c r="AS145" s="68"/>
      <c r="AT145" s="68"/>
      <c r="AU145" s="68"/>
    </row>
    <row r="146" spans="1:47" s="71" customFormat="1" x14ac:dyDescent="0.3">
      <c r="A146" s="69"/>
      <c r="B146" s="109">
        <v>13121003</v>
      </c>
      <c r="C146" s="99" t="str">
        <f t="shared" si="101"/>
        <v>3</v>
      </c>
      <c r="D146" s="122">
        <f>COUNTIFS($F$33:F146,F146, $G$33:G146,G146, $C$33:C146,C146, $L$33:L146,L146)</f>
        <v>3</v>
      </c>
      <c r="E146" s="20">
        <v>1</v>
      </c>
      <c r="F146" s="70">
        <v>1</v>
      </c>
      <c r="G146" s="70">
        <v>1</v>
      </c>
      <c r="H146" s="103" t="s">
        <v>960</v>
      </c>
      <c r="I146" s="70" t="s">
        <v>2013</v>
      </c>
      <c r="J146" s="104" t="str">
        <f t="shared" si="69"/>
        <v>Item_Name_13121003</v>
      </c>
      <c r="K146" s="70">
        <v>10103001</v>
      </c>
      <c r="L146" s="108">
        <f t="shared" si="74"/>
        <v>2</v>
      </c>
      <c r="M146" s="105">
        <f>IF(D146=0, 0, _xlfn.XLOOKUP($F146,'#무게관련'!$B:$B,'#무게관련'!$C:$C)*_xlfn.XLOOKUP($L146,'#무게관련'!$F:$F,'#무게관련'!$G:$G)*100)</f>
        <v>14000</v>
      </c>
      <c r="N146" s="20">
        <v>20200</v>
      </c>
      <c r="O146" s="20">
        <v>3</v>
      </c>
      <c r="P146" s="20">
        <v>15</v>
      </c>
      <c r="Q146" s="20">
        <v>1</v>
      </c>
      <c r="R146" s="20">
        <v>100</v>
      </c>
      <c r="S146" s="20">
        <v>1</v>
      </c>
      <c r="T146" s="20" t="s">
        <v>1855</v>
      </c>
      <c r="U146" s="104" t="str">
        <f t="shared" si="102"/>
        <v>item_bg_grade_02</v>
      </c>
      <c r="V146" s="20" t="s">
        <v>525</v>
      </c>
      <c r="W146" s="20" t="s">
        <v>330</v>
      </c>
      <c r="X146" s="104">
        <v>0</v>
      </c>
      <c r="Y146" s="104">
        <v>0</v>
      </c>
      <c r="Z146" s="104">
        <v>0</v>
      </c>
      <c r="AA146" s="104">
        <v>0</v>
      </c>
      <c r="AB146" s="104">
        <v>0</v>
      </c>
      <c r="AC146" s="104">
        <v>0</v>
      </c>
      <c r="AD146" s="142">
        <v>0</v>
      </c>
      <c r="AE146" s="112">
        <f t="shared" si="76"/>
        <v>20</v>
      </c>
      <c r="AF146" s="70">
        <v>3201030</v>
      </c>
      <c r="AG146" s="105" cm="1">
        <f t="array" ref="AG146">_xlfn.SWITCH(L146,3,1,
           4,1,
           5,1,
           6,1,0)</f>
        <v>0</v>
      </c>
      <c r="AH146" s="146">
        <f t="shared" si="77"/>
        <v>80100201</v>
      </c>
      <c r="AI146" s="90">
        <v>6000</v>
      </c>
      <c r="AJ146" s="90">
        <v>2002</v>
      </c>
      <c r="AK146" s="27">
        <v>2001</v>
      </c>
      <c r="AL146" s="123">
        <f>_xlfn.XLOOKUP(H146,'#각종 참고'!$B$11:$B$20,'#각종 참고'!$D$11:$D$20)</f>
        <v>0</v>
      </c>
      <c r="AM146" s="27">
        <v>1</v>
      </c>
      <c r="AN146" s="27">
        <v>1</v>
      </c>
      <c r="AO146" s="124">
        <f t="shared" si="100"/>
        <v>1</v>
      </c>
      <c r="AP146" s="27">
        <v>1</v>
      </c>
      <c r="AQ146" s="21">
        <v>13121021</v>
      </c>
      <c r="AR146" s="71" t="s">
        <v>2320</v>
      </c>
      <c r="AS146" s="68"/>
      <c r="AT146" s="68"/>
      <c r="AU146" s="68"/>
    </row>
    <row r="147" spans="1:47" x14ac:dyDescent="0.3">
      <c r="A147" s="19"/>
      <c r="B147" s="109">
        <v>13131001</v>
      </c>
      <c r="C147" s="99" t="str">
        <f t="shared" si="1"/>
        <v>3</v>
      </c>
      <c r="D147" s="121">
        <f>COUNTIFS($F$33:F147,F147, $G$33:G147,G147, $C$33:C147,C147, $L$33:L147,L147)</f>
        <v>1</v>
      </c>
      <c r="E147" s="20">
        <v>1</v>
      </c>
      <c r="F147" s="20">
        <v>1</v>
      </c>
      <c r="G147" s="20">
        <v>1</v>
      </c>
      <c r="H147" s="103" t="s">
        <v>960</v>
      </c>
      <c r="I147" s="20" t="s">
        <v>1621</v>
      </c>
      <c r="J147" s="104" t="str">
        <f t="shared" si="69"/>
        <v>Item_Name_13131001</v>
      </c>
      <c r="K147" s="20">
        <v>10103001</v>
      </c>
      <c r="L147" s="108">
        <f t="shared" si="74"/>
        <v>3</v>
      </c>
      <c r="M147" s="105">
        <f>IF(D147=0, 0, _xlfn.XLOOKUP($F147,'#무게관련'!$B:$B,'#무게관련'!$C:$C)*_xlfn.XLOOKUP($L147,'#무게관련'!$F:$F,'#무게관련'!$G:$G)*100)</f>
        <v>14000</v>
      </c>
      <c r="N147" s="20">
        <v>20200</v>
      </c>
      <c r="O147" s="20">
        <v>3</v>
      </c>
      <c r="P147" s="20">
        <v>15</v>
      </c>
      <c r="Q147" s="20">
        <v>1</v>
      </c>
      <c r="R147" s="20">
        <v>100</v>
      </c>
      <c r="S147" s="20">
        <v>1</v>
      </c>
      <c r="T147" s="20" t="s">
        <v>1856</v>
      </c>
      <c r="U147" s="104" t="str">
        <f t="shared" si="5"/>
        <v>item_bg_grade_03</v>
      </c>
      <c r="V147" s="20" t="s">
        <v>525</v>
      </c>
      <c r="W147" s="20" t="s">
        <v>330</v>
      </c>
      <c r="X147" s="104">
        <v>0</v>
      </c>
      <c r="Y147" s="104">
        <v>0</v>
      </c>
      <c r="Z147" s="104">
        <v>0</v>
      </c>
      <c r="AA147" s="104">
        <v>0</v>
      </c>
      <c r="AB147" s="104">
        <v>0</v>
      </c>
      <c r="AC147" s="104">
        <v>0</v>
      </c>
      <c r="AD147" s="142">
        <v>0</v>
      </c>
      <c r="AE147" s="112">
        <f t="shared" si="76"/>
        <v>30</v>
      </c>
      <c r="AF147" s="70">
        <v>3301010</v>
      </c>
      <c r="AG147" s="105" cm="1">
        <f t="array" ref="AG147">_xlfn.SWITCH(L147,3,1,
           4,1,
           5,1,
           6,1,0)</f>
        <v>1</v>
      </c>
      <c r="AH147" s="146">
        <f t="shared" ref="AH147:AH176" si="103">AH129</f>
        <v>80100301</v>
      </c>
      <c r="AI147" s="90">
        <v>6001</v>
      </c>
      <c r="AJ147" s="90">
        <v>2004</v>
      </c>
      <c r="AK147" s="27">
        <v>3001</v>
      </c>
      <c r="AL147" s="123">
        <f>_xlfn.XLOOKUP(H147,'#각종 참고'!$B$11:$B$20,'#각종 참고'!$D$11:$D$20)</f>
        <v>0</v>
      </c>
      <c r="AM147" s="27">
        <v>1</v>
      </c>
      <c r="AN147" s="27">
        <v>1</v>
      </c>
      <c r="AO147" s="124">
        <f t="shared" si="100"/>
        <v>1</v>
      </c>
      <c r="AP147" s="27">
        <v>1</v>
      </c>
      <c r="AQ147" s="21">
        <v>13131001</v>
      </c>
      <c r="AR147" s="21" t="s">
        <v>1621</v>
      </c>
      <c r="AS147" s="68"/>
      <c r="AT147" s="68"/>
      <c r="AU147" s="68"/>
    </row>
    <row r="148" spans="1:47" x14ac:dyDescent="0.3">
      <c r="A148" s="19"/>
      <c r="B148" s="109">
        <v>13131002</v>
      </c>
      <c r="C148" s="99" t="str">
        <f t="shared" ref="C148:C149" si="104">IF(K148&gt;0,MID(K148,5, 1), 0)</f>
        <v>3</v>
      </c>
      <c r="D148" s="121">
        <f>COUNTIFS($F$33:F148,F148, $G$33:G148,G148, $C$33:C148,C148, $L$33:L148,L148)</f>
        <v>2</v>
      </c>
      <c r="E148" s="20">
        <v>1</v>
      </c>
      <c r="F148" s="20">
        <v>1</v>
      </c>
      <c r="G148" s="20">
        <v>1</v>
      </c>
      <c r="H148" s="103" t="s">
        <v>960</v>
      </c>
      <c r="I148" s="20" t="s">
        <v>1626</v>
      </c>
      <c r="J148" s="104" t="str">
        <f t="shared" si="69"/>
        <v>Item_Name_13131002</v>
      </c>
      <c r="K148" s="20">
        <v>10103001</v>
      </c>
      <c r="L148" s="108">
        <f t="shared" si="74"/>
        <v>3</v>
      </c>
      <c r="M148" s="105">
        <f>IF(D148=0, 0, _xlfn.XLOOKUP($F148,'#무게관련'!$B:$B,'#무게관련'!$C:$C)*_xlfn.XLOOKUP($L148,'#무게관련'!$F:$F,'#무게관련'!$G:$G)*100)</f>
        <v>14000</v>
      </c>
      <c r="N148" s="20">
        <v>20200</v>
      </c>
      <c r="O148" s="20">
        <v>3</v>
      </c>
      <c r="P148" s="20">
        <v>15</v>
      </c>
      <c r="Q148" s="20">
        <v>1</v>
      </c>
      <c r="R148" s="20">
        <v>100</v>
      </c>
      <c r="S148" s="20">
        <v>1</v>
      </c>
      <c r="T148" s="20" t="s">
        <v>1856</v>
      </c>
      <c r="U148" s="104" t="str">
        <f t="shared" ref="U148:U149" si="105">"item_bg_grade_0"&amp;L148</f>
        <v>item_bg_grade_03</v>
      </c>
      <c r="V148" s="20" t="s">
        <v>525</v>
      </c>
      <c r="W148" s="20" t="s">
        <v>330</v>
      </c>
      <c r="X148" s="104">
        <v>0</v>
      </c>
      <c r="Y148" s="104">
        <v>0</v>
      </c>
      <c r="Z148" s="104">
        <v>0</v>
      </c>
      <c r="AA148" s="104">
        <v>0</v>
      </c>
      <c r="AB148" s="104">
        <v>0</v>
      </c>
      <c r="AC148" s="104">
        <v>0</v>
      </c>
      <c r="AD148" s="142">
        <v>0</v>
      </c>
      <c r="AE148" s="112">
        <f t="shared" si="76"/>
        <v>30</v>
      </c>
      <c r="AF148" s="70">
        <v>3301020</v>
      </c>
      <c r="AG148" s="105" cm="1">
        <f t="array" ref="AG148">_xlfn.SWITCH(L148,3,1,
           4,1,
           5,1,
           6,1,0)</f>
        <v>1</v>
      </c>
      <c r="AH148" s="146">
        <f t="shared" si="103"/>
        <v>80100301</v>
      </c>
      <c r="AI148" s="90">
        <v>6001</v>
      </c>
      <c r="AJ148" s="90">
        <v>2004</v>
      </c>
      <c r="AK148" s="27">
        <v>3001</v>
      </c>
      <c r="AL148" s="123">
        <f>_xlfn.XLOOKUP(H148,'#각종 참고'!$B$11:$B$20,'#각종 참고'!$D$11:$D$20)</f>
        <v>0</v>
      </c>
      <c r="AM148" s="27">
        <v>1</v>
      </c>
      <c r="AN148" s="27">
        <v>1</v>
      </c>
      <c r="AO148" s="124">
        <f t="shared" si="100"/>
        <v>1</v>
      </c>
      <c r="AP148" s="27">
        <v>1</v>
      </c>
      <c r="AQ148" s="21">
        <v>13131011</v>
      </c>
      <c r="AR148" s="21" t="s">
        <v>2321</v>
      </c>
      <c r="AS148" s="68"/>
      <c r="AT148" s="68"/>
      <c r="AU148" s="68"/>
    </row>
    <row r="149" spans="1:47" x14ac:dyDescent="0.3">
      <c r="A149" s="19"/>
      <c r="B149" s="109">
        <v>13131003</v>
      </c>
      <c r="C149" s="99" t="str">
        <f t="shared" si="104"/>
        <v>3</v>
      </c>
      <c r="D149" s="121">
        <f>COUNTIFS($F$33:F149,F149, $G$33:G149,G149, $C$33:C149,C149, $L$33:L149,L149)</f>
        <v>3</v>
      </c>
      <c r="E149" s="20">
        <v>1</v>
      </c>
      <c r="F149" s="20">
        <v>1</v>
      </c>
      <c r="G149" s="20">
        <v>1</v>
      </c>
      <c r="H149" s="103" t="s">
        <v>960</v>
      </c>
      <c r="I149" s="20" t="s">
        <v>1624</v>
      </c>
      <c r="J149" s="104" t="str">
        <f t="shared" si="69"/>
        <v>Item_Name_13131003</v>
      </c>
      <c r="K149" s="20">
        <v>10103001</v>
      </c>
      <c r="L149" s="108">
        <f t="shared" si="74"/>
        <v>3</v>
      </c>
      <c r="M149" s="105">
        <f>IF(D149=0, 0, _xlfn.XLOOKUP($F149,'#무게관련'!$B:$B,'#무게관련'!$C:$C)*_xlfn.XLOOKUP($L149,'#무게관련'!$F:$F,'#무게관련'!$G:$G)*100)</f>
        <v>14000</v>
      </c>
      <c r="N149" s="20">
        <v>20200</v>
      </c>
      <c r="O149" s="20">
        <v>3</v>
      </c>
      <c r="P149" s="20">
        <v>15</v>
      </c>
      <c r="Q149" s="20">
        <v>1</v>
      </c>
      <c r="R149" s="20">
        <v>100</v>
      </c>
      <c r="S149" s="20">
        <v>1</v>
      </c>
      <c r="T149" s="20" t="s">
        <v>1856</v>
      </c>
      <c r="U149" s="104" t="str">
        <f t="shared" si="105"/>
        <v>item_bg_grade_03</v>
      </c>
      <c r="V149" s="20" t="s">
        <v>525</v>
      </c>
      <c r="W149" s="20" t="s">
        <v>330</v>
      </c>
      <c r="X149" s="104">
        <v>0</v>
      </c>
      <c r="Y149" s="104">
        <v>0</v>
      </c>
      <c r="Z149" s="104">
        <v>0</v>
      </c>
      <c r="AA149" s="104">
        <v>0</v>
      </c>
      <c r="AB149" s="104">
        <v>0</v>
      </c>
      <c r="AC149" s="104">
        <v>0</v>
      </c>
      <c r="AD149" s="142">
        <v>0</v>
      </c>
      <c r="AE149" s="112">
        <f t="shared" si="76"/>
        <v>30</v>
      </c>
      <c r="AF149" s="70">
        <v>3301030</v>
      </c>
      <c r="AG149" s="105" cm="1">
        <f t="array" ref="AG149">_xlfn.SWITCH(L149,3,1,
           4,1,
           5,1,
           6,1,0)</f>
        <v>1</v>
      </c>
      <c r="AH149" s="146">
        <f t="shared" si="103"/>
        <v>80100301</v>
      </c>
      <c r="AI149" s="90">
        <v>6001</v>
      </c>
      <c r="AJ149" s="90">
        <v>2004</v>
      </c>
      <c r="AK149" s="27">
        <v>3001</v>
      </c>
      <c r="AL149" s="123">
        <f>_xlfn.XLOOKUP(H149,'#각종 참고'!$B$11:$B$20,'#각종 참고'!$D$11:$D$20)</f>
        <v>0</v>
      </c>
      <c r="AM149" s="27">
        <v>1</v>
      </c>
      <c r="AN149" s="27">
        <v>1</v>
      </c>
      <c r="AO149" s="124">
        <f t="shared" si="100"/>
        <v>1</v>
      </c>
      <c r="AP149" s="27">
        <v>1</v>
      </c>
      <c r="AQ149" s="21">
        <v>13131021</v>
      </c>
      <c r="AR149" s="21" t="s">
        <v>2322</v>
      </c>
      <c r="AS149" s="68"/>
      <c r="AT149" s="68"/>
      <c r="AU149" s="68"/>
    </row>
    <row r="150" spans="1:47" x14ac:dyDescent="0.3">
      <c r="A150" s="19"/>
      <c r="B150" s="109">
        <v>13141001</v>
      </c>
      <c r="C150" s="99" t="str">
        <f t="shared" si="1"/>
        <v>3</v>
      </c>
      <c r="D150" s="121">
        <f>COUNTIFS($F$33:F150,F150, $G$33:G150,G150, $C$33:C150,C150, $L$33:L150,L150)</f>
        <v>1</v>
      </c>
      <c r="E150" s="20">
        <v>1</v>
      </c>
      <c r="F150" s="20">
        <v>1</v>
      </c>
      <c r="G150" s="20">
        <v>1</v>
      </c>
      <c r="H150" s="103" t="s">
        <v>960</v>
      </c>
      <c r="I150" s="20" t="s">
        <v>1623</v>
      </c>
      <c r="J150" s="104" t="str">
        <f t="shared" si="69"/>
        <v>Item_Name_13141001</v>
      </c>
      <c r="K150" s="20">
        <v>10103001</v>
      </c>
      <c r="L150" s="108">
        <f t="shared" si="74"/>
        <v>4</v>
      </c>
      <c r="M150" s="105">
        <f>IF(D150=0, 0, _xlfn.XLOOKUP($F150,'#무게관련'!$B:$B,'#무게관련'!$C:$C)*_xlfn.XLOOKUP($L150,'#무게관련'!$F:$F,'#무게관련'!$G:$G)*100)</f>
        <v>14000</v>
      </c>
      <c r="N150" s="20">
        <v>20200</v>
      </c>
      <c r="O150" s="20">
        <v>3</v>
      </c>
      <c r="P150" s="20">
        <v>15</v>
      </c>
      <c r="Q150" s="20">
        <v>1</v>
      </c>
      <c r="R150" s="20">
        <v>100</v>
      </c>
      <c r="S150" s="20">
        <v>1</v>
      </c>
      <c r="T150" s="20" t="s">
        <v>1857</v>
      </c>
      <c r="U150" s="104" t="str">
        <f t="shared" si="5"/>
        <v>item_bg_grade_04</v>
      </c>
      <c r="V150" s="20" t="s">
        <v>525</v>
      </c>
      <c r="W150" s="20" t="s">
        <v>330</v>
      </c>
      <c r="X150" s="104">
        <v>0</v>
      </c>
      <c r="Y150" s="104">
        <v>0</v>
      </c>
      <c r="Z150" s="104">
        <v>0</v>
      </c>
      <c r="AA150" s="104">
        <v>0</v>
      </c>
      <c r="AB150" s="104">
        <v>0</v>
      </c>
      <c r="AC150" s="104">
        <v>0</v>
      </c>
      <c r="AD150" s="142">
        <v>0</v>
      </c>
      <c r="AE150" s="112">
        <f t="shared" si="76"/>
        <v>40</v>
      </c>
      <c r="AF150" s="70">
        <v>3401010</v>
      </c>
      <c r="AG150" s="105" cm="1">
        <f t="array" ref="AG150">_xlfn.SWITCH(L150,3,1,
           4,1,
           5,1,
           6,1,0)</f>
        <v>1</v>
      </c>
      <c r="AH150" s="146">
        <f t="shared" si="103"/>
        <v>80100401</v>
      </c>
      <c r="AI150" s="90">
        <v>6002</v>
      </c>
      <c r="AJ150" s="90">
        <v>2006</v>
      </c>
      <c r="AK150" s="27">
        <v>4001</v>
      </c>
      <c r="AL150" s="123">
        <f>_xlfn.XLOOKUP(H150,'#각종 참고'!$B$11:$B$20,'#각종 참고'!$D$11:$D$20)</f>
        <v>0</v>
      </c>
      <c r="AM150" s="27">
        <v>1</v>
      </c>
      <c r="AN150" s="27">
        <v>1</v>
      </c>
      <c r="AO150" s="124">
        <f t="shared" si="100"/>
        <v>1</v>
      </c>
      <c r="AP150" s="27">
        <v>1</v>
      </c>
      <c r="AQ150" s="21">
        <v>13141001</v>
      </c>
      <c r="AR150" s="21" t="s">
        <v>1623</v>
      </c>
      <c r="AS150" s="68"/>
      <c r="AT150" s="68"/>
      <c r="AU150" s="68"/>
    </row>
    <row r="151" spans="1:47" x14ac:dyDescent="0.3">
      <c r="A151" s="19"/>
      <c r="B151" s="109">
        <v>13141002</v>
      </c>
      <c r="C151" s="99" t="str">
        <f t="shared" ref="C151:C152" si="106">IF(K151&gt;0,MID(K151,5, 1), 0)</f>
        <v>3</v>
      </c>
      <c r="D151" s="121">
        <f>COUNTIFS($F$33:F151,F151, $G$33:G151,G151, $C$33:C151,C151, $L$33:L151,L151)</f>
        <v>2</v>
      </c>
      <c r="E151" s="20">
        <v>1</v>
      </c>
      <c r="F151" s="20">
        <v>1</v>
      </c>
      <c r="G151" s="20">
        <v>1</v>
      </c>
      <c r="H151" s="103" t="s">
        <v>960</v>
      </c>
      <c r="I151" s="20" t="s">
        <v>2069</v>
      </c>
      <c r="J151" s="104" t="str">
        <f t="shared" si="69"/>
        <v>Item_Name_13141002</v>
      </c>
      <c r="K151" s="20">
        <v>10103001</v>
      </c>
      <c r="L151" s="108">
        <f t="shared" si="74"/>
        <v>4</v>
      </c>
      <c r="M151" s="105">
        <f>IF(D151=0, 0, _xlfn.XLOOKUP($F151,'#무게관련'!$B:$B,'#무게관련'!$C:$C)*_xlfn.XLOOKUP($L151,'#무게관련'!$F:$F,'#무게관련'!$G:$G)*100)</f>
        <v>14000</v>
      </c>
      <c r="N151" s="20">
        <v>20200</v>
      </c>
      <c r="O151" s="20">
        <v>3</v>
      </c>
      <c r="P151" s="20">
        <v>15</v>
      </c>
      <c r="Q151" s="20">
        <v>1</v>
      </c>
      <c r="R151" s="20">
        <v>100</v>
      </c>
      <c r="S151" s="20">
        <v>1</v>
      </c>
      <c r="T151" s="20" t="s">
        <v>1857</v>
      </c>
      <c r="U151" s="104" t="str">
        <f t="shared" ref="U151:U152" si="107">"item_bg_grade_0"&amp;L151</f>
        <v>item_bg_grade_04</v>
      </c>
      <c r="V151" s="20" t="s">
        <v>525</v>
      </c>
      <c r="W151" s="20" t="s">
        <v>330</v>
      </c>
      <c r="X151" s="104">
        <v>0</v>
      </c>
      <c r="Y151" s="104">
        <v>0</v>
      </c>
      <c r="Z151" s="104">
        <v>0</v>
      </c>
      <c r="AA151" s="104">
        <v>0</v>
      </c>
      <c r="AB151" s="104">
        <v>0</v>
      </c>
      <c r="AC151" s="104">
        <v>0</v>
      </c>
      <c r="AD151" s="142">
        <v>0</v>
      </c>
      <c r="AE151" s="112">
        <f t="shared" si="76"/>
        <v>40</v>
      </c>
      <c r="AF151" s="70">
        <v>3401020</v>
      </c>
      <c r="AG151" s="105" cm="1">
        <f t="array" ref="AG151">_xlfn.SWITCH(L151,3,1,
           4,1,
           5,1,
           6,1,0)</f>
        <v>1</v>
      </c>
      <c r="AH151" s="146">
        <f t="shared" si="103"/>
        <v>80100401</v>
      </c>
      <c r="AI151" s="90">
        <v>6002</v>
      </c>
      <c r="AJ151" s="90">
        <v>2006</v>
      </c>
      <c r="AK151" s="27">
        <v>4001</v>
      </c>
      <c r="AL151" s="123">
        <f>_xlfn.XLOOKUP(H151,'#각종 참고'!$B$11:$B$20,'#각종 참고'!$D$11:$D$20)</f>
        <v>0</v>
      </c>
      <c r="AM151" s="27">
        <v>1</v>
      </c>
      <c r="AN151" s="27">
        <v>1</v>
      </c>
      <c r="AO151" s="124">
        <f t="shared" si="100"/>
        <v>1</v>
      </c>
      <c r="AP151" s="27">
        <v>1</v>
      </c>
      <c r="AQ151" s="21">
        <v>13141011</v>
      </c>
      <c r="AR151" s="21" t="s">
        <v>2323</v>
      </c>
      <c r="AS151" s="68"/>
      <c r="AT151" s="68"/>
      <c r="AU151" s="68"/>
    </row>
    <row r="152" spans="1:47" x14ac:dyDescent="0.3">
      <c r="A152" s="19"/>
      <c r="B152" s="109">
        <v>13141003</v>
      </c>
      <c r="C152" s="99" t="str">
        <f t="shared" si="106"/>
        <v>3</v>
      </c>
      <c r="D152" s="121">
        <f>COUNTIFS($F$33:F152,F152, $G$33:G152,G152, $C$33:C152,C152, $L$33:L152,L152)</f>
        <v>3</v>
      </c>
      <c r="E152" s="20">
        <v>1</v>
      </c>
      <c r="F152" s="20">
        <v>1</v>
      </c>
      <c r="G152" s="20">
        <v>1</v>
      </c>
      <c r="H152" s="103" t="s">
        <v>960</v>
      </c>
      <c r="I152" s="20" t="s">
        <v>1989</v>
      </c>
      <c r="J152" s="104" t="str">
        <f t="shared" si="69"/>
        <v>Item_Name_13141003</v>
      </c>
      <c r="K152" s="20">
        <v>10103001</v>
      </c>
      <c r="L152" s="108">
        <f t="shared" si="74"/>
        <v>4</v>
      </c>
      <c r="M152" s="105">
        <f>IF(D152=0, 0, _xlfn.XLOOKUP($F152,'#무게관련'!$B:$B,'#무게관련'!$C:$C)*_xlfn.XLOOKUP($L152,'#무게관련'!$F:$F,'#무게관련'!$G:$G)*100)</f>
        <v>14000</v>
      </c>
      <c r="N152" s="20">
        <v>20200</v>
      </c>
      <c r="O152" s="20">
        <v>3</v>
      </c>
      <c r="P152" s="20">
        <v>15</v>
      </c>
      <c r="Q152" s="20">
        <v>1</v>
      </c>
      <c r="R152" s="20">
        <v>100</v>
      </c>
      <c r="S152" s="20">
        <v>1</v>
      </c>
      <c r="T152" s="20" t="s">
        <v>1857</v>
      </c>
      <c r="U152" s="104" t="str">
        <f t="shared" si="107"/>
        <v>item_bg_grade_04</v>
      </c>
      <c r="V152" s="20" t="s">
        <v>525</v>
      </c>
      <c r="W152" s="20" t="s">
        <v>330</v>
      </c>
      <c r="X152" s="104">
        <v>0</v>
      </c>
      <c r="Y152" s="104">
        <v>0</v>
      </c>
      <c r="Z152" s="104">
        <v>0</v>
      </c>
      <c r="AA152" s="104">
        <v>0</v>
      </c>
      <c r="AB152" s="104">
        <v>0</v>
      </c>
      <c r="AC152" s="104">
        <v>0</v>
      </c>
      <c r="AD152" s="142">
        <v>0</v>
      </c>
      <c r="AE152" s="112">
        <f t="shared" si="76"/>
        <v>40</v>
      </c>
      <c r="AF152" s="70">
        <v>3401030</v>
      </c>
      <c r="AG152" s="105" cm="1">
        <f t="array" ref="AG152">_xlfn.SWITCH(L152,3,1,
           4,1,
           5,1,
           6,1,0)</f>
        <v>1</v>
      </c>
      <c r="AH152" s="146">
        <f t="shared" si="103"/>
        <v>80100401</v>
      </c>
      <c r="AI152" s="90">
        <v>6002</v>
      </c>
      <c r="AJ152" s="90">
        <v>2006</v>
      </c>
      <c r="AK152" s="27">
        <v>4001</v>
      </c>
      <c r="AL152" s="123">
        <f>_xlfn.XLOOKUP(H152,'#각종 참고'!$B$11:$B$20,'#각종 참고'!$D$11:$D$20)</f>
        <v>0</v>
      </c>
      <c r="AM152" s="27">
        <v>1</v>
      </c>
      <c r="AN152" s="27">
        <v>1</v>
      </c>
      <c r="AO152" s="124">
        <f t="shared" si="100"/>
        <v>1</v>
      </c>
      <c r="AP152" s="27">
        <v>1</v>
      </c>
      <c r="AQ152" s="21">
        <v>13141021</v>
      </c>
      <c r="AR152" s="21" t="s">
        <v>2324</v>
      </c>
      <c r="AS152" s="68"/>
      <c r="AT152" s="68"/>
      <c r="AU152" s="68"/>
    </row>
    <row r="153" spans="1:47" x14ac:dyDescent="0.3">
      <c r="A153" s="19"/>
      <c r="B153" s="109">
        <v>13151001</v>
      </c>
      <c r="C153" s="99" t="str">
        <f t="shared" ref="C153:C156" si="108">IF(K153&gt;0,MID(K153,5, 1), 0)</f>
        <v>3</v>
      </c>
      <c r="D153" s="121">
        <f>COUNTIFS($F$33:F153,F153, $G$33:G153,G153, $C$33:C153,C153, $L$33:L153,L153)</f>
        <v>1</v>
      </c>
      <c r="E153" s="20">
        <v>1</v>
      </c>
      <c r="F153" s="20">
        <v>1</v>
      </c>
      <c r="G153" s="20">
        <v>1</v>
      </c>
      <c r="H153" s="103" t="s">
        <v>960</v>
      </c>
      <c r="I153" s="20" t="s">
        <v>1625</v>
      </c>
      <c r="J153" s="104" t="str">
        <f t="shared" si="69"/>
        <v>Item_Name_13151001</v>
      </c>
      <c r="K153" s="20">
        <v>10103001</v>
      </c>
      <c r="L153" s="108">
        <f t="shared" si="74"/>
        <v>5</v>
      </c>
      <c r="M153" s="105">
        <f>IF(D153=0, 0, _xlfn.XLOOKUP($F153,'#무게관련'!$B:$B,'#무게관련'!$C:$C)*_xlfn.XLOOKUP($L153,'#무게관련'!$F:$F,'#무게관련'!$G:$G)*100)</f>
        <v>14000</v>
      </c>
      <c r="N153" s="20">
        <v>20200</v>
      </c>
      <c r="O153" s="20">
        <v>3</v>
      </c>
      <c r="P153" s="20">
        <v>15</v>
      </c>
      <c r="Q153" s="20">
        <v>1</v>
      </c>
      <c r="R153" s="20">
        <v>100</v>
      </c>
      <c r="S153" s="20">
        <v>1</v>
      </c>
      <c r="T153" s="20" t="s">
        <v>1858</v>
      </c>
      <c r="U153" s="104" t="str">
        <f t="shared" si="5"/>
        <v>item_bg_grade_05</v>
      </c>
      <c r="V153" s="20" t="s">
        <v>525</v>
      </c>
      <c r="W153" s="20" t="s">
        <v>330</v>
      </c>
      <c r="X153" s="104">
        <v>0</v>
      </c>
      <c r="Y153" s="104">
        <v>0</v>
      </c>
      <c r="Z153" s="104">
        <v>0</v>
      </c>
      <c r="AA153" s="104">
        <v>0</v>
      </c>
      <c r="AB153" s="104">
        <v>0</v>
      </c>
      <c r="AC153" s="104">
        <v>0</v>
      </c>
      <c r="AD153" s="142">
        <v>0</v>
      </c>
      <c r="AE153" s="112">
        <f t="shared" si="76"/>
        <v>50</v>
      </c>
      <c r="AF153" s="70">
        <v>3501010</v>
      </c>
      <c r="AG153" s="105" cm="1">
        <f t="array" ref="AG153">_xlfn.SWITCH(L153,3,1,
           4,1,
           5,1,
           6,1,0)</f>
        <v>1</v>
      </c>
      <c r="AH153" s="146">
        <f t="shared" si="103"/>
        <v>80100501</v>
      </c>
      <c r="AI153" s="90">
        <v>6003</v>
      </c>
      <c r="AJ153" s="90">
        <v>2008</v>
      </c>
      <c r="AK153" s="27">
        <v>5001</v>
      </c>
      <c r="AL153" s="123">
        <f>_xlfn.XLOOKUP(H153,'#각종 참고'!$B$11:$B$20,'#각종 참고'!$D$11:$D$20)</f>
        <v>0</v>
      </c>
      <c r="AM153" s="27">
        <v>1</v>
      </c>
      <c r="AN153" s="27">
        <v>1</v>
      </c>
      <c r="AO153" s="124">
        <f t="shared" si="100"/>
        <v>1</v>
      </c>
      <c r="AP153" s="27">
        <v>1</v>
      </c>
      <c r="AQ153" s="21">
        <v>13151001</v>
      </c>
      <c r="AR153" s="21" t="s">
        <v>1625</v>
      </c>
      <c r="AS153" s="68"/>
      <c r="AT153" s="68"/>
      <c r="AU153" s="68"/>
    </row>
    <row r="154" spans="1:47" x14ac:dyDescent="0.3">
      <c r="A154" s="19"/>
      <c r="B154" s="109">
        <v>13151002</v>
      </c>
      <c r="C154" s="99" t="str">
        <f t="shared" ref="C154:C155" si="109">IF(K154&gt;0,MID(K154,5, 1), 0)</f>
        <v>3</v>
      </c>
      <c r="D154" s="121">
        <f>COUNTIFS($F$33:F154,F154, $G$33:G154,G154, $C$33:C154,C154, $L$33:L154,L154)</f>
        <v>2</v>
      </c>
      <c r="E154" s="20">
        <v>1</v>
      </c>
      <c r="F154" s="20">
        <v>1</v>
      </c>
      <c r="G154" s="20">
        <v>1</v>
      </c>
      <c r="H154" s="103" t="s">
        <v>960</v>
      </c>
      <c r="I154" s="20" t="s">
        <v>2070</v>
      </c>
      <c r="J154" s="104" t="str">
        <f t="shared" si="69"/>
        <v>Item_Name_13151002</v>
      </c>
      <c r="K154" s="20">
        <v>10103001</v>
      </c>
      <c r="L154" s="108">
        <f t="shared" si="74"/>
        <v>5</v>
      </c>
      <c r="M154" s="105">
        <f>IF(D154=0, 0, _xlfn.XLOOKUP($F154,'#무게관련'!$B:$B,'#무게관련'!$C:$C)*_xlfn.XLOOKUP($L154,'#무게관련'!$F:$F,'#무게관련'!$G:$G)*100)</f>
        <v>14000</v>
      </c>
      <c r="N154" s="20">
        <v>20200</v>
      </c>
      <c r="O154" s="20">
        <v>3</v>
      </c>
      <c r="P154" s="20">
        <v>15</v>
      </c>
      <c r="Q154" s="20">
        <v>1</v>
      </c>
      <c r="R154" s="20">
        <v>100</v>
      </c>
      <c r="S154" s="20">
        <v>1</v>
      </c>
      <c r="T154" s="20" t="s">
        <v>1858</v>
      </c>
      <c r="U154" s="104" t="str">
        <f t="shared" ref="U154:U155" si="110">"item_bg_grade_0"&amp;L154</f>
        <v>item_bg_grade_05</v>
      </c>
      <c r="V154" s="20" t="s">
        <v>525</v>
      </c>
      <c r="W154" s="20" t="s">
        <v>330</v>
      </c>
      <c r="X154" s="104">
        <v>0</v>
      </c>
      <c r="Y154" s="104">
        <v>0</v>
      </c>
      <c r="Z154" s="104">
        <v>0</v>
      </c>
      <c r="AA154" s="104">
        <v>0</v>
      </c>
      <c r="AB154" s="104">
        <v>0</v>
      </c>
      <c r="AC154" s="104">
        <v>0</v>
      </c>
      <c r="AD154" s="142">
        <v>0</v>
      </c>
      <c r="AE154" s="112">
        <f t="shared" si="76"/>
        <v>50</v>
      </c>
      <c r="AF154" s="70">
        <v>3501020</v>
      </c>
      <c r="AG154" s="105" cm="1">
        <f t="array" ref="AG154">_xlfn.SWITCH(L154,3,1,
           4,1,
           5,1,
           6,1,0)</f>
        <v>1</v>
      </c>
      <c r="AH154" s="146">
        <f t="shared" si="103"/>
        <v>80100501</v>
      </c>
      <c r="AI154" s="90">
        <v>6003</v>
      </c>
      <c r="AJ154" s="90">
        <v>2008</v>
      </c>
      <c r="AK154" s="27">
        <v>5001</v>
      </c>
      <c r="AL154" s="123">
        <f>_xlfn.XLOOKUP(H154,'#각종 참고'!$B$11:$B$20,'#각종 참고'!$D$11:$D$20)</f>
        <v>0</v>
      </c>
      <c r="AM154" s="27">
        <v>1</v>
      </c>
      <c r="AN154" s="27">
        <v>1</v>
      </c>
      <c r="AO154" s="124">
        <f t="shared" si="100"/>
        <v>1</v>
      </c>
      <c r="AP154" s="27">
        <v>1</v>
      </c>
      <c r="AQ154" s="21">
        <v>13151011</v>
      </c>
      <c r="AR154" s="21" t="s">
        <v>2325</v>
      </c>
      <c r="AS154" s="68"/>
      <c r="AT154" s="68"/>
      <c r="AU154" s="68"/>
    </row>
    <row r="155" spans="1:47" x14ac:dyDescent="0.3">
      <c r="A155" s="19"/>
      <c r="B155" s="109">
        <v>13151003</v>
      </c>
      <c r="C155" s="99" t="str">
        <f t="shared" si="109"/>
        <v>3</v>
      </c>
      <c r="D155" s="121">
        <f>COUNTIFS($F$33:F155,F155, $G$33:G155,G155, $C$33:C155,C155, $L$33:L155,L155)</f>
        <v>3</v>
      </c>
      <c r="E155" s="20">
        <v>1</v>
      </c>
      <c r="F155" s="20">
        <v>1</v>
      </c>
      <c r="G155" s="20">
        <v>1</v>
      </c>
      <c r="H155" s="103" t="s">
        <v>960</v>
      </c>
      <c r="I155" s="20" t="s">
        <v>1957</v>
      </c>
      <c r="J155" s="104" t="str">
        <f t="shared" si="69"/>
        <v>Item_Name_13151003</v>
      </c>
      <c r="K155" s="20">
        <v>10103001</v>
      </c>
      <c r="L155" s="108">
        <f t="shared" si="74"/>
        <v>5</v>
      </c>
      <c r="M155" s="105">
        <f>IF(D155=0, 0, _xlfn.XLOOKUP($F155,'#무게관련'!$B:$B,'#무게관련'!$C:$C)*_xlfn.XLOOKUP($L155,'#무게관련'!$F:$F,'#무게관련'!$G:$G)*100)</f>
        <v>14000</v>
      </c>
      <c r="N155" s="20">
        <v>20200</v>
      </c>
      <c r="O155" s="20">
        <v>3</v>
      </c>
      <c r="P155" s="20">
        <v>15</v>
      </c>
      <c r="Q155" s="20">
        <v>1</v>
      </c>
      <c r="R155" s="20">
        <v>100</v>
      </c>
      <c r="S155" s="20">
        <v>1</v>
      </c>
      <c r="T155" s="20" t="s">
        <v>1858</v>
      </c>
      <c r="U155" s="104" t="str">
        <f t="shared" si="110"/>
        <v>item_bg_grade_05</v>
      </c>
      <c r="V155" s="20" t="s">
        <v>525</v>
      </c>
      <c r="W155" s="20" t="s">
        <v>330</v>
      </c>
      <c r="X155" s="104">
        <v>0</v>
      </c>
      <c r="Y155" s="104">
        <v>0</v>
      </c>
      <c r="Z155" s="104">
        <v>0</v>
      </c>
      <c r="AA155" s="104">
        <v>0</v>
      </c>
      <c r="AB155" s="104">
        <v>0</v>
      </c>
      <c r="AC155" s="104">
        <v>0</v>
      </c>
      <c r="AD155" s="142">
        <v>0</v>
      </c>
      <c r="AE155" s="112">
        <f t="shared" si="76"/>
        <v>50</v>
      </c>
      <c r="AF155" s="70">
        <v>3501030</v>
      </c>
      <c r="AG155" s="105" cm="1">
        <f t="array" ref="AG155">_xlfn.SWITCH(L155,3,1,
           4,1,
           5,1,
           6,1,0)</f>
        <v>1</v>
      </c>
      <c r="AH155" s="146">
        <f t="shared" si="103"/>
        <v>80100501</v>
      </c>
      <c r="AI155" s="90">
        <v>6003</v>
      </c>
      <c r="AJ155" s="90">
        <v>2008</v>
      </c>
      <c r="AK155" s="27">
        <v>5001</v>
      </c>
      <c r="AL155" s="123">
        <f>_xlfn.XLOOKUP(H155,'#각종 참고'!$B$11:$B$20,'#각종 참고'!$D$11:$D$20)</f>
        <v>0</v>
      </c>
      <c r="AM155" s="27">
        <v>1</v>
      </c>
      <c r="AN155" s="27">
        <v>1</v>
      </c>
      <c r="AO155" s="124">
        <f t="shared" si="100"/>
        <v>1</v>
      </c>
      <c r="AP155" s="27">
        <v>1</v>
      </c>
      <c r="AQ155" s="21">
        <v>13151021</v>
      </c>
      <c r="AR155" s="21" t="s">
        <v>2326</v>
      </c>
      <c r="AS155" s="68"/>
      <c r="AT155" s="68"/>
      <c r="AU155" s="68"/>
    </row>
    <row r="156" spans="1:47" x14ac:dyDescent="0.3">
      <c r="A156" s="19"/>
      <c r="B156" s="109">
        <v>13161001</v>
      </c>
      <c r="C156" s="99" t="str">
        <f t="shared" si="108"/>
        <v>3</v>
      </c>
      <c r="D156" s="121">
        <f>COUNTIFS($F$33:F156,F156, $G$33:G156,G156, $C$33:C156,C156, $L$33:L156,L156)</f>
        <v>1</v>
      </c>
      <c r="E156" s="20">
        <v>1</v>
      </c>
      <c r="F156" s="20">
        <v>1</v>
      </c>
      <c r="G156" s="20">
        <v>1</v>
      </c>
      <c r="H156" s="103" t="s">
        <v>960</v>
      </c>
      <c r="I156" s="20" t="s">
        <v>1627</v>
      </c>
      <c r="J156" s="104" t="str">
        <f t="shared" si="69"/>
        <v>Item_Name_13161001</v>
      </c>
      <c r="K156" s="20">
        <v>10103001</v>
      </c>
      <c r="L156" s="108">
        <f t="shared" si="74"/>
        <v>6</v>
      </c>
      <c r="M156" s="105">
        <f>IF(D156=0, 0, _xlfn.XLOOKUP($F156,'#무게관련'!$B:$B,'#무게관련'!$C:$C)*_xlfn.XLOOKUP($L156,'#무게관련'!$F:$F,'#무게관련'!$G:$G)*100)</f>
        <v>14000</v>
      </c>
      <c r="N156" s="20">
        <v>20200</v>
      </c>
      <c r="O156" s="20">
        <v>3</v>
      </c>
      <c r="P156" s="20">
        <v>15</v>
      </c>
      <c r="Q156" s="20">
        <v>1</v>
      </c>
      <c r="R156" s="20">
        <v>100</v>
      </c>
      <c r="S156" s="20">
        <v>1</v>
      </c>
      <c r="T156" s="109" t="s">
        <v>1858</v>
      </c>
      <c r="U156" s="104" t="str">
        <f t="shared" si="5"/>
        <v>item_bg_grade_06</v>
      </c>
      <c r="V156" s="20" t="s">
        <v>525</v>
      </c>
      <c r="W156" s="20" t="s">
        <v>330</v>
      </c>
      <c r="X156" s="104">
        <v>0</v>
      </c>
      <c r="Y156" s="104">
        <v>0</v>
      </c>
      <c r="Z156" s="104">
        <v>0</v>
      </c>
      <c r="AA156" s="104">
        <v>0</v>
      </c>
      <c r="AB156" s="104">
        <v>0</v>
      </c>
      <c r="AC156" s="104">
        <v>0</v>
      </c>
      <c r="AD156" s="142">
        <v>0</v>
      </c>
      <c r="AE156" s="112">
        <f t="shared" si="76"/>
        <v>70</v>
      </c>
      <c r="AF156" s="70">
        <v>3501010</v>
      </c>
      <c r="AG156" s="105" cm="1">
        <f t="array" ref="AG156">_xlfn.SWITCH(L156,3,1,
           4,1,
           5,1,
           6,1,0)</f>
        <v>1</v>
      </c>
      <c r="AH156" s="146">
        <f t="shared" si="103"/>
        <v>0</v>
      </c>
      <c r="AI156" s="90">
        <v>6004</v>
      </c>
      <c r="AJ156" s="90">
        <v>2010</v>
      </c>
      <c r="AK156" s="27">
        <v>6001</v>
      </c>
      <c r="AL156" s="123">
        <f>_xlfn.XLOOKUP(H156,'#각종 참고'!$B$11:$B$20,'#각종 참고'!$D$11:$D$20)</f>
        <v>0</v>
      </c>
      <c r="AM156" s="27">
        <v>1</v>
      </c>
      <c r="AN156" s="27">
        <v>1</v>
      </c>
      <c r="AO156" s="124">
        <f t="shared" si="100"/>
        <v>1</v>
      </c>
      <c r="AP156" s="27">
        <v>1</v>
      </c>
      <c r="AQ156" s="21">
        <v>13161001</v>
      </c>
      <c r="AR156" s="21" t="s">
        <v>1627</v>
      </c>
      <c r="AS156" s="68"/>
      <c r="AT156" s="68"/>
      <c r="AU156" s="68"/>
    </row>
    <row r="157" spans="1:47" x14ac:dyDescent="0.3">
      <c r="A157" s="19" t="s">
        <v>513</v>
      </c>
      <c r="B157" s="109">
        <v>13161002</v>
      </c>
      <c r="C157" s="99" t="str">
        <f t="shared" ref="C157:C158" si="111">IF(K157&gt;0,MID(K157,5, 1), 0)</f>
        <v>3</v>
      </c>
      <c r="D157" s="121">
        <f>COUNTIFS($F$33:F157,F157, $G$33:G157,G157, $C$33:C157,C157, $L$33:L157,L157)</f>
        <v>2</v>
      </c>
      <c r="E157" s="20">
        <v>1</v>
      </c>
      <c r="F157" s="20">
        <v>1</v>
      </c>
      <c r="G157" s="20">
        <v>1</v>
      </c>
      <c r="H157" s="103" t="s">
        <v>960</v>
      </c>
      <c r="I157" s="20" t="s">
        <v>2072</v>
      </c>
      <c r="J157" s="104" t="str">
        <f t="shared" si="69"/>
        <v>Item_Name_13161002</v>
      </c>
      <c r="K157" s="20">
        <v>10103001</v>
      </c>
      <c r="L157" s="108">
        <f t="shared" si="74"/>
        <v>6</v>
      </c>
      <c r="M157" s="105">
        <f>IF(D157=0, 0, _xlfn.XLOOKUP($F157,'#무게관련'!$B:$B,'#무게관련'!$C:$C)*_xlfn.XLOOKUP($L157,'#무게관련'!$F:$F,'#무게관련'!$G:$G)*100)</f>
        <v>14000</v>
      </c>
      <c r="N157" s="20">
        <v>20200</v>
      </c>
      <c r="O157" s="20">
        <v>3</v>
      </c>
      <c r="P157" s="20">
        <v>15</v>
      </c>
      <c r="Q157" s="20">
        <v>1</v>
      </c>
      <c r="R157" s="20">
        <v>100</v>
      </c>
      <c r="S157" s="20">
        <v>1</v>
      </c>
      <c r="T157" s="109" t="s">
        <v>1858</v>
      </c>
      <c r="U157" s="104" t="str">
        <f t="shared" ref="U157:U158" si="112">"item_bg_grade_0"&amp;L157</f>
        <v>item_bg_grade_06</v>
      </c>
      <c r="V157" s="20" t="s">
        <v>525</v>
      </c>
      <c r="W157" s="20" t="s">
        <v>330</v>
      </c>
      <c r="X157" s="104">
        <v>0</v>
      </c>
      <c r="Y157" s="104">
        <v>0</v>
      </c>
      <c r="Z157" s="104">
        <v>0</v>
      </c>
      <c r="AA157" s="104">
        <v>0</v>
      </c>
      <c r="AB157" s="104">
        <v>0</v>
      </c>
      <c r="AC157" s="104">
        <v>0</v>
      </c>
      <c r="AD157" s="142">
        <v>0</v>
      </c>
      <c r="AE157" s="112">
        <f t="shared" si="76"/>
        <v>70</v>
      </c>
      <c r="AF157" s="70">
        <v>3501010</v>
      </c>
      <c r="AG157" s="105" cm="1">
        <f t="array" ref="AG157">_xlfn.SWITCH(L157,3,1,
           4,1,
           5,1,
           6,1,0)</f>
        <v>1</v>
      </c>
      <c r="AH157" s="146">
        <f t="shared" si="103"/>
        <v>0</v>
      </c>
      <c r="AI157" s="90">
        <v>6004</v>
      </c>
      <c r="AJ157" s="90">
        <v>2010</v>
      </c>
      <c r="AK157" s="27">
        <v>6001</v>
      </c>
      <c r="AL157" s="123">
        <f>_xlfn.XLOOKUP(H157,'#각종 참고'!$B$11:$B$20,'#각종 참고'!$D$11:$D$20)</f>
        <v>0</v>
      </c>
      <c r="AM157" s="27">
        <v>1</v>
      </c>
      <c r="AN157" s="27">
        <v>1</v>
      </c>
      <c r="AO157" s="124">
        <f t="shared" si="100"/>
        <v>1</v>
      </c>
      <c r="AP157" s="27">
        <v>1</v>
      </c>
      <c r="AQ157" s="21">
        <v>13161011</v>
      </c>
      <c r="AR157" s="21" t="s">
        <v>2327</v>
      </c>
      <c r="AS157" s="68"/>
      <c r="AT157" s="68"/>
      <c r="AU157" s="68"/>
    </row>
    <row r="158" spans="1:47" x14ac:dyDescent="0.3">
      <c r="A158" s="19" t="s">
        <v>513</v>
      </c>
      <c r="B158" s="109">
        <v>13161003</v>
      </c>
      <c r="C158" s="99" t="str">
        <f t="shared" si="111"/>
        <v>3</v>
      </c>
      <c r="D158" s="121">
        <f>COUNTIFS($F$33:F158,F158, $G$33:G158,G158, $C$33:C158,C158, $L$33:L158,L158)</f>
        <v>3</v>
      </c>
      <c r="E158" s="20">
        <v>1</v>
      </c>
      <c r="F158" s="20">
        <v>1</v>
      </c>
      <c r="G158" s="20">
        <v>1</v>
      </c>
      <c r="H158" s="103" t="s">
        <v>960</v>
      </c>
      <c r="I158" s="20" t="s">
        <v>2071</v>
      </c>
      <c r="J158" s="104" t="str">
        <f t="shared" si="69"/>
        <v>Item_Name_13161003</v>
      </c>
      <c r="K158" s="20">
        <v>10103001</v>
      </c>
      <c r="L158" s="108">
        <f t="shared" si="74"/>
        <v>6</v>
      </c>
      <c r="M158" s="105">
        <f>IF(D158=0, 0, _xlfn.XLOOKUP($F158,'#무게관련'!$B:$B,'#무게관련'!$C:$C)*_xlfn.XLOOKUP($L158,'#무게관련'!$F:$F,'#무게관련'!$G:$G)*100)</f>
        <v>14000</v>
      </c>
      <c r="N158" s="20">
        <v>20200</v>
      </c>
      <c r="O158" s="20">
        <v>3</v>
      </c>
      <c r="P158" s="20">
        <v>15</v>
      </c>
      <c r="Q158" s="20">
        <v>1</v>
      </c>
      <c r="R158" s="20">
        <v>100</v>
      </c>
      <c r="S158" s="20">
        <v>1</v>
      </c>
      <c r="T158" s="109" t="s">
        <v>1858</v>
      </c>
      <c r="U158" s="104" t="str">
        <f t="shared" si="112"/>
        <v>item_bg_grade_06</v>
      </c>
      <c r="V158" s="20" t="s">
        <v>525</v>
      </c>
      <c r="W158" s="20" t="s">
        <v>330</v>
      </c>
      <c r="X158" s="104">
        <v>0</v>
      </c>
      <c r="Y158" s="104">
        <v>0</v>
      </c>
      <c r="Z158" s="104">
        <v>0</v>
      </c>
      <c r="AA158" s="104">
        <v>0</v>
      </c>
      <c r="AB158" s="104">
        <v>0</v>
      </c>
      <c r="AC158" s="104">
        <v>0</v>
      </c>
      <c r="AD158" s="142">
        <v>0</v>
      </c>
      <c r="AE158" s="112">
        <f t="shared" si="76"/>
        <v>70</v>
      </c>
      <c r="AF158" s="70">
        <v>3501010</v>
      </c>
      <c r="AG158" s="105" cm="1">
        <f t="array" ref="AG158">_xlfn.SWITCH(L158,3,1,
           4,1,
           5,1,
           6,1,0)</f>
        <v>1</v>
      </c>
      <c r="AH158" s="146">
        <f t="shared" si="103"/>
        <v>0</v>
      </c>
      <c r="AI158" s="90">
        <v>6004</v>
      </c>
      <c r="AJ158" s="90">
        <v>2010</v>
      </c>
      <c r="AK158" s="27">
        <v>6001</v>
      </c>
      <c r="AL158" s="123">
        <f>_xlfn.XLOOKUP(H158,'#각종 참고'!$B$11:$B$20,'#각종 참고'!$D$11:$D$20)</f>
        <v>0</v>
      </c>
      <c r="AM158" s="27">
        <v>1</v>
      </c>
      <c r="AN158" s="27">
        <v>1</v>
      </c>
      <c r="AO158" s="124">
        <f t="shared" si="100"/>
        <v>1</v>
      </c>
      <c r="AP158" s="27">
        <v>1</v>
      </c>
      <c r="AQ158" s="21">
        <v>13161021</v>
      </c>
      <c r="AR158" s="21" t="s">
        <v>2328</v>
      </c>
      <c r="AS158" s="68"/>
      <c r="AT158" s="68"/>
      <c r="AU158" s="68"/>
    </row>
    <row r="159" spans="1:47" s="68" customFormat="1" x14ac:dyDescent="0.3">
      <c r="A159" s="65"/>
      <c r="B159" s="110">
        <v>14111001</v>
      </c>
      <c r="C159" s="99" t="str">
        <f t="shared" si="1"/>
        <v>4</v>
      </c>
      <c r="D159" s="120">
        <f>COUNTIFS($F$33:F159,F159, $G$33:G159,G159, $C$33:C159,C159, $L$33:L159,L159)</f>
        <v>1</v>
      </c>
      <c r="E159" s="20">
        <v>1</v>
      </c>
      <c r="F159" s="66">
        <v>1</v>
      </c>
      <c r="G159" s="66">
        <v>1</v>
      </c>
      <c r="H159" s="103" t="s">
        <v>960</v>
      </c>
      <c r="I159" s="66" t="s">
        <v>1628</v>
      </c>
      <c r="J159" s="104" t="str">
        <f t="shared" si="69"/>
        <v>Item_Name_14111001</v>
      </c>
      <c r="K159" s="66">
        <v>10104001</v>
      </c>
      <c r="L159" s="106">
        <f t="shared" si="74"/>
        <v>1</v>
      </c>
      <c r="M159" s="105">
        <f>IF(D159=0, 0, _xlfn.XLOOKUP($F159,'#무게관련'!$B:$B,'#무게관련'!$C:$C)*_xlfn.XLOOKUP($L159,'#무게관련'!$F:$F,'#무게관련'!$G:$G)*100)</f>
        <v>14000</v>
      </c>
      <c r="N159" s="20">
        <v>20200</v>
      </c>
      <c r="O159" s="20">
        <v>4</v>
      </c>
      <c r="P159" s="66">
        <v>15</v>
      </c>
      <c r="Q159" s="20">
        <v>1</v>
      </c>
      <c r="R159" s="66">
        <v>100</v>
      </c>
      <c r="S159" s="66">
        <v>1</v>
      </c>
      <c r="T159" s="66" t="s">
        <v>1854</v>
      </c>
      <c r="U159" s="104" t="str">
        <f t="shared" si="5"/>
        <v>item_bg_grade_01</v>
      </c>
      <c r="V159" s="66" t="s">
        <v>526</v>
      </c>
      <c r="W159" s="66" t="s">
        <v>330</v>
      </c>
      <c r="X159" s="104">
        <v>0</v>
      </c>
      <c r="Y159" s="104">
        <v>0</v>
      </c>
      <c r="Z159" s="104">
        <v>0</v>
      </c>
      <c r="AA159" s="104">
        <v>0</v>
      </c>
      <c r="AB159" s="104">
        <v>0</v>
      </c>
      <c r="AC159" s="104">
        <v>0</v>
      </c>
      <c r="AD159" s="142">
        <v>0</v>
      </c>
      <c r="AE159" s="111">
        <f t="shared" si="76"/>
        <v>10</v>
      </c>
      <c r="AF159" s="70">
        <v>4101010</v>
      </c>
      <c r="AG159" s="105" cm="1">
        <f t="array" ref="AG159">_xlfn.SWITCH(L159,3,1,
           4,1,
           5,1,
           6,1,0)</f>
        <v>0</v>
      </c>
      <c r="AH159" s="146">
        <f t="shared" si="103"/>
        <v>80100101</v>
      </c>
      <c r="AI159" s="90">
        <v>0</v>
      </c>
      <c r="AJ159" s="90">
        <v>0</v>
      </c>
      <c r="AK159" s="27">
        <v>0</v>
      </c>
      <c r="AL159" s="123">
        <f>_xlfn.XLOOKUP(H159,'#각종 참고'!$B$11:$B$20,'#각종 참고'!$D$11:$D$20)</f>
        <v>0</v>
      </c>
      <c r="AM159" s="27">
        <v>1</v>
      </c>
      <c r="AN159" s="27">
        <v>1</v>
      </c>
      <c r="AO159" s="124">
        <f t="shared" si="100"/>
        <v>1</v>
      </c>
      <c r="AP159" s="27">
        <v>1</v>
      </c>
      <c r="AQ159" s="21">
        <v>14111001</v>
      </c>
      <c r="AR159" s="68" t="s">
        <v>1628</v>
      </c>
    </row>
    <row r="160" spans="1:47" s="68" customFormat="1" x14ac:dyDescent="0.3">
      <c r="A160" s="65"/>
      <c r="B160" s="110">
        <v>14111002</v>
      </c>
      <c r="C160" s="99" t="str">
        <f t="shared" ref="C160:C161" si="113">IF(K160&gt;0,MID(K160,5, 1), 0)</f>
        <v>4</v>
      </c>
      <c r="D160" s="120">
        <f>COUNTIFS($F$33:F160,F160, $G$33:G160,G160, $C$33:C160,C160, $L$33:L160,L160)</f>
        <v>2</v>
      </c>
      <c r="E160" s="20">
        <v>1</v>
      </c>
      <c r="F160" s="66">
        <v>1</v>
      </c>
      <c r="G160" s="66">
        <v>1</v>
      </c>
      <c r="H160" s="103" t="s">
        <v>960</v>
      </c>
      <c r="I160" s="66" t="s">
        <v>2074</v>
      </c>
      <c r="J160" s="104" t="str">
        <f t="shared" si="69"/>
        <v>Item_Name_14111002</v>
      </c>
      <c r="K160" s="66">
        <v>10104001</v>
      </c>
      <c r="L160" s="106">
        <f t="shared" si="74"/>
        <v>1</v>
      </c>
      <c r="M160" s="105">
        <f>IF(D160=0, 0, _xlfn.XLOOKUP($F160,'#무게관련'!$B:$B,'#무게관련'!$C:$C)*_xlfn.XLOOKUP($L160,'#무게관련'!$F:$F,'#무게관련'!$G:$G)*100)</f>
        <v>14000</v>
      </c>
      <c r="N160" s="20">
        <v>20200</v>
      </c>
      <c r="O160" s="20">
        <v>4</v>
      </c>
      <c r="P160" s="66">
        <v>15</v>
      </c>
      <c r="Q160" s="20">
        <v>1</v>
      </c>
      <c r="R160" s="66">
        <v>100</v>
      </c>
      <c r="S160" s="66">
        <v>1</v>
      </c>
      <c r="T160" s="66" t="s">
        <v>1854</v>
      </c>
      <c r="U160" s="104" t="str">
        <f t="shared" ref="U160:U161" si="114">"item_bg_grade_0"&amp;L160</f>
        <v>item_bg_grade_01</v>
      </c>
      <c r="V160" s="66" t="s">
        <v>526</v>
      </c>
      <c r="W160" s="66" t="s">
        <v>330</v>
      </c>
      <c r="X160" s="104">
        <v>0</v>
      </c>
      <c r="Y160" s="104">
        <v>0</v>
      </c>
      <c r="Z160" s="104">
        <v>0</v>
      </c>
      <c r="AA160" s="104">
        <v>0</v>
      </c>
      <c r="AB160" s="104">
        <v>0</v>
      </c>
      <c r="AC160" s="104">
        <v>0</v>
      </c>
      <c r="AD160" s="142">
        <v>0</v>
      </c>
      <c r="AE160" s="111">
        <f t="shared" si="76"/>
        <v>10</v>
      </c>
      <c r="AF160" s="70">
        <v>4101020</v>
      </c>
      <c r="AG160" s="105" cm="1">
        <f t="array" ref="AG160">_xlfn.SWITCH(L160,3,1,
           4,1,
           5,1,
           6,1,0)</f>
        <v>0</v>
      </c>
      <c r="AH160" s="146">
        <f t="shared" si="103"/>
        <v>80100101</v>
      </c>
      <c r="AI160" s="90">
        <v>0</v>
      </c>
      <c r="AJ160" s="90">
        <v>0</v>
      </c>
      <c r="AK160" s="27">
        <v>0</v>
      </c>
      <c r="AL160" s="123">
        <f>_xlfn.XLOOKUP(H160,'#각종 참고'!$B$11:$B$20,'#각종 참고'!$D$11:$D$20)</f>
        <v>0</v>
      </c>
      <c r="AM160" s="27">
        <v>1</v>
      </c>
      <c r="AN160" s="27">
        <v>1</v>
      </c>
      <c r="AO160" s="124">
        <f t="shared" si="100"/>
        <v>1</v>
      </c>
      <c r="AP160" s="27">
        <v>1</v>
      </c>
      <c r="AQ160" s="21">
        <v>14111011</v>
      </c>
      <c r="AR160" s="68" t="s">
        <v>2329</v>
      </c>
    </row>
    <row r="161" spans="1:47" s="68" customFormat="1" x14ac:dyDescent="0.3">
      <c r="A161" s="65"/>
      <c r="B161" s="110">
        <v>14111003</v>
      </c>
      <c r="C161" s="99" t="str">
        <f t="shared" si="113"/>
        <v>4</v>
      </c>
      <c r="D161" s="120">
        <f>COUNTIFS($F$33:F161,F161, $G$33:G161,G161, $C$33:C161,C161, $L$33:L161,L161)</f>
        <v>3</v>
      </c>
      <c r="E161" s="20">
        <v>1</v>
      </c>
      <c r="F161" s="66">
        <v>1</v>
      </c>
      <c r="G161" s="66">
        <v>1</v>
      </c>
      <c r="H161" s="103" t="s">
        <v>960</v>
      </c>
      <c r="I161" s="66" t="s">
        <v>2073</v>
      </c>
      <c r="J161" s="104" t="str">
        <f t="shared" si="69"/>
        <v>Item_Name_14111003</v>
      </c>
      <c r="K161" s="66">
        <v>10104001</v>
      </c>
      <c r="L161" s="106">
        <f t="shared" si="74"/>
        <v>1</v>
      </c>
      <c r="M161" s="105">
        <f>IF(D161=0, 0, _xlfn.XLOOKUP($F161,'#무게관련'!$B:$B,'#무게관련'!$C:$C)*_xlfn.XLOOKUP($L161,'#무게관련'!$F:$F,'#무게관련'!$G:$G)*100)</f>
        <v>14000</v>
      </c>
      <c r="N161" s="20">
        <v>20200</v>
      </c>
      <c r="O161" s="20">
        <v>4</v>
      </c>
      <c r="P161" s="66">
        <v>15</v>
      </c>
      <c r="Q161" s="20">
        <v>1</v>
      </c>
      <c r="R161" s="66">
        <v>100</v>
      </c>
      <c r="S161" s="66">
        <v>1</v>
      </c>
      <c r="T161" s="66" t="s">
        <v>1854</v>
      </c>
      <c r="U161" s="104" t="str">
        <f t="shared" si="114"/>
        <v>item_bg_grade_01</v>
      </c>
      <c r="V161" s="66" t="s">
        <v>526</v>
      </c>
      <c r="W161" s="66" t="s">
        <v>330</v>
      </c>
      <c r="X161" s="104">
        <v>0</v>
      </c>
      <c r="Y161" s="104">
        <v>0</v>
      </c>
      <c r="Z161" s="104">
        <v>0</v>
      </c>
      <c r="AA161" s="104">
        <v>0</v>
      </c>
      <c r="AB161" s="104">
        <v>0</v>
      </c>
      <c r="AC161" s="104">
        <v>0</v>
      </c>
      <c r="AD161" s="142">
        <v>0</v>
      </c>
      <c r="AE161" s="111">
        <f t="shared" si="76"/>
        <v>10</v>
      </c>
      <c r="AF161" s="70">
        <v>4101030</v>
      </c>
      <c r="AG161" s="105" cm="1">
        <f t="array" ref="AG161">_xlfn.SWITCH(L161,3,1,
           4,1,
           5,1,
           6,1,0)</f>
        <v>0</v>
      </c>
      <c r="AH161" s="146">
        <f t="shared" si="103"/>
        <v>80100101</v>
      </c>
      <c r="AI161" s="90">
        <v>0</v>
      </c>
      <c r="AJ161" s="90">
        <v>0</v>
      </c>
      <c r="AK161" s="27">
        <v>0</v>
      </c>
      <c r="AL161" s="123">
        <f>_xlfn.XLOOKUP(H161,'#각종 참고'!$B$11:$B$20,'#각종 참고'!$D$11:$D$20)</f>
        <v>0</v>
      </c>
      <c r="AM161" s="27">
        <v>1</v>
      </c>
      <c r="AN161" s="27">
        <v>1</v>
      </c>
      <c r="AO161" s="124">
        <f t="shared" si="100"/>
        <v>1</v>
      </c>
      <c r="AP161" s="27">
        <v>1</v>
      </c>
      <c r="AQ161" s="21">
        <v>14111021</v>
      </c>
      <c r="AR161" s="68" t="s">
        <v>2330</v>
      </c>
    </row>
    <row r="162" spans="1:47" x14ac:dyDescent="0.3">
      <c r="A162" s="19"/>
      <c r="B162" s="109">
        <v>14121001</v>
      </c>
      <c r="C162" s="99" t="str">
        <f t="shared" si="1"/>
        <v>4</v>
      </c>
      <c r="D162" s="121">
        <f>COUNTIFS($F$33:F162,F162, $G$33:G162,G162, $C$33:C162,C162, $L$33:L162,L162)</f>
        <v>1</v>
      </c>
      <c r="E162" s="20">
        <v>1</v>
      </c>
      <c r="F162" s="20">
        <v>1</v>
      </c>
      <c r="G162" s="20">
        <v>1</v>
      </c>
      <c r="H162" s="103" t="s">
        <v>960</v>
      </c>
      <c r="I162" s="20" t="s">
        <v>1629</v>
      </c>
      <c r="J162" s="104" t="str">
        <f t="shared" si="69"/>
        <v>Item_Name_14121001</v>
      </c>
      <c r="K162" s="20">
        <v>10104001</v>
      </c>
      <c r="L162" s="107">
        <f t="shared" si="74"/>
        <v>2</v>
      </c>
      <c r="M162" s="105">
        <f>IF(D162=0, 0, _xlfn.XLOOKUP($F162,'#무게관련'!$B:$B,'#무게관련'!$C:$C)*_xlfn.XLOOKUP($L162,'#무게관련'!$F:$F,'#무게관련'!$G:$G)*100)</f>
        <v>14000</v>
      </c>
      <c r="N162" s="20">
        <v>20200</v>
      </c>
      <c r="O162" s="20">
        <v>4</v>
      </c>
      <c r="P162" s="70">
        <v>15</v>
      </c>
      <c r="Q162" s="20">
        <v>1</v>
      </c>
      <c r="R162" s="70">
        <v>100</v>
      </c>
      <c r="S162" s="70">
        <v>1</v>
      </c>
      <c r="T162" s="70" t="s">
        <v>1855</v>
      </c>
      <c r="U162" s="104" t="str">
        <f t="shared" si="5"/>
        <v>item_bg_grade_02</v>
      </c>
      <c r="V162" s="70" t="s">
        <v>526</v>
      </c>
      <c r="W162" s="70" t="s">
        <v>330</v>
      </c>
      <c r="X162" s="104">
        <v>0</v>
      </c>
      <c r="Y162" s="104">
        <v>0</v>
      </c>
      <c r="Z162" s="104">
        <v>0</v>
      </c>
      <c r="AA162" s="104">
        <v>0</v>
      </c>
      <c r="AB162" s="104">
        <v>0</v>
      </c>
      <c r="AC162" s="104">
        <v>0</v>
      </c>
      <c r="AD162" s="142">
        <v>0</v>
      </c>
      <c r="AE162" s="112">
        <f t="shared" si="76"/>
        <v>20</v>
      </c>
      <c r="AF162" s="70">
        <v>4201010</v>
      </c>
      <c r="AG162" s="105" cm="1">
        <f t="array" ref="AG162">_xlfn.SWITCH(L162,3,1,
           4,1,
           5,1,
           6,1,0)</f>
        <v>0</v>
      </c>
      <c r="AH162" s="146">
        <f t="shared" si="103"/>
        <v>80100201</v>
      </c>
      <c r="AI162" s="90">
        <v>6000</v>
      </c>
      <c r="AJ162" s="90">
        <v>2002</v>
      </c>
      <c r="AK162" s="27">
        <v>2001</v>
      </c>
      <c r="AL162" s="123">
        <f>_xlfn.XLOOKUP(H162,'#각종 참고'!$B$11:$B$20,'#각종 참고'!$D$11:$D$20)</f>
        <v>0</v>
      </c>
      <c r="AM162" s="27">
        <v>1</v>
      </c>
      <c r="AN162" s="27">
        <v>1</v>
      </c>
      <c r="AO162" s="124">
        <f t="shared" si="100"/>
        <v>1</v>
      </c>
      <c r="AP162" s="27">
        <v>1</v>
      </c>
      <c r="AQ162" s="21">
        <v>14121001</v>
      </c>
      <c r="AR162" s="21" t="s">
        <v>1629</v>
      </c>
      <c r="AS162" s="68"/>
      <c r="AT162" s="68"/>
      <c r="AU162" s="68"/>
    </row>
    <row r="163" spans="1:47" x14ac:dyDescent="0.3">
      <c r="A163" s="19"/>
      <c r="B163" s="109">
        <v>14121002</v>
      </c>
      <c r="C163" s="99" t="str">
        <f t="shared" ref="C163:C164" si="115">IF(K163&gt;0,MID(K163,5, 1), 0)</f>
        <v>4</v>
      </c>
      <c r="D163" s="121">
        <f>COUNTIFS($F$33:F163,F163, $G$33:G163,G163, $C$33:C163,C163, $L$33:L163,L163)</f>
        <v>2</v>
      </c>
      <c r="E163" s="20">
        <v>1</v>
      </c>
      <c r="F163" s="20">
        <v>1</v>
      </c>
      <c r="G163" s="20">
        <v>1</v>
      </c>
      <c r="H163" s="103" t="s">
        <v>960</v>
      </c>
      <c r="I163" s="20" t="s">
        <v>2075</v>
      </c>
      <c r="J163" s="104" t="str">
        <f t="shared" si="69"/>
        <v>Item_Name_14121002</v>
      </c>
      <c r="K163" s="20">
        <v>10104001</v>
      </c>
      <c r="L163" s="107">
        <f t="shared" si="74"/>
        <v>2</v>
      </c>
      <c r="M163" s="105">
        <f>IF(D163=0, 0, _xlfn.XLOOKUP($F163,'#무게관련'!$B:$B,'#무게관련'!$C:$C)*_xlfn.XLOOKUP($L163,'#무게관련'!$F:$F,'#무게관련'!$G:$G)*100)</f>
        <v>14000</v>
      </c>
      <c r="N163" s="20">
        <v>20200</v>
      </c>
      <c r="O163" s="20">
        <v>4</v>
      </c>
      <c r="P163" s="70">
        <v>15</v>
      </c>
      <c r="Q163" s="20">
        <v>1</v>
      </c>
      <c r="R163" s="70">
        <v>100</v>
      </c>
      <c r="S163" s="70">
        <v>1</v>
      </c>
      <c r="T163" s="70" t="s">
        <v>1855</v>
      </c>
      <c r="U163" s="104" t="str">
        <f t="shared" ref="U163:U164" si="116">"item_bg_grade_0"&amp;L163</f>
        <v>item_bg_grade_02</v>
      </c>
      <c r="V163" s="70" t="s">
        <v>526</v>
      </c>
      <c r="W163" s="70" t="s">
        <v>330</v>
      </c>
      <c r="X163" s="104">
        <v>0</v>
      </c>
      <c r="Y163" s="104">
        <v>0</v>
      </c>
      <c r="Z163" s="104">
        <v>0</v>
      </c>
      <c r="AA163" s="104">
        <v>0</v>
      </c>
      <c r="AB163" s="104">
        <v>0</v>
      </c>
      <c r="AC163" s="104">
        <v>0</v>
      </c>
      <c r="AD163" s="142">
        <v>0</v>
      </c>
      <c r="AE163" s="112">
        <f t="shared" si="76"/>
        <v>20</v>
      </c>
      <c r="AF163" s="70">
        <v>4201020</v>
      </c>
      <c r="AG163" s="105" cm="1">
        <f t="array" ref="AG163">_xlfn.SWITCH(L163,3,1,
           4,1,
           5,1,
           6,1,0)</f>
        <v>0</v>
      </c>
      <c r="AH163" s="146">
        <f t="shared" si="103"/>
        <v>80100201</v>
      </c>
      <c r="AI163" s="90">
        <v>6000</v>
      </c>
      <c r="AJ163" s="90">
        <v>2002</v>
      </c>
      <c r="AK163" s="27">
        <v>2001</v>
      </c>
      <c r="AL163" s="123">
        <f>_xlfn.XLOOKUP(H163,'#각종 참고'!$B$11:$B$20,'#각종 참고'!$D$11:$D$20)</f>
        <v>0</v>
      </c>
      <c r="AM163" s="27">
        <v>1</v>
      </c>
      <c r="AN163" s="27">
        <v>1</v>
      </c>
      <c r="AO163" s="124">
        <f t="shared" si="100"/>
        <v>1</v>
      </c>
      <c r="AP163" s="27">
        <v>1</v>
      </c>
      <c r="AQ163" s="21">
        <v>14121011</v>
      </c>
      <c r="AR163" s="21" t="s">
        <v>2331</v>
      </c>
      <c r="AS163" s="68"/>
      <c r="AT163" s="68"/>
      <c r="AU163" s="68"/>
    </row>
    <row r="164" spans="1:47" x14ac:dyDescent="0.3">
      <c r="A164" s="19"/>
      <c r="B164" s="109">
        <v>14121003</v>
      </c>
      <c r="C164" s="99" t="str">
        <f t="shared" si="115"/>
        <v>4</v>
      </c>
      <c r="D164" s="121">
        <f>COUNTIFS($F$33:F164,F164, $G$33:G164,G164, $C$33:C164,C164, $L$33:L164,L164)</f>
        <v>3</v>
      </c>
      <c r="E164" s="20">
        <v>1</v>
      </c>
      <c r="F164" s="20">
        <v>1</v>
      </c>
      <c r="G164" s="20">
        <v>1</v>
      </c>
      <c r="H164" s="103" t="s">
        <v>960</v>
      </c>
      <c r="I164" s="20" t="s">
        <v>2021</v>
      </c>
      <c r="J164" s="104" t="str">
        <f t="shared" si="69"/>
        <v>Item_Name_14121003</v>
      </c>
      <c r="K164" s="20">
        <v>10104001</v>
      </c>
      <c r="L164" s="107">
        <f t="shared" si="74"/>
        <v>2</v>
      </c>
      <c r="M164" s="105">
        <f>IF(D164=0, 0, _xlfn.XLOOKUP($F164,'#무게관련'!$B:$B,'#무게관련'!$C:$C)*_xlfn.XLOOKUP($L164,'#무게관련'!$F:$F,'#무게관련'!$G:$G)*100)</f>
        <v>14000</v>
      </c>
      <c r="N164" s="20">
        <v>20200</v>
      </c>
      <c r="O164" s="20">
        <v>4</v>
      </c>
      <c r="P164" s="70">
        <v>15</v>
      </c>
      <c r="Q164" s="20">
        <v>1</v>
      </c>
      <c r="R164" s="70">
        <v>100</v>
      </c>
      <c r="S164" s="70">
        <v>1</v>
      </c>
      <c r="T164" s="70" t="s">
        <v>1855</v>
      </c>
      <c r="U164" s="104" t="str">
        <f t="shared" si="116"/>
        <v>item_bg_grade_02</v>
      </c>
      <c r="V164" s="70" t="s">
        <v>526</v>
      </c>
      <c r="W164" s="70" t="s">
        <v>330</v>
      </c>
      <c r="X164" s="104">
        <v>0</v>
      </c>
      <c r="Y164" s="104">
        <v>0</v>
      </c>
      <c r="Z164" s="104">
        <v>0</v>
      </c>
      <c r="AA164" s="104">
        <v>0</v>
      </c>
      <c r="AB164" s="104">
        <v>0</v>
      </c>
      <c r="AC164" s="104">
        <v>0</v>
      </c>
      <c r="AD164" s="142">
        <v>0</v>
      </c>
      <c r="AE164" s="112">
        <f t="shared" si="76"/>
        <v>20</v>
      </c>
      <c r="AF164" s="70">
        <v>4201030</v>
      </c>
      <c r="AG164" s="105" cm="1">
        <f t="array" ref="AG164">_xlfn.SWITCH(L164,3,1,
           4,1,
           5,1,
           6,1,0)</f>
        <v>0</v>
      </c>
      <c r="AH164" s="146">
        <f t="shared" si="103"/>
        <v>80100201</v>
      </c>
      <c r="AI164" s="90">
        <v>6000</v>
      </c>
      <c r="AJ164" s="90">
        <v>2002</v>
      </c>
      <c r="AK164" s="27">
        <v>2001</v>
      </c>
      <c r="AL164" s="123">
        <f>_xlfn.XLOOKUP(H164,'#각종 참고'!$B$11:$B$20,'#각종 참고'!$D$11:$D$20)</f>
        <v>0</v>
      </c>
      <c r="AM164" s="27">
        <v>1</v>
      </c>
      <c r="AN164" s="27">
        <v>1</v>
      </c>
      <c r="AO164" s="124">
        <f t="shared" si="100"/>
        <v>1</v>
      </c>
      <c r="AP164" s="27">
        <v>1</v>
      </c>
      <c r="AQ164" s="21">
        <v>14121021</v>
      </c>
      <c r="AR164" s="21" t="s">
        <v>2332</v>
      </c>
      <c r="AS164" s="68"/>
      <c r="AT164" s="68"/>
      <c r="AU164" s="68"/>
    </row>
    <row r="165" spans="1:47" x14ac:dyDescent="0.3">
      <c r="A165" s="19"/>
      <c r="B165" s="109">
        <v>14131001</v>
      </c>
      <c r="C165" s="99" t="str">
        <f t="shared" si="1"/>
        <v>4</v>
      </c>
      <c r="D165" s="121">
        <f>COUNTIFS($F$33:F165,F165, $G$33:G165,G165, $C$33:C165,C165, $L$33:L165,L165)</f>
        <v>1</v>
      </c>
      <c r="E165" s="20">
        <v>1</v>
      </c>
      <c r="F165" s="20">
        <v>1</v>
      </c>
      <c r="G165" s="20">
        <v>1</v>
      </c>
      <c r="H165" s="103" t="s">
        <v>960</v>
      </c>
      <c r="I165" s="20" t="s">
        <v>1630</v>
      </c>
      <c r="J165" s="104" t="str">
        <f t="shared" si="69"/>
        <v>Item_Name_14131001</v>
      </c>
      <c r="K165" s="20">
        <v>10104001</v>
      </c>
      <c r="L165" s="107">
        <f t="shared" si="74"/>
        <v>3</v>
      </c>
      <c r="M165" s="105">
        <f>IF(D165=0, 0, _xlfn.XLOOKUP($F165,'#무게관련'!$B:$B,'#무게관련'!$C:$C)*_xlfn.XLOOKUP($L165,'#무게관련'!$F:$F,'#무게관련'!$G:$G)*100)</f>
        <v>14000</v>
      </c>
      <c r="N165" s="20">
        <v>20200</v>
      </c>
      <c r="O165" s="20">
        <v>4</v>
      </c>
      <c r="P165" s="20">
        <v>15</v>
      </c>
      <c r="Q165" s="20">
        <v>1</v>
      </c>
      <c r="R165" s="20">
        <v>100</v>
      </c>
      <c r="S165" s="20">
        <v>1</v>
      </c>
      <c r="T165" s="20" t="s">
        <v>1856</v>
      </c>
      <c r="U165" s="104" t="str">
        <f t="shared" ref="U165:U291" si="117">"item_bg_grade_0"&amp;L165</f>
        <v>item_bg_grade_03</v>
      </c>
      <c r="V165" s="20" t="s">
        <v>526</v>
      </c>
      <c r="W165" s="20" t="s">
        <v>330</v>
      </c>
      <c r="X165" s="104">
        <v>0</v>
      </c>
      <c r="Y165" s="104">
        <v>0</v>
      </c>
      <c r="Z165" s="104">
        <v>0</v>
      </c>
      <c r="AA165" s="104">
        <v>0</v>
      </c>
      <c r="AB165" s="104">
        <v>0</v>
      </c>
      <c r="AC165" s="104">
        <v>0</v>
      </c>
      <c r="AD165" s="142">
        <v>0</v>
      </c>
      <c r="AE165" s="112">
        <f t="shared" si="76"/>
        <v>30</v>
      </c>
      <c r="AF165" s="70">
        <v>4301010</v>
      </c>
      <c r="AG165" s="105" cm="1">
        <f t="array" ref="AG165">_xlfn.SWITCH(L165,3,1,
           4,1,
           5,1,
           6,1,0)</f>
        <v>1</v>
      </c>
      <c r="AH165" s="146">
        <f t="shared" si="103"/>
        <v>80100301</v>
      </c>
      <c r="AI165" s="90">
        <v>6001</v>
      </c>
      <c r="AJ165" s="90">
        <v>2004</v>
      </c>
      <c r="AK165" s="27">
        <v>3001</v>
      </c>
      <c r="AL165" s="123">
        <f>_xlfn.XLOOKUP(H165,'#각종 참고'!$B$11:$B$20,'#각종 참고'!$D$11:$D$20)</f>
        <v>0</v>
      </c>
      <c r="AM165" s="27">
        <v>1</v>
      </c>
      <c r="AN165" s="27">
        <v>1</v>
      </c>
      <c r="AO165" s="124">
        <f t="shared" si="100"/>
        <v>1</v>
      </c>
      <c r="AP165" s="27">
        <v>1</v>
      </c>
      <c r="AQ165" s="21">
        <v>14131001</v>
      </c>
      <c r="AR165" s="21" t="s">
        <v>1630</v>
      </c>
      <c r="AS165" s="68"/>
      <c r="AT165" s="68"/>
      <c r="AU165" s="68"/>
    </row>
    <row r="166" spans="1:47" x14ac:dyDescent="0.3">
      <c r="A166" s="19"/>
      <c r="B166" s="109">
        <v>14131002</v>
      </c>
      <c r="C166" s="99" t="str">
        <f t="shared" ref="C166:C167" si="118">IF(K166&gt;0,MID(K166,5, 1), 0)</f>
        <v>4</v>
      </c>
      <c r="D166" s="121">
        <f>COUNTIFS($F$33:F166,F166, $G$33:G166,G166, $C$33:C166,C166, $L$33:L166,L166)</f>
        <v>2</v>
      </c>
      <c r="E166" s="20">
        <v>1</v>
      </c>
      <c r="F166" s="20">
        <v>1</v>
      </c>
      <c r="G166" s="20">
        <v>1</v>
      </c>
      <c r="H166" s="103" t="s">
        <v>960</v>
      </c>
      <c r="I166" s="20" t="s">
        <v>1631</v>
      </c>
      <c r="J166" s="104" t="str">
        <f t="shared" si="69"/>
        <v>Item_Name_14131002</v>
      </c>
      <c r="K166" s="20">
        <v>10104001</v>
      </c>
      <c r="L166" s="107">
        <f t="shared" si="74"/>
        <v>3</v>
      </c>
      <c r="M166" s="105">
        <f>IF(D166=0, 0, _xlfn.XLOOKUP($F166,'#무게관련'!$B:$B,'#무게관련'!$C:$C)*_xlfn.XLOOKUP($L166,'#무게관련'!$F:$F,'#무게관련'!$G:$G)*100)</f>
        <v>14000</v>
      </c>
      <c r="N166" s="20">
        <v>20200</v>
      </c>
      <c r="O166" s="20">
        <v>4</v>
      </c>
      <c r="P166" s="20">
        <v>15</v>
      </c>
      <c r="Q166" s="20">
        <v>1</v>
      </c>
      <c r="R166" s="20">
        <v>100</v>
      </c>
      <c r="S166" s="20">
        <v>1</v>
      </c>
      <c r="T166" s="20" t="s">
        <v>1856</v>
      </c>
      <c r="U166" s="104" t="str">
        <f t="shared" ref="U166:U167" si="119">"item_bg_grade_0"&amp;L166</f>
        <v>item_bg_grade_03</v>
      </c>
      <c r="V166" s="20" t="s">
        <v>526</v>
      </c>
      <c r="W166" s="20" t="s">
        <v>330</v>
      </c>
      <c r="X166" s="104">
        <v>0</v>
      </c>
      <c r="Y166" s="104">
        <v>0</v>
      </c>
      <c r="Z166" s="104">
        <v>0</v>
      </c>
      <c r="AA166" s="104">
        <v>0</v>
      </c>
      <c r="AB166" s="104">
        <v>0</v>
      </c>
      <c r="AC166" s="104">
        <v>0</v>
      </c>
      <c r="AD166" s="142">
        <v>0</v>
      </c>
      <c r="AE166" s="112">
        <f t="shared" si="76"/>
        <v>30</v>
      </c>
      <c r="AF166" s="70">
        <v>4301020</v>
      </c>
      <c r="AG166" s="105" cm="1">
        <f t="array" ref="AG166">_xlfn.SWITCH(L166,3,1,
           4,1,
           5,1,
           6,1,0)</f>
        <v>1</v>
      </c>
      <c r="AH166" s="146">
        <f t="shared" si="103"/>
        <v>80100301</v>
      </c>
      <c r="AI166" s="90">
        <v>6001</v>
      </c>
      <c r="AJ166" s="90">
        <v>2004</v>
      </c>
      <c r="AK166" s="27">
        <v>3001</v>
      </c>
      <c r="AL166" s="123">
        <f>_xlfn.XLOOKUP(H166,'#각종 참고'!$B$11:$B$20,'#각종 참고'!$D$11:$D$20)</f>
        <v>0</v>
      </c>
      <c r="AM166" s="27">
        <v>1</v>
      </c>
      <c r="AN166" s="27">
        <v>1</v>
      </c>
      <c r="AO166" s="124">
        <f t="shared" si="100"/>
        <v>1</v>
      </c>
      <c r="AP166" s="27">
        <v>1</v>
      </c>
      <c r="AQ166" s="21">
        <v>14131011</v>
      </c>
      <c r="AR166" s="21" t="s">
        <v>2333</v>
      </c>
      <c r="AS166" s="68"/>
      <c r="AT166" s="68"/>
      <c r="AU166" s="68"/>
    </row>
    <row r="167" spans="1:47" x14ac:dyDescent="0.3">
      <c r="A167" s="19"/>
      <c r="B167" s="109">
        <v>14131003</v>
      </c>
      <c r="C167" s="99" t="str">
        <f t="shared" si="118"/>
        <v>4</v>
      </c>
      <c r="D167" s="121">
        <f>COUNTIFS($F$33:F167,F167, $G$33:G167,G167, $C$33:C167,C167, $L$33:L167,L167)</f>
        <v>3</v>
      </c>
      <c r="E167" s="20">
        <v>1</v>
      </c>
      <c r="F167" s="20">
        <v>1</v>
      </c>
      <c r="G167" s="20">
        <v>1</v>
      </c>
      <c r="H167" s="103" t="s">
        <v>960</v>
      </c>
      <c r="I167" s="20" t="s">
        <v>2076</v>
      </c>
      <c r="J167" s="104" t="str">
        <f t="shared" si="69"/>
        <v>Item_Name_14131003</v>
      </c>
      <c r="K167" s="20">
        <v>10104001</v>
      </c>
      <c r="L167" s="107">
        <f t="shared" si="74"/>
        <v>3</v>
      </c>
      <c r="M167" s="105">
        <f>IF(D167=0, 0, _xlfn.XLOOKUP($F167,'#무게관련'!$B:$B,'#무게관련'!$C:$C)*_xlfn.XLOOKUP($L167,'#무게관련'!$F:$F,'#무게관련'!$G:$G)*100)</f>
        <v>14000</v>
      </c>
      <c r="N167" s="20">
        <v>20200</v>
      </c>
      <c r="O167" s="20">
        <v>4</v>
      </c>
      <c r="P167" s="20">
        <v>15</v>
      </c>
      <c r="Q167" s="20">
        <v>1</v>
      </c>
      <c r="R167" s="20">
        <v>100</v>
      </c>
      <c r="S167" s="20">
        <v>1</v>
      </c>
      <c r="T167" s="20" t="s">
        <v>1856</v>
      </c>
      <c r="U167" s="104" t="str">
        <f t="shared" si="119"/>
        <v>item_bg_grade_03</v>
      </c>
      <c r="V167" s="20" t="s">
        <v>526</v>
      </c>
      <c r="W167" s="20" t="s">
        <v>330</v>
      </c>
      <c r="X167" s="104">
        <v>0</v>
      </c>
      <c r="Y167" s="104">
        <v>0</v>
      </c>
      <c r="Z167" s="104">
        <v>0</v>
      </c>
      <c r="AA167" s="104">
        <v>0</v>
      </c>
      <c r="AB167" s="104">
        <v>0</v>
      </c>
      <c r="AC167" s="104">
        <v>0</v>
      </c>
      <c r="AD167" s="142">
        <v>0</v>
      </c>
      <c r="AE167" s="112">
        <f t="shared" si="76"/>
        <v>30</v>
      </c>
      <c r="AF167" s="70">
        <v>4301030</v>
      </c>
      <c r="AG167" s="105" cm="1">
        <f t="array" ref="AG167">_xlfn.SWITCH(L167,3,1,
           4,1,
           5,1,
           6,1,0)</f>
        <v>1</v>
      </c>
      <c r="AH167" s="146">
        <f t="shared" si="103"/>
        <v>80100301</v>
      </c>
      <c r="AI167" s="90">
        <v>6001</v>
      </c>
      <c r="AJ167" s="90">
        <v>2004</v>
      </c>
      <c r="AK167" s="27">
        <v>3001</v>
      </c>
      <c r="AL167" s="123">
        <f>_xlfn.XLOOKUP(H167,'#각종 참고'!$B$11:$B$20,'#각종 참고'!$D$11:$D$20)</f>
        <v>0</v>
      </c>
      <c r="AM167" s="27">
        <v>1</v>
      </c>
      <c r="AN167" s="27">
        <v>1</v>
      </c>
      <c r="AO167" s="124">
        <f t="shared" si="100"/>
        <v>1</v>
      </c>
      <c r="AP167" s="27">
        <v>1</v>
      </c>
      <c r="AQ167" s="21">
        <v>14131021</v>
      </c>
      <c r="AR167" s="21" t="s">
        <v>2334</v>
      </c>
      <c r="AS167" s="68"/>
      <c r="AT167" s="68"/>
      <c r="AU167" s="68"/>
    </row>
    <row r="168" spans="1:47" x14ac:dyDescent="0.3">
      <c r="A168" s="19"/>
      <c r="B168" s="109">
        <v>14141001</v>
      </c>
      <c r="C168" s="99" t="str">
        <f t="shared" si="1"/>
        <v>4</v>
      </c>
      <c r="D168" s="121">
        <f>COUNTIFS($F$33:F168,F168, $G$33:G168,G168, $C$33:C168,C168, $L$33:L168,L168)</f>
        <v>1</v>
      </c>
      <c r="E168" s="20">
        <v>1</v>
      </c>
      <c r="F168" s="20">
        <v>1</v>
      </c>
      <c r="G168" s="20">
        <v>1</v>
      </c>
      <c r="H168" s="103" t="s">
        <v>960</v>
      </c>
      <c r="I168" s="20" t="s">
        <v>1632</v>
      </c>
      <c r="J168" s="104" t="str">
        <f t="shared" si="69"/>
        <v>Item_Name_14141001</v>
      </c>
      <c r="K168" s="20">
        <v>10104001</v>
      </c>
      <c r="L168" s="107">
        <f t="shared" si="74"/>
        <v>4</v>
      </c>
      <c r="M168" s="105">
        <f>IF(D168=0, 0, _xlfn.XLOOKUP($F168,'#무게관련'!$B:$B,'#무게관련'!$C:$C)*_xlfn.XLOOKUP($L168,'#무게관련'!$F:$F,'#무게관련'!$G:$G)*100)</f>
        <v>14000</v>
      </c>
      <c r="N168" s="20">
        <v>20200</v>
      </c>
      <c r="O168" s="20">
        <v>4</v>
      </c>
      <c r="P168" s="20">
        <v>15</v>
      </c>
      <c r="Q168" s="20">
        <v>1</v>
      </c>
      <c r="R168" s="20">
        <v>100</v>
      </c>
      <c r="S168" s="20">
        <v>1</v>
      </c>
      <c r="T168" s="20" t="s">
        <v>1857</v>
      </c>
      <c r="U168" s="104" t="str">
        <f t="shared" si="117"/>
        <v>item_bg_grade_04</v>
      </c>
      <c r="V168" s="20" t="s">
        <v>526</v>
      </c>
      <c r="W168" s="20" t="s">
        <v>330</v>
      </c>
      <c r="X168" s="104">
        <v>0</v>
      </c>
      <c r="Y168" s="104">
        <v>0</v>
      </c>
      <c r="Z168" s="104">
        <v>0</v>
      </c>
      <c r="AA168" s="104">
        <v>0</v>
      </c>
      <c r="AB168" s="104">
        <v>0</v>
      </c>
      <c r="AC168" s="104">
        <v>0</v>
      </c>
      <c r="AD168" s="142">
        <v>0</v>
      </c>
      <c r="AE168" s="112">
        <f t="shared" si="76"/>
        <v>40</v>
      </c>
      <c r="AF168" s="70">
        <v>4401010</v>
      </c>
      <c r="AG168" s="105" cm="1">
        <f t="array" ref="AG168">_xlfn.SWITCH(L168,3,1,
           4,1,
           5,1,
           6,1,0)</f>
        <v>1</v>
      </c>
      <c r="AH168" s="146">
        <f t="shared" si="103"/>
        <v>80100401</v>
      </c>
      <c r="AI168" s="90">
        <v>6002</v>
      </c>
      <c r="AJ168" s="90">
        <v>2006</v>
      </c>
      <c r="AK168" s="27">
        <v>4001</v>
      </c>
      <c r="AL168" s="123">
        <f>_xlfn.XLOOKUP(H168,'#각종 참고'!$B$11:$B$20,'#각종 참고'!$D$11:$D$20)</f>
        <v>0</v>
      </c>
      <c r="AM168" s="27">
        <v>1</v>
      </c>
      <c r="AN168" s="27">
        <v>1</v>
      </c>
      <c r="AO168" s="124">
        <f t="shared" si="100"/>
        <v>1</v>
      </c>
      <c r="AP168" s="27">
        <v>1</v>
      </c>
      <c r="AQ168" s="21">
        <v>14141001</v>
      </c>
      <c r="AR168" s="21" t="s">
        <v>1632</v>
      </c>
      <c r="AS168" s="68"/>
      <c r="AT168" s="68"/>
      <c r="AU168" s="68"/>
    </row>
    <row r="169" spans="1:47" x14ac:dyDescent="0.3">
      <c r="A169" s="19"/>
      <c r="B169" s="109">
        <v>14141002</v>
      </c>
      <c r="C169" s="99" t="str">
        <f t="shared" ref="C169:C170" si="120">IF(K169&gt;0,MID(K169,5, 1), 0)</f>
        <v>4</v>
      </c>
      <c r="D169" s="121">
        <f>COUNTIFS($F$33:F169,F169, $G$33:G169,G169, $C$33:C169,C169, $L$33:L169,L169)</f>
        <v>2</v>
      </c>
      <c r="E169" s="20">
        <v>1</v>
      </c>
      <c r="F169" s="20">
        <v>1</v>
      </c>
      <c r="G169" s="20">
        <v>1</v>
      </c>
      <c r="H169" s="103" t="s">
        <v>960</v>
      </c>
      <c r="I169" s="20" t="s">
        <v>2077</v>
      </c>
      <c r="J169" s="104" t="str">
        <f t="shared" si="69"/>
        <v>Item_Name_14141002</v>
      </c>
      <c r="K169" s="20">
        <v>10104001</v>
      </c>
      <c r="L169" s="107">
        <f t="shared" si="74"/>
        <v>4</v>
      </c>
      <c r="M169" s="105">
        <f>IF(D169=0, 0, _xlfn.XLOOKUP($F169,'#무게관련'!$B:$B,'#무게관련'!$C:$C)*_xlfn.XLOOKUP($L169,'#무게관련'!$F:$F,'#무게관련'!$G:$G)*100)</f>
        <v>14000</v>
      </c>
      <c r="N169" s="20">
        <v>20200</v>
      </c>
      <c r="O169" s="20">
        <v>4</v>
      </c>
      <c r="P169" s="20">
        <v>15</v>
      </c>
      <c r="Q169" s="20">
        <v>1</v>
      </c>
      <c r="R169" s="20">
        <v>100</v>
      </c>
      <c r="S169" s="20">
        <v>1</v>
      </c>
      <c r="T169" s="20" t="s">
        <v>1857</v>
      </c>
      <c r="U169" s="104" t="str">
        <f t="shared" ref="U169:U170" si="121">"item_bg_grade_0"&amp;L169</f>
        <v>item_bg_grade_04</v>
      </c>
      <c r="V169" s="20" t="s">
        <v>526</v>
      </c>
      <c r="W169" s="20" t="s">
        <v>330</v>
      </c>
      <c r="X169" s="104">
        <v>0</v>
      </c>
      <c r="Y169" s="104">
        <v>0</v>
      </c>
      <c r="Z169" s="104">
        <v>0</v>
      </c>
      <c r="AA169" s="104">
        <v>0</v>
      </c>
      <c r="AB169" s="104">
        <v>0</v>
      </c>
      <c r="AC169" s="104">
        <v>0</v>
      </c>
      <c r="AD169" s="142">
        <v>0</v>
      </c>
      <c r="AE169" s="112">
        <f t="shared" si="76"/>
        <v>40</v>
      </c>
      <c r="AF169" s="70">
        <v>4401020</v>
      </c>
      <c r="AG169" s="105" cm="1">
        <f t="array" ref="AG169">_xlfn.SWITCH(L169,3,1,
           4,1,
           5,1,
           6,1,0)</f>
        <v>1</v>
      </c>
      <c r="AH169" s="146">
        <f t="shared" si="103"/>
        <v>80100401</v>
      </c>
      <c r="AI169" s="90">
        <v>6002</v>
      </c>
      <c r="AJ169" s="90">
        <v>2006</v>
      </c>
      <c r="AK169" s="27">
        <v>4001</v>
      </c>
      <c r="AL169" s="123">
        <f>_xlfn.XLOOKUP(H169,'#각종 참고'!$B$11:$B$20,'#각종 참고'!$D$11:$D$20)</f>
        <v>0</v>
      </c>
      <c r="AM169" s="27">
        <v>1</v>
      </c>
      <c r="AN169" s="27">
        <v>1</v>
      </c>
      <c r="AO169" s="124">
        <f t="shared" si="100"/>
        <v>1</v>
      </c>
      <c r="AP169" s="27">
        <v>1</v>
      </c>
      <c r="AQ169" s="21">
        <v>14141011</v>
      </c>
      <c r="AR169" s="21" t="s">
        <v>2335</v>
      </c>
      <c r="AS169" s="68"/>
      <c r="AT169" s="68"/>
      <c r="AU169" s="68"/>
    </row>
    <row r="170" spans="1:47" x14ac:dyDescent="0.3">
      <c r="A170" s="19"/>
      <c r="B170" s="109">
        <v>14141003</v>
      </c>
      <c r="C170" s="99" t="str">
        <f t="shared" si="120"/>
        <v>4</v>
      </c>
      <c r="D170" s="121">
        <f>COUNTIFS($F$33:F170,F170, $G$33:G170,G170, $C$33:C170,C170, $L$33:L170,L170)</f>
        <v>3</v>
      </c>
      <c r="E170" s="20">
        <v>1</v>
      </c>
      <c r="F170" s="20">
        <v>1</v>
      </c>
      <c r="G170" s="20">
        <v>1</v>
      </c>
      <c r="H170" s="103" t="s">
        <v>960</v>
      </c>
      <c r="I170" s="20" t="s">
        <v>1633</v>
      </c>
      <c r="J170" s="104" t="str">
        <f t="shared" si="69"/>
        <v>Item_Name_14141003</v>
      </c>
      <c r="K170" s="20">
        <v>10104001</v>
      </c>
      <c r="L170" s="107">
        <f t="shared" si="74"/>
        <v>4</v>
      </c>
      <c r="M170" s="105">
        <f>IF(D170=0, 0, _xlfn.XLOOKUP($F170,'#무게관련'!$B:$B,'#무게관련'!$C:$C)*_xlfn.XLOOKUP($L170,'#무게관련'!$F:$F,'#무게관련'!$G:$G)*100)</f>
        <v>14000</v>
      </c>
      <c r="N170" s="20">
        <v>20200</v>
      </c>
      <c r="O170" s="20">
        <v>4</v>
      </c>
      <c r="P170" s="20">
        <v>15</v>
      </c>
      <c r="Q170" s="20">
        <v>1</v>
      </c>
      <c r="R170" s="20">
        <v>100</v>
      </c>
      <c r="S170" s="20">
        <v>1</v>
      </c>
      <c r="T170" s="20" t="s">
        <v>1857</v>
      </c>
      <c r="U170" s="104" t="str">
        <f t="shared" si="121"/>
        <v>item_bg_grade_04</v>
      </c>
      <c r="V170" s="20" t="s">
        <v>526</v>
      </c>
      <c r="W170" s="20" t="s">
        <v>330</v>
      </c>
      <c r="X170" s="104">
        <v>0</v>
      </c>
      <c r="Y170" s="104">
        <v>0</v>
      </c>
      <c r="Z170" s="104">
        <v>0</v>
      </c>
      <c r="AA170" s="104">
        <v>0</v>
      </c>
      <c r="AB170" s="104">
        <v>0</v>
      </c>
      <c r="AC170" s="104">
        <v>0</v>
      </c>
      <c r="AD170" s="142">
        <v>0</v>
      </c>
      <c r="AE170" s="112">
        <f t="shared" si="76"/>
        <v>40</v>
      </c>
      <c r="AF170" s="70">
        <v>4401030</v>
      </c>
      <c r="AG170" s="105" cm="1">
        <f t="array" ref="AG170">_xlfn.SWITCH(L170,3,1,
           4,1,
           5,1,
           6,1,0)</f>
        <v>1</v>
      </c>
      <c r="AH170" s="146">
        <f t="shared" si="103"/>
        <v>80100401</v>
      </c>
      <c r="AI170" s="90">
        <v>6002</v>
      </c>
      <c r="AJ170" s="90">
        <v>2006</v>
      </c>
      <c r="AK170" s="27">
        <v>4001</v>
      </c>
      <c r="AL170" s="123">
        <f>_xlfn.XLOOKUP(H170,'#각종 참고'!$B$11:$B$20,'#각종 참고'!$D$11:$D$20)</f>
        <v>0</v>
      </c>
      <c r="AM170" s="27">
        <v>1</v>
      </c>
      <c r="AN170" s="27">
        <v>1</v>
      </c>
      <c r="AO170" s="124">
        <f t="shared" si="100"/>
        <v>1</v>
      </c>
      <c r="AP170" s="27">
        <v>1</v>
      </c>
      <c r="AQ170" s="21">
        <v>14141021</v>
      </c>
      <c r="AR170" s="21" t="s">
        <v>2336</v>
      </c>
      <c r="AS170" s="68"/>
      <c r="AT170" s="68"/>
      <c r="AU170" s="68"/>
    </row>
    <row r="171" spans="1:47" x14ac:dyDescent="0.3">
      <c r="A171" s="19"/>
      <c r="B171" s="109">
        <v>14151001</v>
      </c>
      <c r="C171" s="99" t="str">
        <f t="shared" ref="C171:C174" si="122">IF(K171&gt;0,MID(K171,5, 1), 0)</f>
        <v>4</v>
      </c>
      <c r="D171" s="121">
        <f>COUNTIFS($F$33:F171,F171, $G$33:G171,G171, $C$33:C171,C171, $L$33:L171,L171)</f>
        <v>1</v>
      </c>
      <c r="E171" s="20">
        <v>1</v>
      </c>
      <c r="F171" s="20">
        <v>1</v>
      </c>
      <c r="G171" s="20">
        <v>1</v>
      </c>
      <c r="H171" s="103" t="s">
        <v>960</v>
      </c>
      <c r="I171" s="20" t="s">
        <v>1634</v>
      </c>
      <c r="J171" s="104" t="str">
        <f t="shared" si="69"/>
        <v>Item_Name_14151001</v>
      </c>
      <c r="K171" s="20">
        <v>10104001</v>
      </c>
      <c r="L171" s="107">
        <f t="shared" si="74"/>
        <v>5</v>
      </c>
      <c r="M171" s="105">
        <f>IF(D171=0, 0, _xlfn.XLOOKUP($F171,'#무게관련'!$B:$B,'#무게관련'!$C:$C)*_xlfn.XLOOKUP($L171,'#무게관련'!$F:$F,'#무게관련'!$G:$G)*100)</f>
        <v>14000</v>
      </c>
      <c r="N171" s="20">
        <v>20200</v>
      </c>
      <c r="O171" s="20">
        <v>4</v>
      </c>
      <c r="P171" s="20">
        <v>15</v>
      </c>
      <c r="Q171" s="20">
        <v>1</v>
      </c>
      <c r="R171" s="20">
        <v>100</v>
      </c>
      <c r="S171" s="20">
        <v>1</v>
      </c>
      <c r="T171" s="20" t="s">
        <v>1858</v>
      </c>
      <c r="U171" s="104" t="str">
        <f t="shared" si="117"/>
        <v>item_bg_grade_05</v>
      </c>
      <c r="V171" s="20" t="s">
        <v>526</v>
      </c>
      <c r="W171" s="20" t="s">
        <v>330</v>
      </c>
      <c r="X171" s="104">
        <v>0</v>
      </c>
      <c r="Y171" s="104">
        <v>0</v>
      </c>
      <c r="Z171" s="104">
        <v>0</v>
      </c>
      <c r="AA171" s="104">
        <v>0</v>
      </c>
      <c r="AB171" s="104">
        <v>0</v>
      </c>
      <c r="AC171" s="104">
        <v>0</v>
      </c>
      <c r="AD171" s="142">
        <v>0</v>
      </c>
      <c r="AE171" s="112">
        <f t="shared" si="76"/>
        <v>50</v>
      </c>
      <c r="AF171" s="70">
        <v>4501010</v>
      </c>
      <c r="AG171" s="105" cm="1">
        <f t="array" ref="AG171">_xlfn.SWITCH(L171,3,1,
           4,1,
           5,1,
           6,1,0)</f>
        <v>1</v>
      </c>
      <c r="AH171" s="146">
        <f t="shared" si="103"/>
        <v>80100501</v>
      </c>
      <c r="AI171" s="90">
        <v>6003</v>
      </c>
      <c r="AJ171" s="90">
        <v>2008</v>
      </c>
      <c r="AK171" s="27">
        <v>5001</v>
      </c>
      <c r="AL171" s="123">
        <f>_xlfn.XLOOKUP(H171,'#각종 참고'!$B$11:$B$20,'#각종 참고'!$D$11:$D$20)</f>
        <v>0</v>
      </c>
      <c r="AM171" s="27">
        <v>1</v>
      </c>
      <c r="AN171" s="27">
        <v>1</v>
      </c>
      <c r="AO171" s="124">
        <f t="shared" si="100"/>
        <v>1</v>
      </c>
      <c r="AP171" s="27">
        <v>1</v>
      </c>
      <c r="AQ171" s="21">
        <v>14151001</v>
      </c>
      <c r="AR171" s="21" t="s">
        <v>1634</v>
      </c>
      <c r="AS171" s="68"/>
      <c r="AT171" s="68"/>
      <c r="AU171" s="68"/>
    </row>
    <row r="172" spans="1:47" x14ac:dyDescent="0.3">
      <c r="A172" s="19"/>
      <c r="B172" s="109">
        <v>14151002</v>
      </c>
      <c r="C172" s="99" t="str">
        <f t="shared" ref="C172:C173" si="123">IF(K172&gt;0,MID(K172,5, 1), 0)</f>
        <v>4</v>
      </c>
      <c r="D172" s="121">
        <f>COUNTIFS($F$33:F172,F172, $G$33:G172,G172, $C$33:C172,C172, $L$33:L172,L172)</f>
        <v>2</v>
      </c>
      <c r="E172" s="20">
        <v>1</v>
      </c>
      <c r="F172" s="20">
        <v>1</v>
      </c>
      <c r="G172" s="20">
        <v>1</v>
      </c>
      <c r="H172" s="103" t="s">
        <v>960</v>
      </c>
      <c r="I172" s="20" t="s">
        <v>2079</v>
      </c>
      <c r="J172" s="104" t="str">
        <f t="shared" si="69"/>
        <v>Item_Name_14151002</v>
      </c>
      <c r="K172" s="20">
        <v>10104001</v>
      </c>
      <c r="L172" s="107">
        <f t="shared" si="74"/>
        <v>5</v>
      </c>
      <c r="M172" s="105">
        <f>IF(D172=0, 0, _xlfn.XLOOKUP($F172,'#무게관련'!$B:$B,'#무게관련'!$C:$C)*_xlfn.XLOOKUP($L172,'#무게관련'!$F:$F,'#무게관련'!$G:$G)*100)</f>
        <v>14000</v>
      </c>
      <c r="N172" s="20">
        <v>20200</v>
      </c>
      <c r="O172" s="20">
        <v>4</v>
      </c>
      <c r="P172" s="20">
        <v>15</v>
      </c>
      <c r="Q172" s="20">
        <v>1</v>
      </c>
      <c r="R172" s="20">
        <v>100</v>
      </c>
      <c r="S172" s="20">
        <v>1</v>
      </c>
      <c r="T172" s="20" t="s">
        <v>1858</v>
      </c>
      <c r="U172" s="104" t="str">
        <f t="shared" ref="U172:U173" si="124">"item_bg_grade_0"&amp;L172</f>
        <v>item_bg_grade_05</v>
      </c>
      <c r="V172" s="20" t="s">
        <v>526</v>
      </c>
      <c r="W172" s="20" t="s">
        <v>330</v>
      </c>
      <c r="X172" s="104">
        <v>0</v>
      </c>
      <c r="Y172" s="104">
        <v>0</v>
      </c>
      <c r="Z172" s="104">
        <v>0</v>
      </c>
      <c r="AA172" s="104">
        <v>0</v>
      </c>
      <c r="AB172" s="104">
        <v>0</v>
      </c>
      <c r="AC172" s="104">
        <v>0</v>
      </c>
      <c r="AD172" s="142">
        <v>0</v>
      </c>
      <c r="AE172" s="112">
        <f t="shared" si="76"/>
        <v>50</v>
      </c>
      <c r="AF172" s="70">
        <v>4501020</v>
      </c>
      <c r="AG172" s="105" cm="1">
        <f t="array" ref="AG172">_xlfn.SWITCH(L172,3,1,
           4,1,
           5,1,
           6,1,0)</f>
        <v>1</v>
      </c>
      <c r="AH172" s="146">
        <f t="shared" si="103"/>
        <v>80100501</v>
      </c>
      <c r="AI172" s="90">
        <v>6003</v>
      </c>
      <c r="AJ172" s="90">
        <v>2008</v>
      </c>
      <c r="AK172" s="27">
        <v>5001</v>
      </c>
      <c r="AL172" s="123">
        <f>_xlfn.XLOOKUP(H172,'#각종 참고'!$B$11:$B$20,'#각종 참고'!$D$11:$D$20)</f>
        <v>0</v>
      </c>
      <c r="AM172" s="27">
        <v>1</v>
      </c>
      <c r="AN172" s="27">
        <v>1</v>
      </c>
      <c r="AO172" s="124">
        <f t="shared" si="100"/>
        <v>1</v>
      </c>
      <c r="AP172" s="27">
        <v>1</v>
      </c>
      <c r="AQ172" s="21">
        <v>14151011</v>
      </c>
      <c r="AR172" s="21" t="s">
        <v>2337</v>
      </c>
      <c r="AS172" s="68"/>
      <c r="AT172" s="68"/>
      <c r="AU172" s="68"/>
    </row>
    <row r="173" spans="1:47" x14ac:dyDescent="0.3">
      <c r="A173" s="19"/>
      <c r="B173" s="109">
        <v>14151003</v>
      </c>
      <c r="C173" s="99" t="str">
        <f t="shared" si="123"/>
        <v>4</v>
      </c>
      <c r="D173" s="121">
        <f>COUNTIFS($F$33:F173,F173, $G$33:G173,G173, $C$33:C173,C173, $L$33:L173,L173)</f>
        <v>3</v>
      </c>
      <c r="E173" s="20">
        <v>1</v>
      </c>
      <c r="F173" s="20">
        <v>1</v>
      </c>
      <c r="G173" s="20">
        <v>1</v>
      </c>
      <c r="H173" s="103" t="s">
        <v>960</v>
      </c>
      <c r="I173" s="20" t="s">
        <v>2078</v>
      </c>
      <c r="J173" s="104" t="str">
        <f t="shared" ref="J173:J236" si="125">"Item_Name_"&amp;$B173</f>
        <v>Item_Name_14151003</v>
      </c>
      <c r="K173" s="20">
        <v>10104001</v>
      </c>
      <c r="L173" s="107">
        <f t="shared" si="74"/>
        <v>5</v>
      </c>
      <c r="M173" s="105">
        <f>IF(D173=0, 0, _xlfn.XLOOKUP($F173,'#무게관련'!$B:$B,'#무게관련'!$C:$C)*_xlfn.XLOOKUP($L173,'#무게관련'!$F:$F,'#무게관련'!$G:$G)*100)</f>
        <v>14000</v>
      </c>
      <c r="N173" s="20">
        <v>20200</v>
      </c>
      <c r="O173" s="20">
        <v>4</v>
      </c>
      <c r="P173" s="20">
        <v>15</v>
      </c>
      <c r="Q173" s="20">
        <v>1</v>
      </c>
      <c r="R173" s="20">
        <v>100</v>
      </c>
      <c r="S173" s="20">
        <v>1</v>
      </c>
      <c r="T173" s="20" t="s">
        <v>1858</v>
      </c>
      <c r="U173" s="104" t="str">
        <f t="shared" si="124"/>
        <v>item_bg_grade_05</v>
      </c>
      <c r="V173" s="20" t="s">
        <v>526</v>
      </c>
      <c r="W173" s="20" t="s">
        <v>330</v>
      </c>
      <c r="X173" s="104">
        <v>0</v>
      </c>
      <c r="Y173" s="104">
        <v>0</v>
      </c>
      <c r="Z173" s="104">
        <v>0</v>
      </c>
      <c r="AA173" s="104">
        <v>0</v>
      </c>
      <c r="AB173" s="104">
        <v>0</v>
      </c>
      <c r="AC173" s="104">
        <v>0</v>
      </c>
      <c r="AD173" s="142">
        <v>0</v>
      </c>
      <c r="AE173" s="112">
        <f t="shared" si="76"/>
        <v>50</v>
      </c>
      <c r="AF173" s="70">
        <v>4501030</v>
      </c>
      <c r="AG173" s="105" cm="1">
        <f t="array" ref="AG173">_xlfn.SWITCH(L173,3,1,
           4,1,
           5,1,
           6,1,0)</f>
        <v>1</v>
      </c>
      <c r="AH173" s="146">
        <f t="shared" si="103"/>
        <v>80100501</v>
      </c>
      <c r="AI173" s="90">
        <v>6003</v>
      </c>
      <c r="AJ173" s="90">
        <v>2008</v>
      </c>
      <c r="AK173" s="27">
        <v>5001</v>
      </c>
      <c r="AL173" s="123">
        <f>_xlfn.XLOOKUP(H173,'#각종 참고'!$B$11:$B$20,'#각종 참고'!$D$11:$D$20)</f>
        <v>0</v>
      </c>
      <c r="AM173" s="27">
        <v>1</v>
      </c>
      <c r="AN173" s="27">
        <v>1</v>
      </c>
      <c r="AO173" s="124">
        <f t="shared" si="100"/>
        <v>1</v>
      </c>
      <c r="AP173" s="27">
        <v>1</v>
      </c>
      <c r="AQ173" s="21">
        <v>14151021</v>
      </c>
      <c r="AR173" s="21" t="s">
        <v>2338</v>
      </c>
      <c r="AS173" s="68"/>
      <c r="AT173" s="68"/>
      <c r="AU173" s="68"/>
    </row>
    <row r="174" spans="1:47" x14ac:dyDescent="0.3">
      <c r="A174" s="19"/>
      <c r="B174" s="109">
        <v>14161001</v>
      </c>
      <c r="C174" s="99" t="str">
        <f t="shared" si="122"/>
        <v>4</v>
      </c>
      <c r="D174" s="121">
        <f>COUNTIFS($F$33:F174,F174, $G$33:G174,G174, $C$33:C174,C174, $L$33:L174,L174)</f>
        <v>1</v>
      </c>
      <c r="E174" s="20">
        <v>1</v>
      </c>
      <c r="F174" s="20">
        <v>1</v>
      </c>
      <c r="G174" s="20">
        <v>1</v>
      </c>
      <c r="H174" s="103" t="s">
        <v>960</v>
      </c>
      <c r="I174" s="20" t="s">
        <v>1636</v>
      </c>
      <c r="J174" s="104" t="str">
        <f t="shared" si="125"/>
        <v>Item_Name_14161001</v>
      </c>
      <c r="K174" s="20">
        <v>10104001</v>
      </c>
      <c r="L174" s="107">
        <f t="shared" si="74"/>
        <v>6</v>
      </c>
      <c r="M174" s="105">
        <f>IF(D174=0, 0, _xlfn.XLOOKUP($F174,'#무게관련'!$B:$B,'#무게관련'!$C:$C)*_xlfn.XLOOKUP($L174,'#무게관련'!$F:$F,'#무게관련'!$G:$G)*100)</f>
        <v>14000</v>
      </c>
      <c r="N174" s="20">
        <v>20200</v>
      </c>
      <c r="O174" s="20">
        <v>4</v>
      </c>
      <c r="P174" s="20">
        <v>15</v>
      </c>
      <c r="Q174" s="20">
        <v>1</v>
      </c>
      <c r="R174" s="20">
        <v>100</v>
      </c>
      <c r="S174" s="20">
        <v>1</v>
      </c>
      <c r="T174" s="109" t="s">
        <v>1858</v>
      </c>
      <c r="U174" s="104" t="str">
        <f t="shared" si="117"/>
        <v>item_bg_grade_06</v>
      </c>
      <c r="V174" s="20" t="s">
        <v>526</v>
      </c>
      <c r="W174" s="20" t="s">
        <v>330</v>
      </c>
      <c r="X174" s="104">
        <v>0</v>
      </c>
      <c r="Y174" s="104">
        <v>0</v>
      </c>
      <c r="Z174" s="104">
        <v>0</v>
      </c>
      <c r="AA174" s="104">
        <v>0</v>
      </c>
      <c r="AB174" s="104">
        <v>0</v>
      </c>
      <c r="AC174" s="104">
        <v>0</v>
      </c>
      <c r="AD174" s="142">
        <v>0</v>
      </c>
      <c r="AE174" s="112">
        <f t="shared" si="76"/>
        <v>70</v>
      </c>
      <c r="AF174" s="70">
        <v>4601010</v>
      </c>
      <c r="AG174" s="105" cm="1">
        <f t="array" ref="AG174">_xlfn.SWITCH(L174,3,1,
           4,1,
           5,1,
           6,1,0)</f>
        <v>1</v>
      </c>
      <c r="AH174" s="146">
        <f t="shared" si="103"/>
        <v>0</v>
      </c>
      <c r="AI174" s="90">
        <v>6004</v>
      </c>
      <c r="AJ174" s="90">
        <v>2010</v>
      </c>
      <c r="AK174" s="27">
        <v>6001</v>
      </c>
      <c r="AL174" s="123">
        <f>_xlfn.XLOOKUP(H174,'#각종 참고'!$B$11:$B$20,'#각종 참고'!$D$11:$D$20)</f>
        <v>0</v>
      </c>
      <c r="AM174" s="27">
        <v>1</v>
      </c>
      <c r="AN174" s="27">
        <v>1</v>
      </c>
      <c r="AO174" s="124">
        <f t="shared" si="100"/>
        <v>1</v>
      </c>
      <c r="AP174" s="27">
        <v>1</v>
      </c>
      <c r="AQ174" s="21">
        <v>14161001</v>
      </c>
      <c r="AR174" s="21" t="s">
        <v>1636</v>
      </c>
      <c r="AS174" s="68"/>
      <c r="AT174" s="68"/>
      <c r="AU174" s="68"/>
    </row>
    <row r="175" spans="1:47" x14ac:dyDescent="0.3">
      <c r="A175" s="19" t="s">
        <v>513</v>
      </c>
      <c r="B175" s="109">
        <v>14161002</v>
      </c>
      <c r="C175" s="99" t="str">
        <f t="shared" ref="C175:C176" si="126">IF(K175&gt;0,MID(K175,5, 1), 0)</f>
        <v>4</v>
      </c>
      <c r="D175" s="121">
        <f>COUNTIFS($F$33:F175,F175, $G$33:G175,G175, $C$33:C175,C175, $L$33:L175,L175)</f>
        <v>2</v>
      </c>
      <c r="E175" s="20">
        <v>1</v>
      </c>
      <c r="F175" s="20">
        <v>1</v>
      </c>
      <c r="G175" s="20">
        <v>1</v>
      </c>
      <c r="H175" s="103" t="s">
        <v>960</v>
      </c>
      <c r="I175" s="20" t="s">
        <v>2080</v>
      </c>
      <c r="J175" s="104" t="str">
        <f t="shared" si="125"/>
        <v>Item_Name_14161002</v>
      </c>
      <c r="K175" s="20">
        <v>10104001</v>
      </c>
      <c r="L175" s="107">
        <f t="shared" si="74"/>
        <v>6</v>
      </c>
      <c r="M175" s="105">
        <f>IF(D175=0, 0, _xlfn.XLOOKUP($F175,'#무게관련'!$B:$B,'#무게관련'!$C:$C)*_xlfn.XLOOKUP($L175,'#무게관련'!$F:$F,'#무게관련'!$G:$G)*100)</f>
        <v>14000</v>
      </c>
      <c r="N175" s="20">
        <v>20200</v>
      </c>
      <c r="O175" s="20">
        <v>4</v>
      </c>
      <c r="P175" s="20">
        <v>15</v>
      </c>
      <c r="Q175" s="20">
        <v>1</v>
      </c>
      <c r="R175" s="20">
        <v>100</v>
      </c>
      <c r="S175" s="20">
        <v>1</v>
      </c>
      <c r="T175" s="109" t="s">
        <v>1858</v>
      </c>
      <c r="U175" s="104" t="str">
        <f t="shared" ref="U175:U176" si="127">"item_bg_grade_0"&amp;L175</f>
        <v>item_bg_grade_06</v>
      </c>
      <c r="V175" s="20" t="s">
        <v>526</v>
      </c>
      <c r="W175" s="20" t="s">
        <v>330</v>
      </c>
      <c r="X175" s="104">
        <v>0</v>
      </c>
      <c r="Y175" s="104">
        <v>0</v>
      </c>
      <c r="Z175" s="104">
        <v>0</v>
      </c>
      <c r="AA175" s="104">
        <v>0</v>
      </c>
      <c r="AB175" s="104">
        <v>0</v>
      </c>
      <c r="AC175" s="104">
        <v>0</v>
      </c>
      <c r="AD175" s="142">
        <v>0</v>
      </c>
      <c r="AE175" s="112">
        <f t="shared" si="76"/>
        <v>70</v>
      </c>
      <c r="AF175" s="70">
        <v>4601010</v>
      </c>
      <c r="AG175" s="105" cm="1">
        <f t="array" ref="AG175">_xlfn.SWITCH(L175,3,1,
           4,1,
           5,1,
           6,1,0)</f>
        <v>1</v>
      </c>
      <c r="AH175" s="146">
        <f t="shared" si="103"/>
        <v>0</v>
      </c>
      <c r="AI175" s="90">
        <v>6004</v>
      </c>
      <c r="AJ175" s="90">
        <v>2010</v>
      </c>
      <c r="AK175" s="27">
        <v>6001</v>
      </c>
      <c r="AL175" s="123">
        <f>_xlfn.XLOOKUP(H175,'#각종 참고'!$B$11:$B$20,'#각종 참고'!$D$11:$D$20)</f>
        <v>0</v>
      </c>
      <c r="AM175" s="27">
        <v>1</v>
      </c>
      <c r="AN175" s="27">
        <v>1</v>
      </c>
      <c r="AO175" s="124">
        <f t="shared" si="100"/>
        <v>1</v>
      </c>
      <c r="AP175" s="27">
        <v>1</v>
      </c>
      <c r="AQ175" s="21">
        <v>14161011</v>
      </c>
      <c r="AR175" s="21" t="s">
        <v>2339</v>
      </c>
      <c r="AS175" s="68"/>
      <c r="AT175" s="68"/>
      <c r="AU175" s="68"/>
    </row>
    <row r="176" spans="1:47" x14ac:dyDescent="0.3">
      <c r="A176" s="19" t="s">
        <v>513</v>
      </c>
      <c r="B176" s="109">
        <v>14161003</v>
      </c>
      <c r="C176" s="99" t="str">
        <f t="shared" si="126"/>
        <v>4</v>
      </c>
      <c r="D176" s="121">
        <f>COUNTIFS($F$33:F176,F176, $G$33:G176,G176, $C$33:C176,C176, $L$33:L176,L176)</f>
        <v>3</v>
      </c>
      <c r="E176" s="20">
        <v>1</v>
      </c>
      <c r="F176" s="20">
        <v>1</v>
      </c>
      <c r="G176" s="20">
        <v>1</v>
      </c>
      <c r="H176" s="103" t="s">
        <v>960</v>
      </c>
      <c r="I176" s="20" t="s">
        <v>1635</v>
      </c>
      <c r="J176" s="104" t="str">
        <f t="shared" si="125"/>
        <v>Item_Name_14161003</v>
      </c>
      <c r="K176" s="20">
        <v>10104001</v>
      </c>
      <c r="L176" s="107">
        <f t="shared" si="74"/>
        <v>6</v>
      </c>
      <c r="M176" s="105">
        <f>IF(D176=0, 0, _xlfn.XLOOKUP($F176,'#무게관련'!$B:$B,'#무게관련'!$C:$C)*_xlfn.XLOOKUP($L176,'#무게관련'!$F:$F,'#무게관련'!$G:$G)*100)</f>
        <v>14000</v>
      </c>
      <c r="N176" s="20">
        <v>20200</v>
      </c>
      <c r="O176" s="20">
        <v>4</v>
      </c>
      <c r="P176" s="20">
        <v>15</v>
      </c>
      <c r="Q176" s="20">
        <v>1</v>
      </c>
      <c r="R176" s="20">
        <v>100</v>
      </c>
      <c r="S176" s="20">
        <v>1</v>
      </c>
      <c r="T176" s="109" t="s">
        <v>1858</v>
      </c>
      <c r="U176" s="104" t="str">
        <f t="shared" si="127"/>
        <v>item_bg_grade_06</v>
      </c>
      <c r="V176" s="20" t="s">
        <v>526</v>
      </c>
      <c r="W176" s="20" t="s">
        <v>330</v>
      </c>
      <c r="X176" s="104">
        <v>0</v>
      </c>
      <c r="Y176" s="104">
        <v>0</v>
      </c>
      <c r="Z176" s="104">
        <v>0</v>
      </c>
      <c r="AA176" s="104">
        <v>0</v>
      </c>
      <c r="AB176" s="104">
        <v>0</v>
      </c>
      <c r="AC176" s="104">
        <v>0</v>
      </c>
      <c r="AD176" s="142">
        <v>0</v>
      </c>
      <c r="AE176" s="112">
        <f t="shared" si="76"/>
        <v>70</v>
      </c>
      <c r="AF176" s="70">
        <v>4601010</v>
      </c>
      <c r="AG176" s="105" cm="1">
        <f t="array" ref="AG176">_xlfn.SWITCH(L176,3,1,
           4,1,
           5,1,
           6,1,0)</f>
        <v>1</v>
      </c>
      <c r="AH176" s="146">
        <f t="shared" si="103"/>
        <v>0</v>
      </c>
      <c r="AI176" s="90">
        <v>6004</v>
      </c>
      <c r="AJ176" s="90">
        <v>2010</v>
      </c>
      <c r="AK176" s="27">
        <v>6001</v>
      </c>
      <c r="AL176" s="123">
        <f>_xlfn.XLOOKUP(H176,'#각종 참고'!$B$11:$B$20,'#각종 참고'!$D$11:$D$20)</f>
        <v>0</v>
      </c>
      <c r="AM176" s="27">
        <v>1</v>
      </c>
      <c r="AN176" s="27">
        <v>1</v>
      </c>
      <c r="AO176" s="124">
        <f t="shared" si="100"/>
        <v>1</v>
      </c>
      <c r="AP176" s="27">
        <v>1</v>
      </c>
      <c r="AQ176" s="21">
        <v>14161021</v>
      </c>
      <c r="AR176" s="21" t="s">
        <v>2340</v>
      </c>
      <c r="AS176" s="68"/>
      <c r="AT176" s="68"/>
      <c r="AU176" s="68"/>
    </row>
    <row r="177" spans="1:47" s="68" customFormat="1" x14ac:dyDescent="0.3">
      <c r="A177" s="65"/>
      <c r="B177" s="110">
        <v>11112001</v>
      </c>
      <c r="C177" s="99" t="str">
        <f t="shared" si="1"/>
        <v>1</v>
      </c>
      <c r="D177" s="120">
        <f>COUNTIFS($F$33:F177,F177, $G$33:G177,G177, $C$33:C177,C177, $L$33:L177,L177)</f>
        <v>1</v>
      </c>
      <c r="E177" s="20">
        <v>1</v>
      </c>
      <c r="F177" s="66">
        <v>2</v>
      </c>
      <c r="G177" s="66">
        <v>1</v>
      </c>
      <c r="H177" s="103" t="s">
        <v>961</v>
      </c>
      <c r="I177" s="66" t="s">
        <v>1637</v>
      </c>
      <c r="J177" s="104" t="str">
        <f t="shared" si="125"/>
        <v>Item_Name_11112001</v>
      </c>
      <c r="K177" s="66">
        <v>10101001</v>
      </c>
      <c r="L177" s="106">
        <f t="shared" si="74"/>
        <v>1</v>
      </c>
      <c r="M177" s="105">
        <f>IF(D177=0, 0, _xlfn.XLOOKUP($F177,'#무게관련'!$B:$B,'#무게관련'!$C:$C)*_xlfn.XLOOKUP($L177,'#무게관련'!$F:$F,'#무게관련'!$G:$G)*100)</f>
        <v>6000</v>
      </c>
      <c r="N177" s="20">
        <v>20300</v>
      </c>
      <c r="O177" s="20">
        <v>1</v>
      </c>
      <c r="P177" s="66">
        <v>15</v>
      </c>
      <c r="Q177" s="20">
        <v>1</v>
      </c>
      <c r="R177" s="66">
        <v>100</v>
      </c>
      <c r="S177" s="66">
        <v>1</v>
      </c>
      <c r="T177" s="66" t="s">
        <v>1859</v>
      </c>
      <c r="U177" s="104" t="str">
        <f t="shared" si="117"/>
        <v>item_bg_grade_01</v>
      </c>
      <c r="V177" s="66" t="s">
        <v>321</v>
      </c>
      <c r="W177" s="66" t="s">
        <v>400</v>
      </c>
      <c r="X177" s="104">
        <v>0</v>
      </c>
      <c r="Y177" s="104">
        <v>0</v>
      </c>
      <c r="Z177" s="104">
        <v>0</v>
      </c>
      <c r="AA177" s="104">
        <v>0</v>
      </c>
      <c r="AB177" s="104">
        <v>0</v>
      </c>
      <c r="AC177" s="104">
        <v>0</v>
      </c>
      <c r="AD177" s="142">
        <v>0</v>
      </c>
      <c r="AE177" s="111">
        <f t="shared" si="76"/>
        <v>10</v>
      </c>
      <c r="AF177" s="70">
        <v>1102010</v>
      </c>
      <c r="AG177" s="105" cm="1">
        <f t="array" ref="AG177">_xlfn.SWITCH(L177,3,1,
           4,1,
           5,1,
           6,1,0)</f>
        <v>0</v>
      </c>
      <c r="AH177" s="147">
        <v>80101101</v>
      </c>
      <c r="AI177" s="90">
        <v>0</v>
      </c>
      <c r="AJ177" s="90">
        <v>0</v>
      </c>
      <c r="AK177" s="27">
        <v>0</v>
      </c>
      <c r="AL177" s="123">
        <f>_xlfn.XLOOKUP(H177,'#각종 참고'!$B$11:$B$20,'#각종 참고'!$D$11:$D$20)</f>
        <v>0</v>
      </c>
      <c r="AM177" s="27">
        <v>1</v>
      </c>
      <c r="AN177" s="27">
        <v>1</v>
      </c>
      <c r="AO177" s="124">
        <f t="shared" si="100"/>
        <v>1</v>
      </c>
      <c r="AP177" s="27">
        <v>1</v>
      </c>
      <c r="AQ177" s="21">
        <v>11112001</v>
      </c>
      <c r="AR177" s="68" t="s">
        <v>1637</v>
      </c>
    </row>
    <row r="178" spans="1:47" s="68" customFormat="1" x14ac:dyDescent="0.3">
      <c r="A178" s="65"/>
      <c r="B178" s="110">
        <v>11112002</v>
      </c>
      <c r="C178" s="99" t="str">
        <f t="shared" ref="C178:C179" si="128">IF(K178&gt;0,MID(K178,5, 1), 0)</f>
        <v>1</v>
      </c>
      <c r="D178" s="120">
        <f>COUNTIFS($F$33:F178,F178, $G$33:G178,G178, $C$33:C178,C178, $L$33:L178,L178)</f>
        <v>2</v>
      </c>
      <c r="E178" s="20">
        <v>1</v>
      </c>
      <c r="F178" s="66">
        <v>2</v>
      </c>
      <c r="G178" s="66">
        <v>1</v>
      </c>
      <c r="H178" s="103" t="s">
        <v>961</v>
      </c>
      <c r="I178" s="66" t="s">
        <v>2082</v>
      </c>
      <c r="J178" s="104" t="str">
        <f t="shared" si="125"/>
        <v>Item_Name_11112002</v>
      </c>
      <c r="K178" s="66">
        <v>10101001</v>
      </c>
      <c r="L178" s="106">
        <f t="shared" si="74"/>
        <v>1</v>
      </c>
      <c r="M178" s="105">
        <f>IF(D178=0, 0, _xlfn.XLOOKUP($F178,'#무게관련'!$B:$B,'#무게관련'!$C:$C)*_xlfn.XLOOKUP($L178,'#무게관련'!$F:$F,'#무게관련'!$G:$G)*100)</f>
        <v>6000</v>
      </c>
      <c r="N178" s="20">
        <v>20300</v>
      </c>
      <c r="O178" s="20">
        <v>1</v>
      </c>
      <c r="P178" s="66">
        <v>15</v>
      </c>
      <c r="Q178" s="20">
        <v>1</v>
      </c>
      <c r="R178" s="66">
        <v>100</v>
      </c>
      <c r="S178" s="66">
        <v>1</v>
      </c>
      <c r="T178" s="66" t="s">
        <v>1859</v>
      </c>
      <c r="U178" s="104" t="str">
        <f t="shared" ref="U178:U179" si="129">"item_bg_grade_0"&amp;L178</f>
        <v>item_bg_grade_01</v>
      </c>
      <c r="V178" s="66" t="s">
        <v>321</v>
      </c>
      <c r="W178" s="66" t="s">
        <v>400</v>
      </c>
      <c r="X178" s="104">
        <v>0</v>
      </c>
      <c r="Y178" s="104">
        <v>0</v>
      </c>
      <c r="Z178" s="104">
        <v>0</v>
      </c>
      <c r="AA178" s="104">
        <v>0</v>
      </c>
      <c r="AB178" s="104">
        <v>0</v>
      </c>
      <c r="AC178" s="104">
        <v>0</v>
      </c>
      <c r="AD178" s="142">
        <v>0</v>
      </c>
      <c r="AE178" s="111">
        <f t="shared" si="76"/>
        <v>10</v>
      </c>
      <c r="AF178" s="70">
        <v>1102020</v>
      </c>
      <c r="AG178" s="105" cm="1">
        <f t="array" ref="AG178">_xlfn.SWITCH(L178,3,1,
           4,1,
           5,1,
           6,1,0)</f>
        <v>0</v>
      </c>
      <c r="AH178" s="147">
        <v>80101101</v>
      </c>
      <c r="AI178" s="90">
        <v>0</v>
      </c>
      <c r="AJ178" s="90">
        <v>0</v>
      </c>
      <c r="AK178" s="27">
        <v>0</v>
      </c>
      <c r="AL178" s="123">
        <f>_xlfn.XLOOKUP(H178,'#각종 참고'!$B$11:$B$20,'#각종 참고'!$D$11:$D$20)</f>
        <v>0</v>
      </c>
      <c r="AM178" s="27">
        <v>1</v>
      </c>
      <c r="AN178" s="27">
        <v>1</v>
      </c>
      <c r="AO178" s="124">
        <f t="shared" si="100"/>
        <v>1</v>
      </c>
      <c r="AP178" s="27">
        <v>1</v>
      </c>
      <c r="AQ178" s="21">
        <v>11112011</v>
      </c>
      <c r="AR178" s="68" t="s">
        <v>2341</v>
      </c>
    </row>
    <row r="179" spans="1:47" s="68" customFormat="1" x14ac:dyDescent="0.3">
      <c r="A179" s="65"/>
      <c r="B179" s="110">
        <v>11112003</v>
      </c>
      <c r="C179" s="99" t="str">
        <f t="shared" si="128"/>
        <v>1</v>
      </c>
      <c r="D179" s="120">
        <f>COUNTIFS($F$33:F179,F179, $G$33:G179,G179, $C$33:C179,C179, $L$33:L179,L179)</f>
        <v>3</v>
      </c>
      <c r="E179" s="20">
        <v>1</v>
      </c>
      <c r="F179" s="66">
        <v>2</v>
      </c>
      <c r="G179" s="66">
        <v>1</v>
      </c>
      <c r="H179" s="103" t="s">
        <v>961</v>
      </c>
      <c r="I179" s="66" t="s">
        <v>2081</v>
      </c>
      <c r="J179" s="104" t="str">
        <f t="shared" si="125"/>
        <v>Item_Name_11112003</v>
      </c>
      <c r="K179" s="66">
        <v>10101001</v>
      </c>
      <c r="L179" s="106">
        <f t="shared" ref="L179:L242" si="130">L161</f>
        <v>1</v>
      </c>
      <c r="M179" s="105">
        <f>IF(D179=0, 0, _xlfn.XLOOKUP($F179,'#무게관련'!$B:$B,'#무게관련'!$C:$C)*_xlfn.XLOOKUP($L179,'#무게관련'!$F:$F,'#무게관련'!$G:$G)*100)</f>
        <v>6000</v>
      </c>
      <c r="N179" s="20">
        <v>20300</v>
      </c>
      <c r="O179" s="20">
        <v>1</v>
      </c>
      <c r="P179" s="66">
        <v>15</v>
      </c>
      <c r="Q179" s="20">
        <v>1</v>
      </c>
      <c r="R179" s="66">
        <v>100</v>
      </c>
      <c r="S179" s="66">
        <v>1</v>
      </c>
      <c r="T179" s="66" t="s">
        <v>1859</v>
      </c>
      <c r="U179" s="104" t="str">
        <f t="shared" si="129"/>
        <v>item_bg_grade_01</v>
      </c>
      <c r="V179" s="66" t="s">
        <v>321</v>
      </c>
      <c r="W179" s="66" t="s">
        <v>400</v>
      </c>
      <c r="X179" s="104">
        <v>0</v>
      </c>
      <c r="Y179" s="104">
        <v>0</v>
      </c>
      <c r="Z179" s="104">
        <v>0</v>
      </c>
      <c r="AA179" s="104">
        <v>0</v>
      </c>
      <c r="AB179" s="104">
        <v>0</v>
      </c>
      <c r="AC179" s="104">
        <v>0</v>
      </c>
      <c r="AD179" s="142">
        <v>0</v>
      </c>
      <c r="AE179" s="111">
        <f t="shared" ref="AE179:AE242" si="131">AE161</f>
        <v>10</v>
      </c>
      <c r="AF179" s="70">
        <v>1102030</v>
      </c>
      <c r="AG179" s="105" cm="1">
        <f t="array" ref="AG179">_xlfn.SWITCH(L179,3,1,
           4,1,
           5,1,
           6,1,0)</f>
        <v>0</v>
      </c>
      <c r="AH179" s="147">
        <v>80101101</v>
      </c>
      <c r="AI179" s="90">
        <v>0</v>
      </c>
      <c r="AJ179" s="90">
        <v>0</v>
      </c>
      <c r="AK179" s="27">
        <v>0</v>
      </c>
      <c r="AL179" s="123">
        <f>_xlfn.XLOOKUP(H179,'#각종 참고'!$B$11:$B$20,'#각종 참고'!$D$11:$D$20)</f>
        <v>0</v>
      </c>
      <c r="AM179" s="27">
        <v>1</v>
      </c>
      <c r="AN179" s="27">
        <v>1</v>
      </c>
      <c r="AO179" s="124">
        <f t="shared" si="100"/>
        <v>1</v>
      </c>
      <c r="AP179" s="27">
        <v>1</v>
      </c>
      <c r="AQ179" s="21">
        <v>11112021</v>
      </c>
      <c r="AR179" s="68" t="s">
        <v>2342</v>
      </c>
    </row>
    <row r="180" spans="1:47" x14ac:dyDescent="0.3">
      <c r="A180" s="19"/>
      <c r="B180" s="109">
        <v>11122001</v>
      </c>
      <c r="C180" s="99" t="str">
        <f t="shared" si="1"/>
        <v>1</v>
      </c>
      <c r="D180" s="121">
        <f>COUNTIFS($F$33:F180,F180, $G$33:G180,G180, $C$33:C180,C180, $L$33:L180,L180)</f>
        <v>1</v>
      </c>
      <c r="E180" s="20">
        <v>1</v>
      </c>
      <c r="F180" s="20">
        <v>2</v>
      </c>
      <c r="G180" s="20">
        <v>1</v>
      </c>
      <c r="H180" s="103" t="s">
        <v>961</v>
      </c>
      <c r="I180" s="20" t="s">
        <v>1638</v>
      </c>
      <c r="J180" s="104" t="str">
        <f t="shared" si="125"/>
        <v>Item_Name_11122001</v>
      </c>
      <c r="K180" s="20">
        <v>10101001</v>
      </c>
      <c r="L180" s="108">
        <f t="shared" si="130"/>
        <v>2</v>
      </c>
      <c r="M180" s="105">
        <f>IF(D180=0, 0, _xlfn.XLOOKUP($F180,'#무게관련'!$B:$B,'#무게관련'!$C:$C)*_xlfn.XLOOKUP($L180,'#무게관련'!$F:$F,'#무게관련'!$G:$G)*100)</f>
        <v>6000</v>
      </c>
      <c r="N180" s="20">
        <v>20300</v>
      </c>
      <c r="O180" s="20">
        <v>1</v>
      </c>
      <c r="P180" s="20">
        <v>15</v>
      </c>
      <c r="Q180" s="20">
        <v>1</v>
      </c>
      <c r="R180" s="20">
        <v>100</v>
      </c>
      <c r="S180" s="20">
        <v>1</v>
      </c>
      <c r="T180" s="20" t="s">
        <v>1860</v>
      </c>
      <c r="U180" s="104" t="str">
        <f t="shared" si="117"/>
        <v>item_bg_grade_02</v>
      </c>
      <c r="V180" s="20" t="s">
        <v>321</v>
      </c>
      <c r="W180" s="20" t="s">
        <v>400</v>
      </c>
      <c r="X180" s="104">
        <v>0</v>
      </c>
      <c r="Y180" s="104">
        <v>0</v>
      </c>
      <c r="Z180" s="104">
        <v>0</v>
      </c>
      <c r="AA180" s="104">
        <v>0</v>
      </c>
      <c r="AB180" s="104">
        <v>0</v>
      </c>
      <c r="AC180" s="104">
        <v>0</v>
      </c>
      <c r="AD180" s="142">
        <v>0</v>
      </c>
      <c r="AE180" s="112">
        <f t="shared" si="131"/>
        <v>20</v>
      </c>
      <c r="AF180" s="70">
        <v>1202010</v>
      </c>
      <c r="AG180" s="105" cm="1">
        <f t="array" ref="AG180">_xlfn.SWITCH(L180,3,1,
           4,1,
           5,1,
           6,1,0)</f>
        <v>0</v>
      </c>
      <c r="AH180" s="147">
        <v>80101201</v>
      </c>
      <c r="AI180" s="90">
        <v>6000</v>
      </c>
      <c r="AJ180" s="90">
        <v>3002</v>
      </c>
      <c r="AK180" s="27">
        <v>2002</v>
      </c>
      <c r="AL180" s="123">
        <f>_xlfn.XLOOKUP(H180,'#각종 참고'!$B$11:$B$20,'#각종 참고'!$D$11:$D$20)</f>
        <v>0</v>
      </c>
      <c r="AM180" s="27">
        <v>1</v>
      </c>
      <c r="AN180" s="27">
        <v>1</v>
      </c>
      <c r="AO180" s="124">
        <f t="shared" si="100"/>
        <v>1</v>
      </c>
      <c r="AP180" s="27">
        <v>1</v>
      </c>
      <c r="AQ180" s="21">
        <v>11122001</v>
      </c>
      <c r="AR180" s="21" t="s">
        <v>1638</v>
      </c>
      <c r="AS180" s="68"/>
      <c r="AT180" s="68"/>
      <c r="AU180" s="68"/>
    </row>
    <row r="181" spans="1:47" x14ac:dyDescent="0.3">
      <c r="A181" s="19"/>
      <c r="B181" s="109">
        <v>11122002</v>
      </c>
      <c r="C181" s="99" t="str">
        <f t="shared" ref="C181:C182" si="132">IF(K181&gt;0,MID(K181,5, 1), 0)</f>
        <v>1</v>
      </c>
      <c r="D181" s="121">
        <f>COUNTIFS($F$33:F181,F181, $G$33:G181,G181, $C$33:C181,C181, $L$33:L181,L181)</f>
        <v>2</v>
      </c>
      <c r="E181" s="20">
        <v>1</v>
      </c>
      <c r="F181" s="20">
        <v>2</v>
      </c>
      <c r="G181" s="20">
        <v>1</v>
      </c>
      <c r="H181" s="103" t="s">
        <v>961</v>
      </c>
      <c r="I181" s="20" t="s">
        <v>2083</v>
      </c>
      <c r="J181" s="104" t="str">
        <f t="shared" si="125"/>
        <v>Item_Name_11122002</v>
      </c>
      <c r="K181" s="20">
        <v>10101001</v>
      </c>
      <c r="L181" s="108">
        <f t="shared" si="130"/>
        <v>2</v>
      </c>
      <c r="M181" s="105">
        <f>IF(D181=0, 0, _xlfn.XLOOKUP($F181,'#무게관련'!$B:$B,'#무게관련'!$C:$C)*_xlfn.XLOOKUP($L181,'#무게관련'!$F:$F,'#무게관련'!$G:$G)*100)</f>
        <v>6000</v>
      </c>
      <c r="N181" s="20">
        <v>20300</v>
      </c>
      <c r="O181" s="20">
        <v>1</v>
      </c>
      <c r="P181" s="20">
        <v>15</v>
      </c>
      <c r="Q181" s="20">
        <v>1</v>
      </c>
      <c r="R181" s="20">
        <v>100</v>
      </c>
      <c r="S181" s="20">
        <v>1</v>
      </c>
      <c r="T181" s="20" t="s">
        <v>1860</v>
      </c>
      <c r="U181" s="104" t="str">
        <f t="shared" ref="U181:U182" si="133">"item_bg_grade_0"&amp;L181</f>
        <v>item_bg_grade_02</v>
      </c>
      <c r="V181" s="20" t="s">
        <v>321</v>
      </c>
      <c r="W181" s="20" t="s">
        <v>400</v>
      </c>
      <c r="X181" s="104">
        <v>0</v>
      </c>
      <c r="Y181" s="104">
        <v>0</v>
      </c>
      <c r="Z181" s="104">
        <v>0</v>
      </c>
      <c r="AA181" s="104">
        <v>0</v>
      </c>
      <c r="AB181" s="104">
        <v>0</v>
      </c>
      <c r="AC181" s="104">
        <v>0</v>
      </c>
      <c r="AD181" s="142">
        <v>0</v>
      </c>
      <c r="AE181" s="112">
        <f t="shared" si="131"/>
        <v>20</v>
      </c>
      <c r="AF181" s="70">
        <v>1202020</v>
      </c>
      <c r="AG181" s="105" cm="1">
        <f t="array" ref="AG181">_xlfn.SWITCH(L181,3,1,
           4,1,
           5,1,
           6,1,0)</f>
        <v>0</v>
      </c>
      <c r="AH181" s="147">
        <v>80101201</v>
      </c>
      <c r="AI181" s="90">
        <v>6000</v>
      </c>
      <c r="AJ181" s="90">
        <v>3002</v>
      </c>
      <c r="AK181" s="27">
        <v>2002</v>
      </c>
      <c r="AL181" s="123">
        <f>_xlfn.XLOOKUP(H181,'#각종 참고'!$B$11:$B$20,'#각종 참고'!$D$11:$D$20)</f>
        <v>0</v>
      </c>
      <c r="AM181" s="27">
        <v>1</v>
      </c>
      <c r="AN181" s="27">
        <v>1</v>
      </c>
      <c r="AO181" s="124">
        <f t="shared" si="100"/>
        <v>1</v>
      </c>
      <c r="AP181" s="27">
        <v>1</v>
      </c>
      <c r="AQ181" s="21">
        <v>11122011</v>
      </c>
      <c r="AR181" s="21" t="s">
        <v>2343</v>
      </c>
      <c r="AS181" s="68"/>
      <c r="AT181" s="68"/>
      <c r="AU181" s="68"/>
    </row>
    <row r="182" spans="1:47" x14ac:dyDescent="0.3">
      <c r="A182" s="19"/>
      <c r="B182" s="109">
        <v>11122003</v>
      </c>
      <c r="C182" s="99" t="str">
        <f t="shared" si="132"/>
        <v>1</v>
      </c>
      <c r="D182" s="121">
        <f>COUNTIFS($F$33:F182,F182, $G$33:G182,G182, $C$33:C182,C182, $L$33:L182,L182)</f>
        <v>3</v>
      </c>
      <c r="E182" s="20">
        <v>1</v>
      </c>
      <c r="F182" s="20">
        <v>2</v>
      </c>
      <c r="G182" s="20">
        <v>1</v>
      </c>
      <c r="H182" s="103" t="s">
        <v>961</v>
      </c>
      <c r="I182" s="20" t="s">
        <v>1974</v>
      </c>
      <c r="J182" s="104" t="str">
        <f t="shared" si="125"/>
        <v>Item_Name_11122003</v>
      </c>
      <c r="K182" s="20">
        <v>10101001</v>
      </c>
      <c r="L182" s="108">
        <f t="shared" si="130"/>
        <v>2</v>
      </c>
      <c r="M182" s="105">
        <f>IF(D182=0, 0, _xlfn.XLOOKUP($F182,'#무게관련'!$B:$B,'#무게관련'!$C:$C)*_xlfn.XLOOKUP($L182,'#무게관련'!$F:$F,'#무게관련'!$G:$G)*100)</f>
        <v>6000</v>
      </c>
      <c r="N182" s="20">
        <v>20300</v>
      </c>
      <c r="O182" s="20">
        <v>1</v>
      </c>
      <c r="P182" s="20">
        <v>15</v>
      </c>
      <c r="Q182" s="20">
        <v>1</v>
      </c>
      <c r="R182" s="20">
        <v>100</v>
      </c>
      <c r="S182" s="20">
        <v>1</v>
      </c>
      <c r="T182" s="20" t="s">
        <v>1860</v>
      </c>
      <c r="U182" s="104" t="str">
        <f t="shared" si="133"/>
        <v>item_bg_grade_02</v>
      </c>
      <c r="V182" s="20" t="s">
        <v>321</v>
      </c>
      <c r="W182" s="20" t="s">
        <v>400</v>
      </c>
      <c r="X182" s="104">
        <v>0</v>
      </c>
      <c r="Y182" s="104">
        <v>0</v>
      </c>
      <c r="Z182" s="104">
        <v>0</v>
      </c>
      <c r="AA182" s="104">
        <v>0</v>
      </c>
      <c r="AB182" s="104">
        <v>0</v>
      </c>
      <c r="AC182" s="104">
        <v>0</v>
      </c>
      <c r="AD182" s="142">
        <v>0</v>
      </c>
      <c r="AE182" s="112">
        <f t="shared" si="131"/>
        <v>20</v>
      </c>
      <c r="AF182" s="70">
        <v>1202030</v>
      </c>
      <c r="AG182" s="105" cm="1">
        <f t="array" ref="AG182">_xlfn.SWITCH(L182,3,1,
           4,1,
           5,1,
           6,1,0)</f>
        <v>0</v>
      </c>
      <c r="AH182" s="147">
        <v>80101201</v>
      </c>
      <c r="AI182" s="90">
        <v>6000</v>
      </c>
      <c r="AJ182" s="90">
        <v>3002</v>
      </c>
      <c r="AK182" s="27">
        <v>2002</v>
      </c>
      <c r="AL182" s="123">
        <f>_xlfn.XLOOKUP(H182,'#각종 참고'!$B$11:$B$20,'#각종 참고'!$D$11:$D$20)</f>
        <v>0</v>
      </c>
      <c r="AM182" s="27">
        <v>1</v>
      </c>
      <c r="AN182" s="27">
        <v>1</v>
      </c>
      <c r="AO182" s="124">
        <f t="shared" si="100"/>
        <v>1</v>
      </c>
      <c r="AP182" s="27">
        <v>1</v>
      </c>
      <c r="AQ182" s="21">
        <v>11122021</v>
      </c>
      <c r="AR182" s="21" t="s">
        <v>2344</v>
      </c>
      <c r="AS182" s="68"/>
      <c r="AT182" s="68"/>
      <c r="AU182" s="68"/>
    </row>
    <row r="183" spans="1:47" x14ac:dyDescent="0.3">
      <c r="A183" s="19"/>
      <c r="B183" s="109">
        <v>11132001</v>
      </c>
      <c r="C183" s="99" t="str">
        <f t="shared" si="1"/>
        <v>1</v>
      </c>
      <c r="D183" s="121">
        <f>COUNTIFS($F$33:F183,F183, $G$33:G183,G183, $C$33:C183,C183, $L$33:L183,L183)</f>
        <v>1</v>
      </c>
      <c r="E183" s="20">
        <v>1</v>
      </c>
      <c r="F183" s="20">
        <v>2</v>
      </c>
      <c r="G183" s="20">
        <v>1</v>
      </c>
      <c r="H183" s="103" t="s">
        <v>961</v>
      </c>
      <c r="I183" s="20" t="s">
        <v>1639</v>
      </c>
      <c r="J183" s="104" t="str">
        <f t="shared" si="125"/>
        <v>Item_Name_11132001</v>
      </c>
      <c r="K183" s="20">
        <v>10101001</v>
      </c>
      <c r="L183" s="108">
        <f t="shared" si="130"/>
        <v>3</v>
      </c>
      <c r="M183" s="105">
        <f>IF(D183=0, 0, _xlfn.XLOOKUP($F183,'#무게관련'!$B:$B,'#무게관련'!$C:$C)*_xlfn.XLOOKUP($L183,'#무게관련'!$F:$F,'#무게관련'!$G:$G)*100)</f>
        <v>6000</v>
      </c>
      <c r="N183" s="20">
        <v>20300</v>
      </c>
      <c r="O183" s="20">
        <v>1</v>
      </c>
      <c r="P183" s="20">
        <v>15</v>
      </c>
      <c r="Q183" s="20">
        <v>1</v>
      </c>
      <c r="R183" s="20">
        <v>100</v>
      </c>
      <c r="S183" s="20">
        <v>1</v>
      </c>
      <c r="T183" s="20" t="s">
        <v>1861</v>
      </c>
      <c r="U183" s="104" t="str">
        <f t="shared" si="117"/>
        <v>item_bg_grade_03</v>
      </c>
      <c r="V183" s="20" t="s">
        <v>321</v>
      </c>
      <c r="W183" s="20" t="s">
        <v>400</v>
      </c>
      <c r="X183" s="104">
        <v>0</v>
      </c>
      <c r="Y183" s="104">
        <v>0</v>
      </c>
      <c r="Z183" s="104">
        <v>0</v>
      </c>
      <c r="AA183" s="104">
        <v>0</v>
      </c>
      <c r="AB183" s="104">
        <v>0</v>
      </c>
      <c r="AC183" s="104">
        <v>0</v>
      </c>
      <c r="AD183" s="142">
        <v>0</v>
      </c>
      <c r="AE183" s="112">
        <f t="shared" si="131"/>
        <v>30</v>
      </c>
      <c r="AF183" s="70">
        <v>1302010</v>
      </c>
      <c r="AG183" s="105" cm="1">
        <f t="array" ref="AG183">_xlfn.SWITCH(L183,3,1,
           4,1,
           5,1,
           6,1,0)</f>
        <v>1</v>
      </c>
      <c r="AH183" s="147">
        <v>80101301</v>
      </c>
      <c r="AI183" s="90">
        <v>6001</v>
      </c>
      <c r="AJ183" s="90">
        <v>3004</v>
      </c>
      <c r="AK183" s="27">
        <v>3002</v>
      </c>
      <c r="AL183" s="123">
        <f>_xlfn.XLOOKUP(H183,'#각종 참고'!$B$11:$B$20,'#각종 참고'!$D$11:$D$20)</f>
        <v>0</v>
      </c>
      <c r="AM183" s="27">
        <v>1</v>
      </c>
      <c r="AN183" s="27">
        <v>1</v>
      </c>
      <c r="AO183" s="124">
        <f t="shared" si="100"/>
        <v>1</v>
      </c>
      <c r="AP183" s="27">
        <v>1</v>
      </c>
      <c r="AQ183" s="21">
        <v>11132001</v>
      </c>
      <c r="AR183" s="21" t="s">
        <v>1639</v>
      </c>
      <c r="AS183" s="68"/>
      <c r="AT183" s="68"/>
      <c r="AU183" s="68"/>
    </row>
    <row r="184" spans="1:47" x14ac:dyDescent="0.3">
      <c r="A184" s="19"/>
      <c r="B184" s="109">
        <v>11132002</v>
      </c>
      <c r="C184" s="99" t="str">
        <f t="shared" ref="C184:C185" si="134">IF(K184&gt;0,MID(K184,5, 1), 0)</f>
        <v>1</v>
      </c>
      <c r="D184" s="121">
        <f>COUNTIFS($F$33:F184,F184, $G$33:G184,G184, $C$33:C184,C184, $L$33:L184,L184)</f>
        <v>2</v>
      </c>
      <c r="E184" s="20">
        <v>1</v>
      </c>
      <c r="F184" s="20">
        <v>2</v>
      </c>
      <c r="G184" s="20">
        <v>1</v>
      </c>
      <c r="H184" s="103" t="s">
        <v>961</v>
      </c>
      <c r="I184" s="20" t="s">
        <v>1640</v>
      </c>
      <c r="J184" s="104" t="str">
        <f t="shared" si="125"/>
        <v>Item_Name_11132002</v>
      </c>
      <c r="K184" s="20">
        <v>10101001</v>
      </c>
      <c r="L184" s="108">
        <f t="shared" si="130"/>
        <v>3</v>
      </c>
      <c r="M184" s="105">
        <f>IF(D184=0, 0, _xlfn.XLOOKUP($F184,'#무게관련'!$B:$B,'#무게관련'!$C:$C)*_xlfn.XLOOKUP($L184,'#무게관련'!$F:$F,'#무게관련'!$G:$G)*100)</f>
        <v>6000</v>
      </c>
      <c r="N184" s="20">
        <v>20300</v>
      </c>
      <c r="O184" s="20">
        <v>1</v>
      </c>
      <c r="P184" s="20">
        <v>15</v>
      </c>
      <c r="Q184" s="20">
        <v>1</v>
      </c>
      <c r="R184" s="20">
        <v>100</v>
      </c>
      <c r="S184" s="20">
        <v>1</v>
      </c>
      <c r="T184" s="20" t="s">
        <v>1861</v>
      </c>
      <c r="U184" s="104" t="str">
        <f t="shared" ref="U184:U185" si="135">"item_bg_grade_0"&amp;L184</f>
        <v>item_bg_grade_03</v>
      </c>
      <c r="V184" s="20" t="s">
        <v>321</v>
      </c>
      <c r="W184" s="20" t="s">
        <v>400</v>
      </c>
      <c r="X184" s="104">
        <v>0</v>
      </c>
      <c r="Y184" s="104">
        <v>0</v>
      </c>
      <c r="Z184" s="104">
        <v>0</v>
      </c>
      <c r="AA184" s="104">
        <v>0</v>
      </c>
      <c r="AB184" s="104">
        <v>0</v>
      </c>
      <c r="AC184" s="104">
        <v>0</v>
      </c>
      <c r="AD184" s="142">
        <v>0</v>
      </c>
      <c r="AE184" s="112">
        <f t="shared" si="131"/>
        <v>30</v>
      </c>
      <c r="AF184" s="70">
        <v>1302020</v>
      </c>
      <c r="AG184" s="105" cm="1">
        <f t="array" ref="AG184">_xlfn.SWITCH(L184,3,1,
           4,1,
           5,1,
           6,1,0)</f>
        <v>1</v>
      </c>
      <c r="AH184" s="147">
        <v>80101301</v>
      </c>
      <c r="AI184" s="90">
        <v>6001</v>
      </c>
      <c r="AJ184" s="90">
        <v>3004</v>
      </c>
      <c r="AK184" s="27">
        <v>3002</v>
      </c>
      <c r="AL184" s="123">
        <f>_xlfn.XLOOKUP(H184,'#각종 참고'!$B$11:$B$20,'#각종 참고'!$D$11:$D$20)</f>
        <v>0</v>
      </c>
      <c r="AM184" s="27">
        <v>1</v>
      </c>
      <c r="AN184" s="27">
        <v>1</v>
      </c>
      <c r="AO184" s="124">
        <f t="shared" si="100"/>
        <v>1</v>
      </c>
      <c r="AP184" s="27">
        <v>1</v>
      </c>
      <c r="AQ184" s="21">
        <v>11132011</v>
      </c>
      <c r="AR184" s="21" t="s">
        <v>2345</v>
      </c>
      <c r="AS184" s="68"/>
      <c r="AT184" s="68"/>
      <c r="AU184" s="68"/>
    </row>
    <row r="185" spans="1:47" x14ac:dyDescent="0.3">
      <c r="A185" s="19"/>
      <c r="B185" s="109">
        <v>11132003</v>
      </c>
      <c r="C185" s="99" t="str">
        <f t="shared" si="134"/>
        <v>1</v>
      </c>
      <c r="D185" s="121">
        <f>COUNTIFS($F$33:F185,F185, $G$33:G185,G185, $C$33:C185,C185, $L$33:L185,L185)</f>
        <v>3</v>
      </c>
      <c r="E185" s="20">
        <v>1</v>
      </c>
      <c r="F185" s="20">
        <v>2</v>
      </c>
      <c r="G185" s="20">
        <v>1</v>
      </c>
      <c r="H185" s="103" t="s">
        <v>961</v>
      </c>
      <c r="I185" s="20" t="s">
        <v>2084</v>
      </c>
      <c r="J185" s="104" t="str">
        <f t="shared" si="125"/>
        <v>Item_Name_11132003</v>
      </c>
      <c r="K185" s="20">
        <v>10101001</v>
      </c>
      <c r="L185" s="108">
        <f t="shared" si="130"/>
        <v>3</v>
      </c>
      <c r="M185" s="105">
        <f>IF(D185=0, 0, _xlfn.XLOOKUP($F185,'#무게관련'!$B:$B,'#무게관련'!$C:$C)*_xlfn.XLOOKUP($L185,'#무게관련'!$F:$F,'#무게관련'!$G:$G)*100)</f>
        <v>6000</v>
      </c>
      <c r="N185" s="20">
        <v>20300</v>
      </c>
      <c r="O185" s="20">
        <v>1</v>
      </c>
      <c r="P185" s="20">
        <v>15</v>
      </c>
      <c r="Q185" s="20">
        <v>1</v>
      </c>
      <c r="R185" s="20">
        <v>100</v>
      </c>
      <c r="S185" s="20">
        <v>1</v>
      </c>
      <c r="T185" s="20" t="s">
        <v>1861</v>
      </c>
      <c r="U185" s="104" t="str">
        <f t="shared" si="135"/>
        <v>item_bg_grade_03</v>
      </c>
      <c r="V185" s="20" t="s">
        <v>321</v>
      </c>
      <c r="W185" s="20" t="s">
        <v>400</v>
      </c>
      <c r="X185" s="104">
        <v>0</v>
      </c>
      <c r="Y185" s="104">
        <v>0</v>
      </c>
      <c r="Z185" s="104">
        <v>0</v>
      </c>
      <c r="AA185" s="104">
        <v>0</v>
      </c>
      <c r="AB185" s="104">
        <v>0</v>
      </c>
      <c r="AC185" s="104">
        <v>0</v>
      </c>
      <c r="AD185" s="142">
        <v>0</v>
      </c>
      <c r="AE185" s="112">
        <f t="shared" si="131"/>
        <v>30</v>
      </c>
      <c r="AF185" s="70">
        <v>1302030</v>
      </c>
      <c r="AG185" s="105" cm="1">
        <f t="array" ref="AG185">_xlfn.SWITCH(L185,3,1,
           4,1,
           5,1,
           6,1,0)</f>
        <v>1</v>
      </c>
      <c r="AH185" s="147">
        <v>80101301</v>
      </c>
      <c r="AI185" s="90">
        <v>6001</v>
      </c>
      <c r="AJ185" s="90">
        <v>3004</v>
      </c>
      <c r="AK185" s="27">
        <v>3002</v>
      </c>
      <c r="AL185" s="123">
        <f>_xlfn.XLOOKUP(H185,'#각종 참고'!$B$11:$B$20,'#각종 참고'!$D$11:$D$20)</f>
        <v>0</v>
      </c>
      <c r="AM185" s="27">
        <v>1</v>
      </c>
      <c r="AN185" s="27">
        <v>1</v>
      </c>
      <c r="AO185" s="124">
        <f t="shared" si="100"/>
        <v>1</v>
      </c>
      <c r="AP185" s="27">
        <v>1</v>
      </c>
      <c r="AQ185" s="21">
        <v>11132021</v>
      </c>
      <c r="AR185" s="21" t="s">
        <v>2346</v>
      </c>
      <c r="AS185" s="68"/>
      <c r="AT185" s="68"/>
      <c r="AU185" s="68"/>
    </row>
    <row r="186" spans="1:47" x14ac:dyDescent="0.3">
      <c r="A186" s="19"/>
      <c r="B186" s="109">
        <v>11142001</v>
      </c>
      <c r="C186" s="99" t="str">
        <f t="shared" si="1"/>
        <v>1</v>
      </c>
      <c r="D186" s="121">
        <f>COUNTIFS($F$33:F186,F186, $G$33:G186,G186, $C$33:C186,C186, $L$33:L186,L186)</f>
        <v>1</v>
      </c>
      <c r="E186" s="20">
        <v>1</v>
      </c>
      <c r="F186" s="20">
        <v>2</v>
      </c>
      <c r="G186" s="20">
        <v>1</v>
      </c>
      <c r="H186" s="103" t="s">
        <v>961</v>
      </c>
      <c r="I186" s="20" t="s">
        <v>1641</v>
      </c>
      <c r="J186" s="104" t="str">
        <f t="shared" si="125"/>
        <v>Item_Name_11142001</v>
      </c>
      <c r="K186" s="20">
        <v>10101001</v>
      </c>
      <c r="L186" s="108">
        <f t="shared" si="130"/>
        <v>4</v>
      </c>
      <c r="M186" s="105">
        <f>IF(D186=0, 0, _xlfn.XLOOKUP($F186,'#무게관련'!$B:$B,'#무게관련'!$C:$C)*_xlfn.XLOOKUP($L186,'#무게관련'!$F:$F,'#무게관련'!$G:$G)*100)</f>
        <v>6000</v>
      </c>
      <c r="N186" s="20">
        <v>20300</v>
      </c>
      <c r="O186" s="20">
        <v>1</v>
      </c>
      <c r="P186" s="20">
        <v>15</v>
      </c>
      <c r="Q186" s="20">
        <v>1</v>
      </c>
      <c r="R186" s="20">
        <v>100</v>
      </c>
      <c r="S186" s="20">
        <v>1</v>
      </c>
      <c r="T186" s="20" t="s">
        <v>1862</v>
      </c>
      <c r="U186" s="104" t="str">
        <f t="shared" si="117"/>
        <v>item_bg_grade_04</v>
      </c>
      <c r="V186" s="20" t="s">
        <v>321</v>
      </c>
      <c r="W186" s="20" t="s">
        <v>400</v>
      </c>
      <c r="X186" s="104">
        <v>0</v>
      </c>
      <c r="Y186" s="104">
        <v>0</v>
      </c>
      <c r="Z186" s="104">
        <v>0</v>
      </c>
      <c r="AA186" s="104">
        <v>0</v>
      </c>
      <c r="AB186" s="104">
        <v>0</v>
      </c>
      <c r="AC186" s="104">
        <v>0</v>
      </c>
      <c r="AD186" s="142">
        <v>0</v>
      </c>
      <c r="AE186" s="112">
        <f t="shared" si="131"/>
        <v>40</v>
      </c>
      <c r="AF186" s="70">
        <v>1402010</v>
      </c>
      <c r="AG186" s="105" cm="1">
        <f t="array" ref="AG186">_xlfn.SWITCH(L186,3,1,
           4,1,
           5,1,
           6,1,0)</f>
        <v>1</v>
      </c>
      <c r="AH186" s="147">
        <v>80101401</v>
      </c>
      <c r="AI186" s="90">
        <v>6002</v>
      </c>
      <c r="AJ186" s="90">
        <v>3006</v>
      </c>
      <c r="AK186" s="27">
        <v>4002</v>
      </c>
      <c r="AL186" s="123">
        <f>_xlfn.XLOOKUP(H186,'#각종 참고'!$B$11:$B$20,'#각종 참고'!$D$11:$D$20)</f>
        <v>0</v>
      </c>
      <c r="AM186" s="27">
        <v>1</v>
      </c>
      <c r="AN186" s="27">
        <v>1</v>
      </c>
      <c r="AO186" s="124">
        <f t="shared" ref="AO186:AO227" si="136">IF(AM186=1,AM186,AL186)</f>
        <v>1</v>
      </c>
      <c r="AP186" s="27">
        <v>1</v>
      </c>
      <c r="AQ186" s="21">
        <v>11142001</v>
      </c>
      <c r="AR186" s="21" t="s">
        <v>1641</v>
      </c>
      <c r="AS186" s="68"/>
      <c r="AT186" s="68"/>
      <c r="AU186" s="68"/>
    </row>
    <row r="187" spans="1:47" x14ac:dyDescent="0.3">
      <c r="A187" s="19"/>
      <c r="B187" s="109">
        <v>11142002</v>
      </c>
      <c r="C187" s="99" t="str">
        <f t="shared" ref="C187:C188" si="137">IF(K187&gt;0,MID(K187,5, 1), 0)</f>
        <v>1</v>
      </c>
      <c r="D187" s="121">
        <f>COUNTIFS($F$33:F187,F187, $G$33:G187,G187, $C$33:C187,C187, $L$33:L187,L187)</f>
        <v>2</v>
      </c>
      <c r="E187" s="20">
        <v>1</v>
      </c>
      <c r="F187" s="20">
        <v>2</v>
      </c>
      <c r="G187" s="20">
        <v>1</v>
      </c>
      <c r="H187" s="103" t="s">
        <v>961</v>
      </c>
      <c r="I187" s="20" t="s">
        <v>1642</v>
      </c>
      <c r="J187" s="104" t="str">
        <f t="shared" si="125"/>
        <v>Item_Name_11142002</v>
      </c>
      <c r="K187" s="20">
        <v>10101001</v>
      </c>
      <c r="L187" s="108">
        <f t="shared" si="130"/>
        <v>4</v>
      </c>
      <c r="M187" s="105">
        <f>IF(D187=0, 0, _xlfn.XLOOKUP($F187,'#무게관련'!$B:$B,'#무게관련'!$C:$C)*_xlfn.XLOOKUP($L187,'#무게관련'!$F:$F,'#무게관련'!$G:$G)*100)</f>
        <v>6000</v>
      </c>
      <c r="N187" s="20">
        <v>20300</v>
      </c>
      <c r="O187" s="20">
        <v>1</v>
      </c>
      <c r="P187" s="20">
        <v>15</v>
      </c>
      <c r="Q187" s="20">
        <v>1</v>
      </c>
      <c r="R187" s="20">
        <v>100</v>
      </c>
      <c r="S187" s="20">
        <v>1</v>
      </c>
      <c r="T187" s="20" t="s">
        <v>1862</v>
      </c>
      <c r="U187" s="104" t="str">
        <f t="shared" ref="U187:U188" si="138">"item_bg_grade_0"&amp;L187</f>
        <v>item_bg_grade_04</v>
      </c>
      <c r="V187" s="20" t="s">
        <v>321</v>
      </c>
      <c r="W187" s="20" t="s">
        <v>400</v>
      </c>
      <c r="X187" s="104">
        <v>0</v>
      </c>
      <c r="Y187" s="104">
        <v>0</v>
      </c>
      <c r="Z187" s="104">
        <v>0</v>
      </c>
      <c r="AA187" s="104">
        <v>0</v>
      </c>
      <c r="AB187" s="104">
        <v>0</v>
      </c>
      <c r="AC187" s="104">
        <v>0</v>
      </c>
      <c r="AD187" s="142">
        <v>0</v>
      </c>
      <c r="AE187" s="112">
        <f t="shared" si="131"/>
        <v>40</v>
      </c>
      <c r="AF187" s="70">
        <v>1402020</v>
      </c>
      <c r="AG187" s="105" cm="1">
        <f t="array" ref="AG187">_xlfn.SWITCH(L187,3,1,
           4,1,
           5,1,
           6,1,0)</f>
        <v>1</v>
      </c>
      <c r="AH187" s="147">
        <v>80101401</v>
      </c>
      <c r="AI187" s="90">
        <v>6002</v>
      </c>
      <c r="AJ187" s="90">
        <v>3006</v>
      </c>
      <c r="AK187" s="27">
        <v>4002</v>
      </c>
      <c r="AL187" s="123">
        <f>_xlfn.XLOOKUP(H187,'#각종 참고'!$B$11:$B$20,'#각종 참고'!$D$11:$D$20)</f>
        <v>0</v>
      </c>
      <c r="AM187" s="27">
        <v>1</v>
      </c>
      <c r="AN187" s="27">
        <v>1</v>
      </c>
      <c r="AO187" s="124">
        <f t="shared" si="136"/>
        <v>1</v>
      </c>
      <c r="AP187" s="27">
        <v>1</v>
      </c>
      <c r="AQ187" s="21">
        <v>11142011</v>
      </c>
      <c r="AR187" s="21" t="s">
        <v>2347</v>
      </c>
      <c r="AS187" s="68"/>
      <c r="AT187" s="68"/>
      <c r="AU187" s="68"/>
    </row>
    <row r="188" spans="1:47" x14ac:dyDescent="0.3">
      <c r="A188" s="19"/>
      <c r="B188" s="109">
        <v>11142003</v>
      </c>
      <c r="C188" s="99" t="str">
        <f t="shared" si="137"/>
        <v>1</v>
      </c>
      <c r="D188" s="121">
        <f>COUNTIFS($F$33:F188,F188, $G$33:G188,G188, $C$33:C188,C188, $L$33:L188,L188)</f>
        <v>3</v>
      </c>
      <c r="E188" s="20">
        <v>1</v>
      </c>
      <c r="F188" s="20">
        <v>2</v>
      </c>
      <c r="G188" s="20">
        <v>1</v>
      </c>
      <c r="H188" s="103" t="s">
        <v>961</v>
      </c>
      <c r="I188" s="20" t="s">
        <v>2006</v>
      </c>
      <c r="J188" s="104" t="str">
        <f t="shared" si="125"/>
        <v>Item_Name_11142003</v>
      </c>
      <c r="K188" s="20">
        <v>10101001</v>
      </c>
      <c r="L188" s="108">
        <f t="shared" si="130"/>
        <v>4</v>
      </c>
      <c r="M188" s="105">
        <f>IF(D188=0, 0, _xlfn.XLOOKUP($F188,'#무게관련'!$B:$B,'#무게관련'!$C:$C)*_xlfn.XLOOKUP($L188,'#무게관련'!$F:$F,'#무게관련'!$G:$G)*100)</f>
        <v>6000</v>
      </c>
      <c r="N188" s="20">
        <v>20300</v>
      </c>
      <c r="O188" s="20">
        <v>1</v>
      </c>
      <c r="P188" s="20">
        <v>15</v>
      </c>
      <c r="Q188" s="20">
        <v>1</v>
      </c>
      <c r="R188" s="20">
        <v>100</v>
      </c>
      <c r="S188" s="20">
        <v>1</v>
      </c>
      <c r="T188" s="20" t="s">
        <v>1862</v>
      </c>
      <c r="U188" s="104" t="str">
        <f t="shared" si="138"/>
        <v>item_bg_grade_04</v>
      </c>
      <c r="V188" s="20" t="s">
        <v>321</v>
      </c>
      <c r="W188" s="20" t="s">
        <v>400</v>
      </c>
      <c r="X188" s="104">
        <v>0</v>
      </c>
      <c r="Y188" s="104">
        <v>0</v>
      </c>
      <c r="Z188" s="104">
        <v>0</v>
      </c>
      <c r="AA188" s="104">
        <v>0</v>
      </c>
      <c r="AB188" s="104">
        <v>0</v>
      </c>
      <c r="AC188" s="104">
        <v>0</v>
      </c>
      <c r="AD188" s="142">
        <v>0</v>
      </c>
      <c r="AE188" s="112">
        <f t="shared" si="131"/>
        <v>40</v>
      </c>
      <c r="AF188" s="70">
        <v>1402030</v>
      </c>
      <c r="AG188" s="105" cm="1">
        <f t="array" ref="AG188">_xlfn.SWITCH(L188,3,1,
           4,1,
           5,1,
           6,1,0)</f>
        <v>1</v>
      </c>
      <c r="AH188" s="147">
        <v>80101401</v>
      </c>
      <c r="AI188" s="90">
        <v>6002</v>
      </c>
      <c r="AJ188" s="90">
        <v>3006</v>
      </c>
      <c r="AK188" s="27">
        <v>4002</v>
      </c>
      <c r="AL188" s="123">
        <f>_xlfn.XLOOKUP(H188,'#각종 참고'!$B$11:$B$20,'#각종 참고'!$D$11:$D$20)</f>
        <v>0</v>
      </c>
      <c r="AM188" s="27">
        <v>1</v>
      </c>
      <c r="AN188" s="27">
        <v>1</v>
      </c>
      <c r="AO188" s="124">
        <f t="shared" si="136"/>
        <v>1</v>
      </c>
      <c r="AP188" s="27">
        <v>1</v>
      </c>
      <c r="AQ188" s="21">
        <v>11142021</v>
      </c>
      <c r="AR188" s="21" t="s">
        <v>2348</v>
      </c>
      <c r="AS188" s="68"/>
      <c r="AT188" s="68"/>
      <c r="AU188" s="68"/>
    </row>
    <row r="189" spans="1:47" x14ac:dyDescent="0.3">
      <c r="A189" s="19"/>
      <c r="B189" s="109">
        <v>11152001</v>
      </c>
      <c r="C189" s="99" t="str">
        <f t="shared" ref="C189:C192" si="139">IF(K189&gt;0,MID(K189,5, 1), 0)</f>
        <v>1</v>
      </c>
      <c r="D189" s="121">
        <f>COUNTIFS($F$33:F189,F189, $G$33:G189,G189, $C$33:C189,C189, $L$33:L189,L189)</f>
        <v>1</v>
      </c>
      <c r="E189" s="20">
        <v>1</v>
      </c>
      <c r="F189" s="20">
        <v>2</v>
      </c>
      <c r="G189" s="20">
        <v>1</v>
      </c>
      <c r="H189" s="103" t="s">
        <v>961</v>
      </c>
      <c r="I189" s="20" t="s">
        <v>1643</v>
      </c>
      <c r="J189" s="104" t="str">
        <f t="shared" si="125"/>
        <v>Item_Name_11152001</v>
      </c>
      <c r="K189" s="20">
        <v>10101001</v>
      </c>
      <c r="L189" s="108">
        <f t="shared" si="130"/>
        <v>5</v>
      </c>
      <c r="M189" s="105">
        <f>IF(D189=0, 0, _xlfn.XLOOKUP($F189,'#무게관련'!$B:$B,'#무게관련'!$C:$C)*_xlfn.XLOOKUP($L189,'#무게관련'!$F:$F,'#무게관련'!$G:$G)*100)</f>
        <v>6000</v>
      </c>
      <c r="N189" s="20">
        <v>20300</v>
      </c>
      <c r="O189" s="20">
        <v>1</v>
      </c>
      <c r="P189" s="20">
        <v>15</v>
      </c>
      <c r="Q189" s="20">
        <v>1</v>
      </c>
      <c r="R189" s="20">
        <v>100</v>
      </c>
      <c r="S189" s="20">
        <v>1</v>
      </c>
      <c r="T189" s="20" t="s">
        <v>1863</v>
      </c>
      <c r="U189" s="104" t="str">
        <f t="shared" si="117"/>
        <v>item_bg_grade_05</v>
      </c>
      <c r="V189" s="20" t="s">
        <v>321</v>
      </c>
      <c r="W189" s="20" t="s">
        <v>400</v>
      </c>
      <c r="X189" s="104">
        <v>0</v>
      </c>
      <c r="Y189" s="104">
        <v>0</v>
      </c>
      <c r="Z189" s="104">
        <v>0</v>
      </c>
      <c r="AA189" s="104">
        <v>0</v>
      </c>
      <c r="AB189" s="104">
        <v>0</v>
      </c>
      <c r="AC189" s="104">
        <v>0</v>
      </c>
      <c r="AD189" s="142">
        <v>0</v>
      </c>
      <c r="AE189" s="112">
        <f t="shared" si="131"/>
        <v>50</v>
      </c>
      <c r="AF189" s="70">
        <v>1502010</v>
      </c>
      <c r="AG189" s="105" cm="1">
        <f t="array" ref="AG189">_xlfn.SWITCH(L189,3,1,
           4,1,
           5,1,
           6,1,0)</f>
        <v>1</v>
      </c>
      <c r="AH189" s="147">
        <v>80101501</v>
      </c>
      <c r="AI189" s="90">
        <v>6003</v>
      </c>
      <c r="AJ189" s="90">
        <v>3008</v>
      </c>
      <c r="AK189" s="27">
        <v>5002</v>
      </c>
      <c r="AL189" s="123">
        <f>_xlfn.XLOOKUP(H189,'#각종 참고'!$B$11:$B$20,'#각종 참고'!$D$11:$D$20)</f>
        <v>0</v>
      </c>
      <c r="AM189" s="27">
        <v>1</v>
      </c>
      <c r="AN189" s="27">
        <v>1</v>
      </c>
      <c r="AO189" s="124">
        <f t="shared" si="136"/>
        <v>1</v>
      </c>
      <c r="AP189" s="27">
        <v>1</v>
      </c>
      <c r="AQ189" s="21">
        <v>11152001</v>
      </c>
      <c r="AR189" s="21" t="s">
        <v>1643</v>
      </c>
      <c r="AS189" s="68"/>
      <c r="AT189" s="68"/>
      <c r="AU189" s="68"/>
    </row>
    <row r="190" spans="1:47" x14ac:dyDescent="0.3">
      <c r="A190" s="19"/>
      <c r="B190" s="109">
        <v>11152002</v>
      </c>
      <c r="C190" s="99" t="str">
        <f t="shared" ref="C190:C191" si="140">IF(K190&gt;0,MID(K190,5, 1), 0)</f>
        <v>1</v>
      </c>
      <c r="D190" s="121">
        <f>COUNTIFS($F$33:F190,F190, $G$33:G190,G190, $C$33:C190,C190, $L$33:L190,L190)</f>
        <v>2</v>
      </c>
      <c r="E190" s="20">
        <v>1</v>
      </c>
      <c r="F190" s="20">
        <v>2</v>
      </c>
      <c r="G190" s="20">
        <v>1</v>
      </c>
      <c r="H190" s="103" t="s">
        <v>961</v>
      </c>
      <c r="I190" s="20" t="s">
        <v>1644</v>
      </c>
      <c r="J190" s="104" t="str">
        <f t="shared" si="125"/>
        <v>Item_Name_11152002</v>
      </c>
      <c r="K190" s="20">
        <v>10101001</v>
      </c>
      <c r="L190" s="108">
        <f t="shared" si="130"/>
        <v>5</v>
      </c>
      <c r="M190" s="105">
        <f>IF(D190=0, 0, _xlfn.XLOOKUP($F190,'#무게관련'!$B:$B,'#무게관련'!$C:$C)*_xlfn.XLOOKUP($L190,'#무게관련'!$F:$F,'#무게관련'!$G:$G)*100)</f>
        <v>6000</v>
      </c>
      <c r="N190" s="20">
        <v>20300</v>
      </c>
      <c r="O190" s="20">
        <v>1</v>
      </c>
      <c r="P190" s="20">
        <v>15</v>
      </c>
      <c r="Q190" s="20">
        <v>1</v>
      </c>
      <c r="R190" s="20">
        <v>100</v>
      </c>
      <c r="S190" s="20">
        <v>1</v>
      </c>
      <c r="T190" s="20" t="s">
        <v>1863</v>
      </c>
      <c r="U190" s="104" t="str">
        <f t="shared" ref="U190:U191" si="141">"item_bg_grade_0"&amp;L190</f>
        <v>item_bg_grade_05</v>
      </c>
      <c r="V190" s="20" t="s">
        <v>321</v>
      </c>
      <c r="W190" s="20" t="s">
        <v>400</v>
      </c>
      <c r="X190" s="104">
        <v>0</v>
      </c>
      <c r="Y190" s="104">
        <v>0</v>
      </c>
      <c r="Z190" s="104">
        <v>0</v>
      </c>
      <c r="AA190" s="104">
        <v>0</v>
      </c>
      <c r="AB190" s="104">
        <v>0</v>
      </c>
      <c r="AC190" s="104">
        <v>0</v>
      </c>
      <c r="AD190" s="142">
        <v>0</v>
      </c>
      <c r="AE190" s="112">
        <f t="shared" si="131"/>
        <v>50</v>
      </c>
      <c r="AF190" s="70">
        <v>1502020</v>
      </c>
      <c r="AG190" s="105" cm="1">
        <f t="array" ref="AG190">_xlfn.SWITCH(L190,3,1,
           4,1,
           5,1,
           6,1,0)</f>
        <v>1</v>
      </c>
      <c r="AH190" s="147">
        <v>80101501</v>
      </c>
      <c r="AI190" s="90">
        <v>6003</v>
      </c>
      <c r="AJ190" s="90">
        <v>3008</v>
      </c>
      <c r="AK190" s="27">
        <v>5002</v>
      </c>
      <c r="AL190" s="123">
        <f>_xlfn.XLOOKUP(H190,'#각종 참고'!$B$11:$B$20,'#각종 참고'!$D$11:$D$20)</f>
        <v>0</v>
      </c>
      <c r="AM190" s="27">
        <v>1</v>
      </c>
      <c r="AN190" s="27">
        <v>1</v>
      </c>
      <c r="AO190" s="124">
        <f t="shared" si="136"/>
        <v>1</v>
      </c>
      <c r="AP190" s="27">
        <v>1</v>
      </c>
      <c r="AQ190" s="21">
        <v>11152011</v>
      </c>
      <c r="AR190" s="21" t="s">
        <v>2349</v>
      </c>
      <c r="AS190" s="68"/>
      <c r="AT190" s="68"/>
      <c r="AU190" s="68"/>
    </row>
    <row r="191" spans="1:47" x14ac:dyDescent="0.3">
      <c r="A191" s="19"/>
      <c r="B191" s="109">
        <v>11152003</v>
      </c>
      <c r="C191" s="99" t="str">
        <f t="shared" si="140"/>
        <v>1</v>
      </c>
      <c r="D191" s="121">
        <f>COUNTIFS($F$33:F191,F191, $G$33:G191,G191, $C$33:C191,C191, $L$33:L191,L191)</f>
        <v>3</v>
      </c>
      <c r="E191" s="20">
        <v>1</v>
      </c>
      <c r="F191" s="20">
        <v>2</v>
      </c>
      <c r="G191" s="20">
        <v>1</v>
      </c>
      <c r="H191" s="103" t="s">
        <v>961</v>
      </c>
      <c r="I191" s="20" t="s">
        <v>1966</v>
      </c>
      <c r="J191" s="104" t="str">
        <f t="shared" si="125"/>
        <v>Item_Name_11152003</v>
      </c>
      <c r="K191" s="20">
        <v>10101001</v>
      </c>
      <c r="L191" s="108">
        <f t="shared" si="130"/>
        <v>5</v>
      </c>
      <c r="M191" s="105">
        <f>IF(D191=0, 0, _xlfn.XLOOKUP($F191,'#무게관련'!$B:$B,'#무게관련'!$C:$C)*_xlfn.XLOOKUP($L191,'#무게관련'!$F:$F,'#무게관련'!$G:$G)*100)</f>
        <v>6000</v>
      </c>
      <c r="N191" s="20">
        <v>20300</v>
      </c>
      <c r="O191" s="20">
        <v>1</v>
      </c>
      <c r="P191" s="20">
        <v>15</v>
      </c>
      <c r="Q191" s="20">
        <v>1</v>
      </c>
      <c r="R191" s="20">
        <v>100</v>
      </c>
      <c r="S191" s="20">
        <v>1</v>
      </c>
      <c r="T191" s="20" t="s">
        <v>1863</v>
      </c>
      <c r="U191" s="104" t="str">
        <f t="shared" si="141"/>
        <v>item_bg_grade_05</v>
      </c>
      <c r="V191" s="20" t="s">
        <v>321</v>
      </c>
      <c r="W191" s="20" t="s">
        <v>400</v>
      </c>
      <c r="X191" s="104">
        <v>0</v>
      </c>
      <c r="Y191" s="104">
        <v>0</v>
      </c>
      <c r="Z191" s="104">
        <v>0</v>
      </c>
      <c r="AA191" s="104">
        <v>0</v>
      </c>
      <c r="AB191" s="104">
        <v>0</v>
      </c>
      <c r="AC191" s="104">
        <v>0</v>
      </c>
      <c r="AD191" s="142">
        <v>0</v>
      </c>
      <c r="AE191" s="112">
        <f t="shared" si="131"/>
        <v>50</v>
      </c>
      <c r="AF191" s="70">
        <v>1502030</v>
      </c>
      <c r="AG191" s="105" cm="1">
        <f t="array" ref="AG191">_xlfn.SWITCH(L191,3,1,
           4,1,
           5,1,
           6,1,0)</f>
        <v>1</v>
      </c>
      <c r="AH191" s="147">
        <v>80101501</v>
      </c>
      <c r="AI191" s="90">
        <v>6003</v>
      </c>
      <c r="AJ191" s="90">
        <v>3008</v>
      </c>
      <c r="AK191" s="27">
        <v>5002</v>
      </c>
      <c r="AL191" s="123">
        <f>_xlfn.XLOOKUP(H191,'#각종 참고'!$B$11:$B$20,'#각종 참고'!$D$11:$D$20)</f>
        <v>0</v>
      </c>
      <c r="AM191" s="27">
        <v>1</v>
      </c>
      <c r="AN191" s="27">
        <v>1</v>
      </c>
      <c r="AO191" s="124">
        <f t="shared" si="136"/>
        <v>1</v>
      </c>
      <c r="AP191" s="27">
        <v>1</v>
      </c>
      <c r="AQ191" s="21">
        <v>11152021</v>
      </c>
      <c r="AR191" s="21" t="s">
        <v>2350</v>
      </c>
      <c r="AS191" s="68"/>
      <c r="AT191" s="68"/>
      <c r="AU191" s="68"/>
    </row>
    <row r="192" spans="1:47" x14ac:dyDescent="0.3">
      <c r="A192" s="19"/>
      <c r="B192" s="109">
        <v>11162001</v>
      </c>
      <c r="C192" s="99" t="str">
        <f t="shared" si="139"/>
        <v>1</v>
      </c>
      <c r="D192" s="121">
        <f>COUNTIFS($F$33:F192,F192, $G$33:G192,G192, $C$33:C192,C192, $L$33:L192,L192)</f>
        <v>1</v>
      </c>
      <c r="E192" s="20">
        <v>1</v>
      </c>
      <c r="F192" s="20">
        <v>2</v>
      </c>
      <c r="G192" s="20">
        <v>1</v>
      </c>
      <c r="H192" s="103" t="s">
        <v>961</v>
      </c>
      <c r="I192" s="20" t="s">
        <v>1645</v>
      </c>
      <c r="J192" s="104" t="str">
        <f t="shared" si="125"/>
        <v>Item_Name_11162001</v>
      </c>
      <c r="K192" s="20">
        <v>10101001</v>
      </c>
      <c r="L192" s="108">
        <f t="shared" si="130"/>
        <v>6</v>
      </c>
      <c r="M192" s="105">
        <f>IF(D192=0, 0, _xlfn.XLOOKUP($F192,'#무게관련'!$B:$B,'#무게관련'!$C:$C)*_xlfn.XLOOKUP($L192,'#무게관련'!$F:$F,'#무게관련'!$G:$G)*100)</f>
        <v>6000</v>
      </c>
      <c r="N192" s="20">
        <v>20300</v>
      </c>
      <c r="O192" s="20">
        <v>1</v>
      </c>
      <c r="P192" s="20">
        <v>15</v>
      </c>
      <c r="Q192" s="20">
        <v>1</v>
      </c>
      <c r="R192" s="20">
        <v>100</v>
      </c>
      <c r="S192" s="20">
        <v>1</v>
      </c>
      <c r="T192" s="109" t="s">
        <v>1863</v>
      </c>
      <c r="U192" s="104" t="str">
        <f t="shared" si="117"/>
        <v>item_bg_grade_06</v>
      </c>
      <c r="V192" s="20" t="s">
        <v>321</v>
      </c>
      <c r="W192" s="20" t="s">
        <v>400</v>
      </c>
      <c r="X192" s="104">
        <v>0</v>
      </c>
      <c r="Y192" s="104">
        <v>0</v>
      </c>
      <c r="Z192" s="104">
        <v>0</v>
      </c>
      <c r="AA192" s="104">
        <v>0</v>
      </c>
      <c r="AB192" s="104">
        <v>0</v>
      </c>
      <c r="AC192" s="104">
        <v>0</v>
      </c>
      <c r="AD192" s="142">
        <v>0</v>
      </c>
      <c r="AE192" s="112">
        <f t="shared" si="131"/>
        <v>70</v>
      </c>
      <c r="AF192" s="70">
        <v>1602010</v>
      </c>
      <c r="AG192" s="105" cm="1">
        <f t="array" ref="AG192">_xlfn.SWITCH(L192,3,1,
           4,1,
           5,1,
           6,1,0)</f>
        <v>1</v>
      </c>
      <c r="AH192" s="147">
        <v>0</v>
      </c>
      <c r="AI192" s="90">
        <v>6004</v>
      </c>
      <c r="AJ192" s="90">
        <v>3010</v>
      </c>
      <c r="AK192" s="27">
        <v>6002</v>
      </c>
      <c r="AL192" s="123">
        <f>_xlfn.XLOOKUP(H192,'#각종 참고'!$B$11:$B$20,'#각종 참고'!$D$11:$D$20)</f>
        <v>0</v>
      </c>
      <c r="AM192" s="27">
        <v>1</v>
      </c>
      <c r="AN192" s="27">
        <v>1</v>
      </c>
      <c r="AO192" s="124">
        <f t="shared" si="136"/>
        <v>1</v>
      </c>
      <c r="AP192" s="27">
        <v>1</v>
      </c>
      <c r="AQ192" s="21">
        <v>11162001</v>
      </c>
      <c r="AR192" s="21" t="s">
        <v>1645</v>
      </c>
      <c r="AS192" s="68"/>
      <c r="AT192" s="68"/>
      <c r="AU192" s="68"/>
    </row>
    <row r="193" spans="1:47" x14ac:dyDescent="0.3">
      <c r="A193" s="19" t="s">
        <v>513</v>
      </c>
      <c r="B193" s="109">
        <v>11162002</v>
      </c>
      <c r="C193" s="99" t="str">
        <f t="shared" ref="C193:C194" si="142">IF(K193&gt;0,MID(K193,5, 1), 0)</f>
        <v>1</v>
      </c>
      <c r="D193" s="121">
        <f>COUNTIFS($F$33:F193,F193, $G$33:G193,G193, $C$33:C193,C193, $L$33:L193,L193)</f>
        <v>2</v>
      </c>
      <c r="E193" s="20">
        <v>1</v>
      </c>
      <c r="F193" s="20">
        <v>2</v>
      </c>
      <c r="G193" s="20">
        <v>1</v>
      </c>
      <c r="H193" s="103" t="s">
        <v>961</v>
      </c>
      <c r="I193" s="20" t="s">
        <v>2086</v>
      </c>
      <c r="J193" s="104" t="str">
        <f t="shared" si="125"/>
        <v>Item_Name_11162002</v>
      </c>
      <c r="K193" s="20">
        <v>10101001</v>
      </c>
      <c r="L193" s="108">
        <f t="shared" si="130"/>
        <v>6</v>
      </c>
      <c r="M193" s="105">
        <f>IF(D193=0, 0, _xlfn.XLOOKUP($F193,'#무게관련'!$B:$B,'#무게관련'!$C:$C)*_xlfn.XLOOKUP($L193,'#무게관련'!$F:$F,'#무게관련'!$G:$G)*100)</f>
        <v>6000</v>
      </c>
      <c r="N193" s="20">
        <v>20300</v>
      </c>
      <c r="O193" s="20">
        <v>1</v>
      </c>
      <c r="P193" s="20">
        <v>15</v>
      </c>
      <c r="Q193" s="20">
        <v>1</v>
      </c>
      <c r="R193" s="20">
        <v>100</v>
      </c>
      <c r="S193" s="20">
        <v>1</v>
      </c>
      <c r="T193" s="109" t="s">
        <v>1863</v>
      </c>
      <c r="U193" s="104" t="str">
        <f t="shared" ref="U193:U194" si="143">"item_bg_grade_0"&amp;L193</f>
        <v>item_bg_grade_06</v>
      </c>
      <c r="V193" s="20" t="s">
        <v>321</v>
      </c>
      <c r="W193" s="20" t="s">
        <v>400</v>
      </c>
      <c r="X193" s="104">
        <v>0</v>
      </c>
      <c r="Y193" s="104">
        <v>0</v>
      </c>
      <c r="Z193" s="104">
        <v>0</v>
      </c>
      <c r="AA193" s="104">
        <v>0</v>
      </c>
      <c r="AB193" s="104">
        <v>0</v>
      </c>
      <c r="AC193" s="104">
        <v>0</v>
      </c>
      <c r="AD193" s="142">
        <v>0</v>
      </c>
      <c r="AE193" s="112">
        <f t="shared" si="131"/>
        <v>70</v>
      </c>
      <c r="AF193" s="70">
        <v>1602010</v>
      </c>
      <c r="AG193" s="105" cm="1">
        <f t="array" ref="AG193">_xlfn.SWITCH(L193,3,1,
           4,1,
           5,1,
           6,1,0)</f>
        <v>1</v>
      </c>
      <c r="AH193" s="147">
        <v>0</v>
      </c>
      <c r="AI193" s="90">
        <v>6004</v>
      </c>
      <c r="AJ193" s="90">
        <v>3010</v>
      </c>
      <c r="AK193" s="27">
        <v>6002</v>
      </c>
      <c r="AL193" s="123">
        <f>_xlfn.XLOOKUP(H193,'#각종 참고'!$B$11:$B$20,'#각종 참고'!$D$11:$D$20)</f>
        <v>0</v>
      </c>
      <c r="AM193" s="27">
        <v>1</v>
      </c>
      <c r="AN193" s="27">
        <v>1</v>
      </c>
      <c r="AO193" s="124">
        <f t="shared" si="136"/>
        <v>1</v>
      </c>
      <c r="AP193" s="27">
        <v>1</v>
      </c>
      <c r="AQ193" s="21">
        <v>11162011</v>
      </c>
      <c r="AR193" s="21" t="s">
        <v>2351</v>
      </c>
      <c r="AS193" s="68"/>
      <c r="AT193" s="68"/>
      <c r="AU193" s="68"/>
    </row>
    <row r="194" spans="1:47" x14ac:dyDescent="0.3">
      <c r="A194" s="19" t="s">
        <v>513</v>
      </c>
      <c r="B194" s="109">
        <v>11162003</v>
      </c>
      <c r="C194" s="99" t="str">
        <f t="shared" si="142"/>
        <v>1</v>
      </c>
      <c r="D194" s="121">
        <f>COUNTIFS($F$33:F194,F194, $G$33:G194,G194, $C$33:C194,C194, $L$33:L194,L194)</f>
        <v>3</v>
      </c>
      <c r="E194" s="20">
        <v>1</v>
      </c>
      <c r="F194" s="20">
        <v>2</v>
      </c>
      <c r="G194" s="20">
        <v>1</v>
      </c>
      <c r="H194" s="103" t="s">
        <v>961</v>
      </c>
      <c r="I194" s="20" t="s">
        <v>2085</v>
      </c>
      <c r="J194" s="104" t="str">
        <f t="shared" si="125"/>
        <v>Item_Name_11162003</v>
      </c>
      <c r="K194" s="20">
        <v>10101001</v>
      </c>
      <c r="L194" s="108">
        <f t="shared" si="130"/>
        <v>6</v>
      </c>
      <c r="M194" s="105">
        <f>IF(D194=0, 0, _xlfn.XLOOKUP($F194,'#무게관련'!$B:$B,'#무게관련'!$C:$C)*_xlfn.XLOOKUP($L194,'#무게관련'!$F:$F,'#무게관련'!$G:$G)*100)</f>
        <v>6000</v>
      </c>
      <c r="N194" s="20">
        <v>20300</v>
      </c>
      <c r="O194" s="20">
        <v>1</v>
      </c>
      <c r="P194" s="20">
        <v>15</v>
      </c>
      <c r="Q194" s="20">
        <v>1</v>
      </c>
      <c r="R194" s="20">
        <v>100</v>
      </c>
      <c r="S194" s="20">
        <v>1</v>
      </c>
      <c r="T194" s="109" t="s">
        <v>1863</v>
      </c>
      <c r="U194" s="104" t="str">
        <f t="shared" si="143"/>
        <v>item_bg_grade_06</v>
      </c>
      <c r="V194" s="20" t="s">
        <v>321</v>
      </c>
      <c r="W194" s="20" t="s">
        <v>400</v>
      </c>
      <c r="X194" s="104">
        <v>0</v>
      </c>
      <c r="Y194" s="104">
        <v>0</v>
      </c>
      <c r="Z194" s="104">
        <v>0</v>
      </c>
      <c r="AA194" s="104">
        <v>0</v>
      </c>
      <c r="AB194" s="104">
        <v>0</v>
      </c>
      <c r="AC194" s="104">
        <v>0</v>
      </c>
      <c r="AD194" s="142">
        <v>0</v>
      </c>
      <c r="AE194" s="112">
        <f t="shared" si="131"/>
        <v>70</v>
      </c>
      <c r="AF194" s="70">
        <v>1602010</v>
      </c>
      <c r="AG194" s="105" cm="1">
        <f t="array" ref="AG194">_xlfn.SWITCH(L194,3,1,
           4,1,
           5,1,
           6,1,0)</f>
        <v>1</v>
      </c>
      <c r="AH194" s="147">
        <v>0</v>
      </c>
      <c r="AI194" s="90">
        <v>6004</v>
      </c>
      <c r="AJ194" s="90">
        <v>3010</v>
      </c>
      <c r="AK194" s="27">
        <v>6002</v>
      </c>
      <c r="AL194" s="123">
        <f>_xlfn.XLOOKUP(H194,'#각종 참고'!$B$11:$B$20,'#각종 참고'!$D$11:$D$20)</f>
        <v>0</v>
      </c>
      <c r="AM194" s="27">
        <v>1</v>
      </c>
      <c r="AN194" s="27">
        <v>1</v>
      </c>
      <c r="AO194" s="124">
        <f t="shared" si="136"/>
        <v>1</v>
      </c>
      <c r="AP194" s="27">
        <v>1</v>
      </c>
      <c r="AQ194" s="21">
        <v>11162021</v>
      </c>
      <c r="AR194" s="21" t="s">
        <v>2352</v>
      </c>
      <c r="AS194" s="68"/>
      <c r="AT194" s="68"/>
      <c r="AU194" s="68"/>
    </row>
    <row r="195" spans="1:47" s="68" customFormat="1" x14ac:dyDescent="0.3">
      <c r="A195" s="65"/>
      <c r="B195" s="110">
        <v>12112001</v>
      </c>
      <c r="C195" s="99" t="str">
        <f t="shared" si="1"/>
        <v>2</v>
      </c>
      <c r="D195" s="120">
        <f>COUNTIFS($F$33:F195,F195, $G$33:G195,G195, $C$33:C195,C195, $L$33:L195,L195)</f>
        <v>1</v>
      </c>
      <c r="E195" s="20">
        <v>1</v>
      </c>
      <c r="F195" s="66">
        <v>2</v>
      </c>
      <c r="G195" s="66">
        <v>1</v>
      </c>
      <c r="H195" s="103" t="s">
        <v>961</v>
      </c>
      <c r="I195" s="66" t="s">
        <v>1646</v>
      </c>
      <c r="J195" s="104" t="str">
        <f t="shared" si="125"/>
        <v>Item_Name_12112001</v>
      </c>
      <c r="K195" s="66">
        <v>10102001</v>
      </c>
      <c r="L195" s="106">
        <f t="shared" si="130"/>
        <v>1</v>
      </c>
      <c r="M195" s="105">
        <f>IF(D195=0, 0, _xlfn.XLOOKUP($F195,'#무게관련'!$B:$B,'#무게관련'!$C:$C)*_xlfn.XLOOKUP($L195,'#무게관련'!$F:$F,'#무게관련'!$G:$G)*100)</f>
        <v>6000</v>
      </c>
      <c r="N195" s="20">
        <v>20300</v>
      </c>
      <c r="O195" s="20">
        <v>2</v>
      </c>
      <c r="P195" s="66">
        <v>15</v>
      </c>
      <c r="Q195" s="20">
        <v>1</v>
      </c>
      <c r="R195" s="66">
        <v>100</v>
      </c>
      <c r="S195" s="66">
        <v>1</v>
      </c>
      <c r="T195" s="66" t="s">
        <v>1859</v>
      </c>
      <c r="U195" s="104" t="str">
        <f t="shared" si="117"/>
        <v>item_bg_grade_01</v>
      </c>
      <c r="V195" s="66" t="s">
        <v>321</v>
      </c>
      <c r="W195" s="66" t="s">
        <v>400</v>
      </c>
      <c r="X195" s="104">
        <v>0</v>
      </c>
      <c r="Y195" s="104">
        <v>0</v>
      </c>
      <c r="Z195" s="104">
        <v>0</v>
      </c>
      <c r="AA195" s="104">
        <v>0</v>
      </c>
      <c r="AB195" s="104">
        <v>0</v>
      </c>
      <c r="AC195" s="104">
        <v>0</v>
      </c>
      <c r="AD195" s="142">
        <v>0</v>
      </c>
      <c r="AE195" s="111">
        <f t="shared" si="131"/>
        <v>10</v>
      </c>
      <c r="AF195" s="70">
        <v>2102010</v>
      </c>
      <c r="AG195" s="105" cm="1">
        <f t="array" ref="AG195">_xlfn.SWITCH(L195,3,1,
           4,1,
           5,1,
           6,1,0)</f>
        <v>0</v>
      </c>
      <c r="AH195" s="146">
        <f t="shared" ref="AH195:AH226" si="144">AH177</f>
        <v>80101101</v>
      </c>
      <c r="AI195" s="90">
        <v>0</v>
      </c>
      <c r="AJ195" s="90">
        <v>0</v>
      </c>
      <c r="AK195" s="27">
        <v>0</v>
      </c>
      <c r="AL195" s="123">
        <f>_xlfn.XLOOKUP(H195,'#각종 참고'!$B$11:$B$20,'#각종 참고'!$D$11:$D$20)</f>
        <v>0</v>
      </c>
      <c r="AM195" s="27">
        <v>1</v>
      </c>
      <c r="AN195" s="27">
        <v>1</v>
      </c>
      <c r="AO195" s="124">
        <f t="shared" si="136"/>
        <v>1</v>
      </c>
      <c r="AP195" s="27">
        <v>1</v>
      </c>
      <c r="AQ195" s="21">
        <v>12112001</v>
      </c>
      <c r="AR195" s="68" t="s">
        <v>1646</v>
      </c>
    </row>
    <row r="196" spans="1:47" s="68" customFormat="1" x14ac:dyDescent="0.3">
      <c r="A196" s="65"/>
      <c r="B196" s="110">
        <v>12112002</v>
      </c>
      <c r="C196" s="99" t="str">
        <f t="shared" ref="C196:C197" si="145">IF(K196&gt;0,MID(K196,5, 1), 0)</f>
        <v>2</v>
      </c>
      <c r="D196" s="120">
        <f>COUNTIFS($F$33:F196,F196, $G$33:G196,G196, $C$33:C196,C196, $L$33:L196,L196)</f>
        <v>2</v>
      </c>
      <c r="E196" s="20">
        <v>1</v>
      </c>
      <c r="F196" s="66">
        <v>2</v>
      </c>
      <c r="G196" s="66">
        <v>1</v>
      </c>
      <c r="H196" s="103" t="s">
        <v>961</v>
      </c>
      <c r="I196" s="66" t="s">
        <v>2088</v>
      </c>
      <c r="J196" s="104" t="str">
        <f t="shared" si="125"/>
        <v>Item_Name_12112002</v>
      </c>
      <c r="K196" s="66">
        <v>10102001</v>
      </c>
      <c r="L196" s="106">
        <f t="shared" si="130"/>
        <v>1</v>
      </c>
      <c r="M196" s="105">
        <f>IF(D196=0, 0, _xlfn.XLOOKUP($F196,'#무게관련'!$B:$B,'#무게관련'!$C:$C)*_xlfn.XLOOKUP($L196,'#무게관련'!$F:$F,'#무게관련'!$G:$G)*100)</f>
        <v>6000</v>
      </c>
      <c r="N196" s="20">
        <v>20300</v>
      </c>
      <c r="O196" s="20">
        <v>2</v>
      </c>
      <c r="P196" s="66">
        <v>15</v>
      </c>
      <c r="Q196" s="20">
        <v>1</v>
      </c>
      <c r="R196" s="66">
        <v>100</v>
      </c>
      <c r="S196" s="66">
        <v>1</v>
      </c>
      <c r="T196" s="66" t="s">
        <v>1859</v>
      </c>
      <c r="U196" s="104" t="str">
        <f t="shared" ref="U196:U197" si="146">"item_bg_grade_0"&amp;L196</f>
        <v>item_bg_grade_01</v>
      </c>
      <c r="V196" s="66" t="s">
        <v>321</v>
      </c>
      <c r="W196" s="66" t="s">
        <v>400</v>
      </c>
      <c r="X196" s="104">
        <v>0</v>
      </c>
      <c r="Y196" s="104">
        <v>0</v>
      </c>
      <c r="Z196" s="104">
        <v>0</v>
      </c>
      <c r="AA196" s="104">
        <v>0</v>
      </c>
      <c r="AB196" s="104">
        <v>0</v>
      </c>
      <c r="AC196" s="104">
        <v>0</v>
      </c>
      <c r="AD196" s="142">
        <v>0</v>
      </c>
      <c r="AE196" s="111">
        <f t="shared" si="131"/>
        <v>10</v>
      </c>
      <c r="AF196" s="70">
        <v>2102020</v>
      </c>
      <c r="AG196" s="105" cm="1">
        <f t="array" ref="AG196">_xlfn.SWITCH(L196,3,1,
           4,1,
           5,1,
           6,1,0)</f>
        <v>0</v>
      </c>
      <c r="AH196" s="146">
        <f t="shared" si="144"/>
        <v>80101101</v>
      </c>
      <c r="AI196" s="90">
        <v>0</v>
      </c>
      <c r="AJ196" s="90">
        <v>0</v>
      </c>
      <c r="AK196" s="27">
        <v>0</v>
      </c>
      <c r="AL196" s="123">
        <f>_xlfn.XLOOKUP(H196,'#각종 참고'!$B$11:$B$20,'#각종 참고'!$D$11:$D$20)</f>
        <v>0</v>
      </c>
      <c r="AM196" s="27">
        <v>1</v>
      </c>
      <c r="AN196" s="27">
        <v>1</v>
      </c>
      <c r="AO196" s="124">
        <f t="shared" si="136"/>
        <v>1</v>
      </c>
      <c r="AP196" s="27">
        <v>1</v>
      </c>
      <c r="AQ196" s="21">
        <v>12112011</v>
      </c>
      <c r="AR196" s="68" t="s">
        <v>2353</v>
      </c>
    </row>
    <row r="197" spans="1:47" s="68" customFormat="1" x14ac:dyDescent="0.3">
      <c r="A197" s="65"/>
      <c r="B197" s="110">
        <v>12112003</v>
      </c>
      <c r="C197" s="99" t="str">
        <f t="shared" si="145"/>
        <v>2</v>
      </c>
      <c r="D197" s="120">
        <f>COUNTIFS($F$33:F197,F197, $G$33:G197,G197, $C$33:C197,C197, $L$33:L197,L197)</f>
        <v>3</v>
      </c>
      <c r="E197" s="20">
        <v>1</v>
      </c>
      <c r="F197" s="66">
        <v>2</v>
      </c>
      <c r="G197" s="66">
        <v>1</v>
      </c>
      <c r="H197" s="103" t="s">
        <v>961</v>
      </c>
      <c r="I197" s="66" t="s">
        <v>2087</v>
      </c>
      <c r="J197" s="104" t="str">
        <f t="shared" si="125"/>
        <v>Item_Name_12112003</v>
      </c>
      <c r="K197" s="66">
        <v>10102001</v>
      </c>
      <c r="L197" s="106">
        <f t="shared" si="130"/>
        <v>1</v>
      </c>
      <c r="M197" s="105">
        <f>IF(D197=0, 0, _xlfn.XLOOKUP($F197,'#무게관련'!$B:$B,'#무게관련'!$C:$C)*_xlfn.XLOOKUP($L197,'#무게관련'!$F:$F,'#무게관련'!$G:$G)*100)</f>
        <v>6000</v>
      </c>
      <c r="N197" s="20">
        <v>20300</v>
      </c>
      <c r="O197" s="20">
        <v>2</v>
      </c>
      <c r="P197" s="66">
        <v>15</v>
      </c>
      <c r="Q197" s="20">
        <v>1</v>
      </c>
      <c r="R197" s="66">
        <v>100</v>
      </c>
      <c r="S197" s="66">
        <v>1</v>
      </c>
      <c r="T197" s="66" t="s">
        <v>1859</v>
      </c>
      <c r="U197" s="104" t="str">
        <f t="shared" si="146"/>
        <v>item_bg_grade_01</v>
      </c>
      <c r="V197" s="66" t="s">
        <v>321</v>
      </c>
      <c r="W197" s="66" t="s">
        <v>400</v>
      </c>
      <c r="X197" s="104">
        <v>0</v>
      </c>
      <c r="Y197" s="104">
        <v>0</v>
      </c>
      <c r="Z197" s="104">
        <v>0</v>
      </c>
      <c r="AA197" s="104">
        <v>0</v>
      </c>
      <c r="AB197" s="104">
        <v>0</v>
      </c>
      <c r="AC197" s="104">
        <v>0</v>
      </c>
      <c r="AD197" s="142">
        <v>0</v>
      </c>
      <c r="AE197" s="111">
        <f t="shared" si="131"/>
        <v>10</v>
      </c>
      <c r="AF197" s="70">
        <v>2102030</v>
      </c>
      <c r="AG197" s="105" cm="1">
        <f t="array" ref="AG197">_xlfn.SWITCH(L197,3,1,
           4,1,
           5,1,
           6,1,0)</f>
        <v>0</v>
      </c>
      <c r="AH197" s="146">
        <f t="shared" si="144"/>
        <v>80101101</v>
      </c>
      <c r="AI197" s="90">
        <v>0</v>
      </c>
      <c r="AJ197" s="90">
        <v>0</v>
      </c>
      <c r="AK197" s="27">
        <v>0</v>
      </c>
      <c r="AL197" s="123">
        <f>_xlfn.XLOOKUP(H197,'#각종 참고'!$B$11:$B$20,'#각종 참고'!$D$11:$D$20)</f>
        <v>0</v>
      </c>
      <c r="AM197" s="27">
        <v>1</v>
      </c>
      <c r="AN197" s="27">
        <v>1</v>
      </c>
      <c r="AO197" s="124">
        <f t="shared" si="136"/>
        <v>1</v>
      </c>
      <c r="AP197" s="27">
        <v>1</v>
      </c>
      <c r="AQ197" s="21">
        <v>12112021</v>
      </c>
      <c r="AR197" s="68" t="s">
        <v>2354</v>
      </c>
    </row>
    <row r="198" spans="1:47" x14ac:dyDescent="0.3">
      <c r="A198" s="19"/>
      <c r="B198" s="109">
        <v>12122001</v>
      </c>
      <c r="C198" s="99" t="str">
        <f t="shared" si="1"/>
        <v>2</v>
      </c>
      <c r="D198" s="121">
        <f>COUNTIFS($F$33:F198,F198, $G$33:G198,G198, $C$33:C198,C198, $L$33:L198,L198)</f>
        <v>1</v>
      </c>
      <c r="E198" s="20">
        <v>1</v>
      </c>
      <c r="F198" s="20">
        <v>2</v>
      </c>
      <c r="G198" s="20">
        <v>1</v>
      </c>
      <c r="H198" s="103" t="s">
        <v>961</v>
      </c>
      <c r="I198" s="20" t="s">
        <v>1647</v>
      </c>
      <c r="J198" s="104" t="str">
        <f t="shared" si="125"/>
        <v>Item_Name_12122001</v>
      </c>
      <c r="K198" s="20">
        <v>10102001</v>
      </c>
      <c r="L198" s="107">
        <f t="shared" si="130"/>
        <v>2</v>
      </c>
      <c r="M198" s="105">
        <f>IF(D198=0, 0, _xlfn.XLOOKUP($F198,'#무게관련'!$B:$B,'#무게관련'!$C:$C)*_xlfn.XLOOKUP($L198,'#무게관련'!$F:$F,'#무게관련'!$G:$G)*100)</f>
        <v>6000</v>
      </c>
      <c r="N198" s="20">
        <v>20300</v>
      </c>
      <c r="O198" s="20">
        <v>2</v>
      </c>
      <c r="P198" s="20">
        <v>15</v>
      </c>
      <c r="Q198" s="20">
        <v>1</v>
      </c>
      <c r="R198" s="20">
        <v>100</v>
      </c>
      <c r="S198" s="20">
        <v>1</v>
      </c>
      <c r="T198" s="20" t="s">
        <v>1860</v>
      </c>
      <c r="U198" s="104" t="str">
        <f t="shared" si="117"/>
        <v>item_bg_grade_02</v>
      </c>
      <c r="V198" s="20" t="s">
        <v>321</v>
      </c>
      <c r="W198" s="20" t="s">
        <v>400</v>
      </c>
      <c r="X198" s="104">
        <v>0</v>
      </c>
      <c r="Y198" s="104">
        <v>0</v>
      </c>
      <c r="Z198" s="104">
        <v>0</v>
      </c>
      <c r="AA198" s="104">
        <v>0</v>
      </c>
      <c r="AB198" s="104">
        <v>0</v>
      </c>
      <c r="AC198" s="104">
        <v>0</v>
      </c>
      <c r="AD198" s="142">
        <v>0</v>
      </c>
      <c r="AE198" s="112">
        <f t="shared" si="131"/>
        <v>20</v>
      </c>
      <c r="AF198" s="70">
        <v>2202010</v>
      </c>
      <c r="AG198" s="105" cm="1">
        <f t="array" ref="AG198">_xlfn.SWITCH(L198,3,1,
           4,1,
           5,1,
           6,1,0)</f>
        <v>0</v>
      </c>
      <c r="AH198" s="146">
        <f t="shared" si="144"/>
        <v>80101201</v>
      </c>
      <c r="AI198" s="90">
        <v>6000</v>
      </c>
      <c r="AJ198" s="90">
        <v>3002</v>
      </c>
      <c r="AK198" s="27">
        <v>2002</v>
      </c>
      <c r="AL198" s="123">
        <f>_xlfn.XLOOKUP(H198,'#각종 참고'!$B$11:$B$20,'#각종 참고'!$D$11:$D$20)</f>
        <v>0</v>
      </c>
      <c r="AM198" s="27">
        <v>1</v>
      </c>
      <c r="AN198" s="27">
        <v>1</v>
      </c>
      <c r="AO198" s="124">
        <f t="shared" si="136"/>
        <v>1</v>
      </c>
      <c r="AP198" s="27">
        <v>1</v>
      </c>
      <c r="AQ198" s="21">
        <v>12122001</v>
      </c>
      <c r="AR198" s="21" t="s">
        <v>1647</v>
      </c>
      <c r="AS198" s="68"/>
      <c r="AT198" s="68"/>
      <c r="AU198" s="68"/>
    </row>
    <row r="199" spans="1:47" x14ac:dyDescent="0.3">
      <c r="A199" s="19"/>
      <c r="B199" s="109">
        <v>12122002</v>
      </c>
      <c r="C199" s="99" t="str">
        <f t="shared" ref="C199:C200" si="147">IF(K199&gt;0,MID(K199,5, 1), 0)</f>
        <v>2</v>
      </c>
      <c r="D199" s="121">
        <f>COUNTIFS($F$33:F199,F199, $G$33:G199,G199, $C$33:C199,C199, $L$33:L199,L199)</f>
        <v>2</v>
      </c>
      <c r="E199" s="20">
        <v>1</v>
      </c>
      <c r="F199" s="20">
        <v>2</v>
      </c>
      <c r="G199" s="20">
        <v>1</v>
      </c>
      <c r="H199" s="103" t="s">
        <v>961</v>
      </c>
      <c r="I199" s="20" t="s">
        <v>2089</v>
      </c>
      <c r="J199" s="104" t="str">
        <f t="shared" si="125"/>
        <v>Item_Name_12122002</v>
      </c>
      <c r="K199" s="20">
        <v>10102001</v>
      </c>
      <c r="L199" s="107">
        <f t="shared" si="130"/>
        <v>2</v>
      </c>
      <c r="M199" s="105">
        <f>IF(D199=0, 0, _xlfn.XLOOKUP($F199,'#무게관련'!$B:$B,'#무게관련'!$C:$C)*_xlfn.XLOOKUP($L199,'#무게관련'!$F:$F,'#무게관련'!$G:$G)*100)</f>
        <v>6000</v>
      </c>
      <c r="N199" s="20">
        <v>20300</v>
      </c>
      <c r="O199" s="20">
        <v>2</v>
      </c>
      <c r="P199" s="20">
        <v>15</v>
      </c>
      <c r="Q199" s="20">
        <v>1</v>
      </c>
      <c r="R199" s="20">
        <v>100</v>
      </c>
      <c r="S199" s="20">
        <v>1</v>
      </c>
      <c r="T199" s="20" t="s">
        <v>1860</v>
      </c>
      <c r="U199" s="104" t="str">
        <f t="shared" ref="U199:U200" si="148">"item_bg_grade_0"&amp;L199</f>
        <v>item_bg_grade_02</v>
      </c>
      <c r="V199" s="20" t="s">
        <v>321</v>
      </c>
      <c r="W199" s="20" t="s">
        <v>400</v>
      </c>
      <c r="X199" s="104">
        <v>0</v>
      </c>
      <c r="Y199" s="104">
        <v>0</v>
      </c>
      <c r="Z199" s="104">
        <v>0</v>
      </c>
      <c r="AA199" s="104">
        <v>0</v>
      </c>
      <c r="AB199" s="104">
        <v>0</v>
      </c>
      <c r="AC199" s="104">
        <v>0</v>
      </c>
      <c r="AD199" s="142">
        <v>0</v>
      </c>
      <c r="AE199" s="112">
        <f t="shared" si="131"/>
        <v>20</v>
      </c>
      <c r="AF199" s="70">
        <v>2202020</v>
      </c>
      <c r="AG199" s="105" cm="1">
        <f t="array" ref="AG199">_xlfn.SWITCH(L199,3,1,
           4,1,
           5,1,
           6,1,0)</f>
        <v>0</v>
      </c>
      <c r="AH199" s="146">
        <f t="shared" si="144"/>
        <v>80101201</v>
      </c>
      <c r="AI199" s="90">
        <v>6000</v>
      </c>
      <c r="AJ199" s="90">
        <v>3002</v>
      </c>
      <c r="AK199" s="27">
        <v>2002</v>
      </c>
      <c r="AL199" s="123">
        <f>_xlfn.XLOOKUP(H199,'#각종 참고'!$B$11:$B$20,'#각종 참고'!$D$11:$D$20)</f>
        <v>0</v>
      </c>
      <c r="AM199" s="27">
        <v>1</v>
      </c>
      <c r="AN199" s="27">
        <v>1</v>
      </c>
      <c r="AO199" s="124">
        <f t="shared" si="136"/>
        <v>1</v>
      </c>
      <c r="AP199" s="27">
        <v>1</v>
      </c>
      <c r="AQ199" s="21">
        <v>12122011</v>
      </c>
      <c r="AR199" s="21" t="s">
        <v>2355</v>
      </c>
      <c r="AS199" s="68"/>
      <c r="AT199" s="68"/>
      <c r="AU199" s="68"/>
    </row>
    <row r="200" spans="1:47" x14ac:dyDescent="0.3">
      <c r="A200" s="19"/>
      <c r="B200" s="109">
        <v>12122003</v>
      </c>
      <c r="C200" s="99" t="str">
        <f t="shared" si="147"/>
        <v>2</v>
      </c>
      <c r="D200" s="121">
        <f>COUNTIFS($F$33:F200,F200, $G$33:G200,G200, $C$33:C200,C200, $L$33:L200,L200)</f>
        <v>3</v>
      </c>
      <c r="E200" s="20">
        <v>1</v>
      </c>
      <c r="F200" s="20">
        <v>2</v>
      </c>
      <c r="G200" s="20">
        <v>1</v>
      </c>
      <c r="H200" s="103" t="s">
        <v>961</v>
      </c>
      <c r="I200" s="20" t="s">
        <v>1982</v>
      </c>
      <c r="J200" s="104" t="str">
        <f t="shared" si="125"/>
        <v>Item_Name_12122003</v>
      </c>
      <c r="K200" s="20">
        <v>10102001</v>
      </c>
      <c r="L200" s="107">
        <f t="shared" si="130"/>
        <v>2</v>
      </c>
      <c r="M200" s="105">
        <f>IF(D200=0, 0, _xlfn.XLOOKUP($F200,'#무게관련'!$B:$B,'#무게관련'!$C:$C)*_xlfn.XLOOKUP($L200,'#무게관련'!$F:$F,'#무게관련'!$G:$G)*100)</f>
        <v>6000</v>
      </c>
      <c r="N200" s="20">
        <v>20300</v>
      </c>
      <c r="O200" s="20">
        <v>2</v>
      </c>
      <c r="P200" s="20">
        <v>15</v>
      </c>
      <c r="Q200" s="20">
        <v>1</v>
      </c>
      <c r="R200" s="20">
        <v>100</v>
      </c>
      <c r="S200" s="20">
        <v>1</v>
      </c>
      <c r="T200" s="20" t="s">
        <v>1860</v>
      </c>
      <c r="U200" s="104" t="str">
        <f t="shared" si="148"/>
        <v>item_bg_grade_02</v>
      </c>
      <c r="V200" s="20" t="s">
        <v>321</v>
      </c>
      <c r="W200" s="20" t="s">
        <v>400</v>
      </c>
      <c r="X200" s="104">
        <v>0</v>
      </c>
      <c r="Y200" s="104">
        <v>0</v>
      </c>
      <c r="Z200" s="104">
        <v>0</v>
      </c>
      <c r="AA200" s="104">
        <v>0</v>
      </c>
      <c r="AB200" s="104">
        <v>0</v>
      </c>
      <c r="AC200" s="104">
        <v>0</v>
      </c>
      <c r="AD200" s="142">
        <v>0</v>
      </c>
      <c r="AE200" s="112">
        <f t="shared" si="131"/>
        <v>20</v>
      </c>
      <c r="AF200" s="70">
        <v>2202030</v>
      </c>
      <c r="AG200" s="105" cm="1">
        <f t="array" ref="AG200">_xlfn.SWITCH(L200,3,1,
           4,1,
           5,1,
           6,1,0)</f>
        <v>0</v>
      </c>
      <c r="AH200" s="146">
        <f t="shared" si="144"/>
        <v>80101201</v>
      </c>
      <c r="AI200" s="90">
        <v>6000</v>
      </c>
      <c r="AJ200" s="90">
        <v>3002</v>
      </c>
      <c r="AK200" s="27">
        <v>2002</v>
      </c>
      <c r="AL200" s="123">
        <f>_xlfn.XLOOKUP(H200,'#각종 참고'!$B$11:$B$20,'#각종 참고'!$D$11:$D$20)</f>
        <v>0</v>
      </c>
      <c r="AM200" s="27">
        <v>1</v>
      </c>
      <c r="AN200" s="27">
        <v>1</v>
      </c>
      <c r="AO200" s="124">
        <f t="shared" si="136"/>
        <v>1</v>
      </c>
      <c r="AP200" s="27">
        <v>1</v>
      </c>
      <c r="AQ200" s="21">
        <v>12122021</v>
      </c>
      <c r="AR200" s="21" t="s">
        <v>2356</v>
      </c>
      <c r="AS200" s="68"/>
      <c r="AT200" s="68"/>
      <c r="AU200" s="68"/>
    </row>
    <row r="201" spans="1:47" x14ac:dyDescent="0.3">
      <c r="A201" s="19"/>
      <c r="B201" s="109">
        <v>12132001</v>
      </c>
      <c r="C201" s="99" t="str">
        <f t="shared" si="1"/>
        <v>2</v>
      </c>
      <c r="D201" s="121">
        <f>COUNTIFS($F$33:F201,F201, $G$33:G201,G201, $C$33:C201,C201, $L$33:L201,L201)</f>
        <v>1</v>
      </c>
      <c r="E201" s="20">
        <v>1</v>
      </c>
      <c r="F201" s="20">
        <v>2</v>
      </c>
      <c r="G201" s="20">
        <v>1</v>
      </c>
      <c r="H201" s="103" t="s">
        <v>961</v>
      </c>
      <c r="I201" s="20" t="s">
        <v>1555</v>
      </c>
      <c r="J201" s="104" t="str">
        <f t="shared" si="125"/>
        <v>Item_Name_12132001</v>
      </c>
      <c r="K201" s="20">
        <v>10102001</v>
      </c>
      <c r="L201" s="107">
        <f t="shared" si="130"/>
        <v>3</v>
      </c>
      <c r="M201" s="105">
        <f>IF(D201=0, 0, _xlfn.XLOOKUP($F201,'#무게관련'!$B:$B,'#무게관련'!$C:$C)*_xlfn.XLOOKUP($L201,'#무게관련'!$F:$F,'#무게관련'!$G:$G)*100)</f>
        <v>6000</v>
      </c>
      <c r="N201" s="20">
        <v>20300</v>
      </c>
      <c r="O201" s="20">
        <v>2</v>
      </c>
      <c r="P201" s="20">
        <v>15</v>
      </c>
      <c r="Q201" s="20">
        <v>1</v>
      </c>
      <c r="R201" s="20">
        <v>100</v>
      </c>
      <c r="S201" s="20">
        <v>1</v>
      </c>
      <c r="T201" s="20" t="s">
        <v>1861</v>
      </c>
      <c r="U201" s="104" t="str">
        <f t="shared" si="117"/>
        <v>item_bg_grade_03</v>
      </c>
      <c r="V201" s="20" t="s">
        <v>321</v>
      </c>
      <c r="W201" s="20" t="s">
        <v>400</v>
      </c>
      <c r="X201" s="104">
        <v>0</v>
      </c>
      <c r="Y201" s="104">
        <v>0</v>
      </c>
      <c r="Z201" s="104">
        <v>0</v>
      </c>
      <c r="AA201" s="104">
        <v>0</v>
      </c>
      <c r="AB201" s="104">
        <v>0</v>
      </c>
      <c r="AC201" s="104">
        <v>0</v>
      </c>
      <c r="AD201" s="142">
        <v>0</v>
      </c>
      <c r="AE201" s="112">
        <f t="shared" si="131"/>
        <v>30</v>
      </c>
      <c r="AF201" s="70">
        <v>2302010</v>
      </c>
      <c r="AG201" s="105" cm="1">
        <f t="array" ref="AG201">_xlfn.SWITCH(L201,3,1,
           4,1,
           5,1,
           6,1,0)</f>
        <v>1</v>
      </c>
      <c r="AH201" s="146">
        <f t="shared" si="144"/>
        <v>80101301</v>
      </c>
      <c r="AI201" s="90">
        <v>6001</v>
      </c>
      <c r="AJ201" s="90">
        <v>3004</v>
      </c>
      <c r="AK201" s="27">
        <v>3002</v>
      </c>
      <c r="AL201" s="123">
        <f>_xlfn.XLOOKUP(H201,'#각종 참고'!$B$11:$B$20,'#각종 참고'!$D$11:$D$20)</f>
        <v>0</v>
      </c>
      <c r="AM201" s="27">
        <v>1</v>
      </c>
      <c r="AN201" s="27">
        <v>1</v>
      </c>
      <c r="AO201" s="124">
        <f t="shared" si="136"/>
        <v>1</v>
      </c>
      <c r="AP201" s="27">
        <v>1</v>
      </c>
      <c r="AQ201" s="21">
        <v>12132001</v>
      </c>
      <c r="AR201" s="21" t="s">
        <v>1555</v>
      </c>
      <c r="AS201" s="68"/>
      <c r="AT201" s="68"/>
      <c r="AU201" s="68"/>
    </row>
    <row r="202" spans="1:47" x14ac:dyDescent="0.3">
      <c r="A202" s="19"/>
      <c r="B202" s="109">
        <v>12132002</v>
      </c>
      <c r="C202" s="99" t="str">
        <f t="shared" ref="C202:C203" si="149">IF(K202&gt;0,MID(K202,5, 1), 0)</f>
        <v>2</v>
      </c>
      <c r="D202" s="121">
        <f>COUNTIFS($F$33:F202,F202, $G$33:G202,G202, $C$33:C202,C202, $L$33:L202,L202)</f>
        <v>2</v>
      </c>
      <c r="E202" s="20">
        <v>1</v>
      </c>
      <c r="F202" s="20">
        <v>2</v>
      </c>
      <c r="G202" s="20">
        <v>1</v>
      </c>
      <c r="H202" s="103" t="s">
        <v>961</v>
      </c>
      <c r="I202" s="20" t="s">
        <v>1648</v>
      </c>
      <c r="J202" s="104" t="str">
        <f t="shared" si="125"/>
        <v>Item_Name_12132002</v>
      </c>
      <c r="K202" s="20">
        <v>10102001</v>
      </c>
      <c r="L202" s="107">
        <f t="shared" si="130"/>
        <v>3</v>
      </c>
      <c r="M202" s="105">
        <f>IF(D202=0, 0, _xlfn.XLOOKUP($F202,'#무게관련'!$B:$B,'#무게관련'!$C:$C)*_xlfn.XLOOKUP($L202,'#무게관련'!$F:$F,'#무게관련'!$G:$G)*100)</f>
        <v>6000</v>
      </c>
      <c r="N202" s="20">
        <v>20300</v>
      </c>
      <c r="O202" s="20">
        <v>2</v>
      </c>
      <c r="P202" s="20">
        <v>15</v>
      </c>
      <c r="Q202" s="20">
        <v>1</v>
      </c>
      <c r="R202" s="20">
        <v>100</v>
      </c>
      <c r="S202" s="20">
        <v>1</v>
      </c>
      <c r="T202" s="20" t="s">
        <v>1861</v>
      </c>
      <c r="U202" s="104" t="str">
        <f t="shared" ref="U202:U203" si="150">"item_bg_grade_0"&amp;L202</f>
        <v>item_bg_grade_03</v>
      </c>
      <c r="V202" s="20" t="s">
        <v>321</v>
      </c>
      <c r="W202" s="20" t="s">
        <v>400</v>
      </c>
      <c r="X202" s="104">
        <v>0</v>
      </c>
      <c r="Y202" s="104">
        <v>0</v>
      </c>
      <c r="Z202" s="104">
        <v>0</v>
      </c>
      <c r="AA202" s="104">
        <v>0</v>
      </c>
      <c r="AB202" s="104">
        <v>0</v>
      </c>
      <c r="AC202" s="104">
        <v>0</v>
      </c>
      <c r="AD202" s="142">
        <v>0</v>
      </c>
      <c r="AE202" s="112">
        <f t="shared" si="131"/>
        <v>30</v>
      </c>
      <c r="AF202" s="70">
        <v>2302020</v>
      </c>
      <c r="AG202" s="105" cm="1">
        <f t="array" ref="AG202">_xlfn.SWITCH(L202,3,1,
           4,1,
           5,1,
           6,1,0)</f>
        <v>1</v>
      </c>
      <c r="AH202" s="146">
        <f t="shared" si="144"/>
        <v>80101301</v>
      </c>
      <c r="AI202" s="90">
        <v>6001</v>
      </c>
      <c r="AJ202" s="90">
        <v>3004</v>
      </c>
      <c r="AK202" s="27">
        <v>3002</v>
      </c>
      <c r="AL202" s="123">
        <f>_xlfn.XLOOKUP(H202,'#각종 참고'!$B$11:$B$20,'#각종 참고'!$D$11:$D$20)</f>
        <v>0</v>
      </c>
      <c r="AM202" s="27">
        <v>1</v>
      </c>
      <c r="AN202" s="27">
        <v>1</v>
      </c>
      <c r="AO202" s="124">
        <f t="shared" si="136"/>
        <v>1</v>
      </c>
      <c r="AP202" s="27">
        <v>1</v>
      </c>
      <c r="AQ202" s="21">
        <v>12132011</v>
      </c>
      <c r="AR202" s="21" t="s">
        <v>2357</v>
      </c>
      <c r="AS202" s="68"/>
      <c r="AT202" s="68"/>
      <c r="AU202" s="68"/>
    </row>
    <row r="203" spans="1:47" x14ac:dyDescent="0.3">
      <c r="A203" s="19"/>
      <c r="B203" s="109">
        <v>12132003</v>
      </c>
      <c r="C203" s="99" t="str">
        <f t="shared" si="149"/>
        <v>2</v>
      </c>
      <c r="D203" s="121">
        <f>COUNTIFS($F$33:F203,F203, $G$33:G203,G203, $C$33:C203,C203, $L$33:L203,L203)</f>
        <v>3</v>
      </c>
      <c r="E203" s="20">
        <v>1</v>
      </c>
      <c r="F203" s="20">
        <v>2</v>
      </c>
      <c r="G203" s="20">
        <v>1</v>
      </c>
      <c r="H203" s="103" t="s">
        <v>961</v>
      </c>
      <c r="I203" s="20" t="s">
        <v>2090</v>
      </c>
      <c r="J203" s="104" t="str">
        <f t="shared" si="125"/>
        <v>Item_Name_12132003</v>
      </c>
      <c r="K203" s="20">
        <v>10102001</v>
      </c>
      <c r="L203" s="107">
        <f t="shared" si="130"/>
        <v>3</v>
      </c>
      <c r="M203" s="105">
        <f>IF(D203=0, 0, _xlfn.XLOOKUP($F203,'#무게관련'!$B:$B,'#무게관련'!$C:$C)*_xlfn.XLOOKUP($L203,'#무게관련'!$F:$F,'#무게관련'!$G:$G)*100)</f>
        <v>6000</v>
      </c>
      <c r="N203" s="20">
        <v>20300</v>
      </c>
      <c r="O203" s="20">
        <v>2</v>
      </c>
      <c r="P203" s="20">
        <v>15</v>
      </c>
      <c r="Q203" s="20">
        <v>1</v>
      </c>
      <c r="R203" s="20">
        <v>100</v>
      </c>
      <c r="S203" s="20">
        <v>1</v>
      </c>
      <c r="T203" s="20" t="s">
        <v>1861</v>
      </c>
      <c r="U203" s="104" t="str">
        <f t="shared" si="150"/>
        <v>item_bg_grade_03</v>
      </c>
      <c r="V203" s="20" t="s">
        <v>321</v>
      </c>
      <c r="W203" s="20" t="s">
        <v>400</v>
      </c>
      <c r="X203" s="104">
        <v>0</v>
      </c>
      <c r="Y203" s="104">
        <v>0</v>
      </c>
      <c r="Z203" s="104">
        <v>0</v>
      </c>
      <c r="AA203" s="104">
        <v>0</v>
      </c>
      <c r="AB203" s="104">
        <v>0</v>
      </c>
      <c r="AC203" s="104">
        <v>0</v>
      </c>
      <c r="AD203" s="142">
        <v>0</v>
      </c>
      <c r="AE203" s="112">
        <f t="shared" si="131"/>
        <v>30</v>
      </c>
      <c r="AF203" s="70">
        <v>2302030</v>
      </c>
      <c r="AG203" s="105" cm="1">
        <f t="array" ref="AG203">_xlfn.SWITCH(L203,3,1,
           4,1,
           5,1,
           6,1,0)</f>
        <v>1</v>
      </c>
      <c r="AH203" s="146">
        <f t="shared" si="144"/>
        <v>80101301</v>
      </c>
      <c r="AI203" s="90">
        <v>6001</v>
      </c>
      <c r="AJ203" s="90">
        <v>3004</v>
      </c>
      <c r="AK203" s="27">
        <v>3002</v>
      </c>
      <c r="AL203" s="123">
        <f>_xlfn.XLOOKUP(H203,'#각종 참고'!$B$11:$B$20,'#각종 참고'!$D$11:$D$20)</f>
        <v>0</v>
      </c>
      <c r="AM203" s="27">
        <v>1</v>
      </c>
      <c r="AN203" s="27">
        <v>1</v>
      </c>
      <c r="AO203" s="124">
        <f t="shared" si="136"/>
        <v>1</v>
      </c>
      <c r="AP203" s="27">
        <v>1</v>
      </c>
      <c r="AQ203" s="21">
        <v>12132021</v>
      </c>
      <c r="AR203" s="21" t="s">
        <v>2358</v>
      </c>
      <c r="AS203" s="68"/>
      <c r="AT203" s="68"/>
      <c r="AU203" s="68"/>
    </row>
    <row r="204" spans="1:47" x14ac:dyDescent="0.3">
      <c r="A204" s="19"/>
      <c r="B204" s="109">
        <v>12142001</v>
      </c>
      <c r="C204" s="99" t="str">
        <f t="shared" si="1"/>
        <v>2</v>
      </c>
      <c r="D204" s="121">
        <f>COUNTIFS($F$33:F204,F204, $G$33:G204,G204, $C$33:C204,C204, $L$33:L204,L204)</f>
        <v>1</v>
      </c>
      <c r="E204" s="20">
        <v>1</v>
      </c>
      <c r="F204" s="20">
        <v>2</v>
      </c>
      <c r="G204" s="20">
        <v>1</v>
      </c>
      <c r="H204" s="103" t="s">
        <v>961</v>
      </c>
      <c r="I204" s="20" t="s">
        <v>1556</v>
      </c>
      <c r="J204" s="104" t="str">
        <f t="shared" si="125"/>
        <v>Item_Name_12142001</v>
      </c>
      <c r="K204" s="20">
        <v>10102001</v>
      </c>
      <c r="L204" s="107">
        <f t="shared" si="130"/>
        <v>4</v>
      </c>
      <c r="M204" s="105">
        <f>IF(D204=0, 0, _xlfn.XLOOKUP($F204,'#무게관련'!$B:$B,'#무게관련'!$C:$C)*_xlfn.XLOOKUP($L204,'#무게관련'!$F:$F,'#무게관련'!$G:$G)*100)</f>
        <v>6000</v>
      </c>
      <c r="N204" s="20">
        <v>20300</v>
      </c>
      <c r="O204" s="20">
        <v>2</v>
      </c>
      <c r="P204" s="20">
        <v>15</v>
      </c>
      <c r="Q204" s="20">
        <v>1</v>
      </c>
      <c r="R204" s="20">
        <v>100</v>
      </c>
      <c r="S204" s="20">
        <v>1</v>
      </c>
      <c r="T204" s="20" t="s">
        <v>1862</v>
      </c>
      <c r="U204" s="104" t="str">
        <f t="shared" si="117"/>
        <v>item_bg_grade_04</v>
      </c>
      <c r="V204" s="20" t="s">
        <v>321</v>
      </c>
      <c r="W204" s="20" t="s">
        <v>400</v>
      </c>
      <c r="X204" s="104">
        <v>0</v>
      </c>
      <c r="Y204" s="104">
        <v>0</v>
      </c>
      <c r="Z204" s="104">
        <v>0</v>
      </c>
      <c r="AA204" s="104">
        <v>0</v>
      </c>
      <c r="AB204" s="104">
        <v>0</v>
      </c>
      <c r="AC204" s="104">
        <v>0</v>
      </c>
      <c r="AD204" s="142">
        <v>0</v>
      </c>
      <c r="AE204" s="112">
        <f t="shared" si="131"/>
        <v>40</v>
      </c>
      <c r="AF204" s="70">
        <v>2402010</v>
      </c>
      <c r="AG204" s="105" cm="1">
        <f t="array" ref="AG204">_xlfn.SWITCH(L204,3,1,
           4,1,
           5,1,
           6,1,0)</f>
        <v>1</v>
      </c>
      <c r="AH204" s="146">
        <f t="shared" si="144"/>
        <v>80101401</v>
      </c>
      <c r="AI204" s="90">
        <v>6002</v>
      </c>
      <c r="AJ204" s="90">
        <v>3006</v>
      </c>
      <c r="AK204" s="27">
        <v>4002</v>
      </c>
      <c r="AL204" s="123">
        <f>_xlfn.XLOOKUP(H204,'#각종 참고'!$B$11:$B$20,'#각종 참고'!$D$11:$D$20)</f>
        <v>0</v>
      </c>
      <c r="AM204" s="27">
        <v>1</v>
      </c>
      <c r="AN204" s="27">
        <v>1</v>
      </c>
      <c r="AO204" s="124">
        <f t="shared" si="136"/>
        <v>1</v>
      </c>
      <c r="AP204" s="27">
        <v>1</v>
      </c>
      <c r="AQ204" s="21">
        <v>12142001</v>
      </c>
      <c r="AR204" s="21" t="s">
        <v>1556</v>
      </c>
      <c r="AS204" s="68"/>
      <c r="AT204" s="68"/>
      <c r="AU204" s="68"/>
    </row>
    <row r="205" spans="1:47" x14ac:dyDescent="0.3">
      <c r="A205" s="19"/>
      <c r="B205" s="109">
        <v>12142002</v>
      </c>
      <c r="C205" s="99" t="str">
        <f t="shared" ref="C205:C206" si="151">IF(K205&gt;0,MID(K205,5, 1), 0)</f>
        <v>2</v>
      </c>
      <c r="D205" s="121">
        <f>COUNTIFS($F$33:F205,F205, $G$33:G205,G205, $C$33:C205,C205, $L$33:L205,L205)</f>
        <v>2</v>
      </c>
      <c r="E205" s="20">
        <v>1</v>
      </c>
      <c r="F205" s="20">
        <v>2</v>
      </c>
      <c r="G205" s="20">
        <v>1</v>
      </c>
      <c r="H205" s="103" t="s">
        <v>961</v>
      </c>
      <c r="I205" s="20" t="s">
        <v>1649</v>
      </c>
      <c r="J205" s="104" t="str">
        <f t="shared" si="125"/>
        <v>Item_Name_12142002</v>
      </c>
      <c r="K205" s="20">
        <v>10102001</v>
      </c>
      <c r="L205" s="107">
        <f t="shared" si="130"/>
        <v>4</v>
      </c>
      <c r="M205" s="105">
        <f>IF(D205=0, 0, _xlfn.XLOOKUP($F205,'#무게관련'!$B:$B,'#무게관련'!$C:$C)*_xlfn.XLOOKUP($L205,'#무게관련'!$F:$F,'#무게관련'!$G:$G)*100)</f>
        <v>6000</v>
      </c>
      <c r="N205" s="20">
        <v>20300</v>
      </c>
      <c r="O205" s="20">
        <v>2</v>
      </c>
      <c r="P205" s="20">
        <v>15</v>
      </c>
      <c r="Q205" s="20">
        <v>1</v>
      </c>
      <c r="R205" s="20">
        <v>100</v>
      </c>
      <c r="S205" s="20">
        <v>1</v>
      </c>
      <c r="T205" s="20" t="s">
        <v>1862</v>
      </c>
      <c r="U205" s="104" t="str">
        <f t="shared" ref="U205:U206" si="152">"item_bg_grade_0"&amp;L205</f>
        <v>item_bg_grade_04</v>
      </c>
      <c r="V205" s="20" t="s">
        <v>321</v>
      </c>
      <c r="W205" s="20" t="s">
        <v>400</v>
      </c>
      <c r="X205" s="104">
        <v>0</v>
      </c>
      <c r="Y205" s="104">
        <v>0</v>
      </c>
      <c r="Z205" s="104">
        <v>0</v>
      </c>
      <c r="AA205" s="104">
        <v>0</v>
      </c>
      <c r="AB205" s="104">
        <v>0</v>
      </c>
      <c r="AC205" s="104">
        <v>0</v>
      </c>
      <c r="AD205" s="142">
        <v>0</v>
      </c>
      <c r="AE205" s="112">
        <f t="shared" si="131"/>
        <v>40</v>
      </c>
      <c r="AF205" s="70">
        <v>2402020</v>
      </c>
      <c r="AG205" s="105" cm="1">
        <f t="array" ref="AG205">_xlfn.SWITCH(L205,3,1,
           4,1,
           5,1,
           6,1,0)</f>
        <v>1</v>
      </c>
      <c r="AH205" s="146">
        <f t="shared" si="144"/>
        <v>80101401</v>
      </c>
      <c r="AI205" s="90">
        <v>6002</v>
      </c>
      <c r="AJ205" s="90">
        <v>3006</v>
      </c>
      <c r="AK205" s="27">
        <v>4002</v>
      </c>
      <c r="AL205" s="123">
        <f>_xlfn.XLOOKUP(H205,'#각종 참고'!$B$11:$B$20,'#각종 참고'!$D$11:$D$20)</f>
        <v>0</v>
      </c>
      <c r="AM205" s="27">
        <v>1</v>
      </c>
      <c r="AN205" s="27">
        <v>1</v>
      </c>
      <c r="AO205" s="124">
        <f t="shared" si="136"/>
        <v>1</v>
      </c>
      <c r="AP205" s="27">
        <v>1</v>
      </c>
      <c r="AQ205" s="21">
        <v>12142011</v>
      </c>
      <c r="AR205" s="21" t="s">
        <v>2359</v>
      </c>
      <c r="AS205" s="68"/>
      <c r="AT205" s="68"/>
      <c r="AU205" s="68"/>
    </row>
    <row r="206" spans="1:47" x14ac:dyDescent="0.3">
      <c r="A206" s="19"/>
      <c r="B206" s="109">
        <v>12142003</v>
      </c>
      <c r="C206" s="99" t="str">
        <f t="shared" si="151"/>
        <v>2</v>
      </c>
      <c r="D206" s="121">
        <f>COUNTIFS($F$33:F206,F206, $G$33:G206,G206, $C$33:C206,C206, $L$33:L206,L206)</f>
        <v>3</v>
      </c>
      <c r="E206" s="20">
        <v>1</v>
      </c>
      <c r="F206" s="20">
        <v>2</v>
      </c>
      <c r="G206" s="20">
        <v>1</v>
      </c>
      <c r="H206" s="103" t="s">
        <v>961</v>
      </c>
      <c r="I206" s="20" t="s">
        <v>1998</v>
      </c>
      <c r="J206" s="104" t="str">
        <f t="shared" si="125"/>
        <v>Item_Name_12142003</v>
      </c>
      <c r="K206" s="20">
        <v>10102001</v>
      </c>
      <c r="L206" s="107">
        <f t="shared" si="130"/>
        <v>4</v>
      </c>
      <c r="M206" s="105">
        <f>IF(D206=0, 0, _xlfn.XLOOKUP($F206,'#무게관련'!$B:$B,'#무게관련'!$C:$C)*_xlfn.XLOOKUP($L206,'#무게관련'!$F:$F,'#무게관련'!$G:$G)*100)</f>
        <v>6000</v>
      </c>
      <c r="N206" s="20">
        <v>20300</v>
      </c>
      <c r="O206" s="20">
        <v>2</v>
      </c>
      <c r="P206" s="20">
        <v>15</v>
      </c>
      <c r="Q206" s="20">
        <v>1</v>
      </c>
      <c r="R206" s="20">
        <v>100</v>
      </c>
      <c r="S206" s="20">
        <v>1</v>
      </c>
      <c r="T206" s="20" t="s">
        <v>1862</v>
      </c>
      <c r="U206" s="104" t="str">
        <f t="shared" si="152"/>
        <v>item_bg_grade_04</v>
      </c>
      <c r="V206" s="20" t="s">
        <v>321</v>
      </c>
      <c r="W206" s="20" t="s">
        <v>400</v>
      </c>
      <c r="X206" s="104">
        <v>0</v>
      </c>
      <c r="Y206" s="104">
        <v>0</v>
      </c>
      <c r="Z206" s="104">
        <v>0</v>
      </c>
      <c r="AA206" s="104">
        <v>0</v>
      </c>
      <c r="AB206" s="104">
        <v>0</v>
      </c>
      <c r="AC206" s="104">
        <v>0</v>
      </c>
      <c r="AD206" s="142">
        <v>0</v>
      </c>
      <c r="AE206" s="112">
        <f t="shared" si="131"/>
        <v>40</v>
      </c>
      <c r="AF206" s="70">
        <v>2402030</v>
      </c>
      <c r="AG206" s="105" cm="1">
        <f t="array" ref="AG206">_xlfn.SWITCH(L206,3,1,
           4,1,
           5,1,
           6,1,0)</f>
        <v>1</v>
      </c>
      <c r="AH206" s="146">
        <f t="shared" si="144"/>
        <v>80101401</v>
      </c>
      <c r="AI206" s="90">
        <v>6002</v>
      </c>
      <c r="AJ206" s="90">
        <v>3006</v>
      </c>
      <c r="AK206" s="27">
        <v>4002</v>
      </c>
      <c r="AL206" s="123">
        <f>_xlfn.XLOOKUP(H206,'#각종 참고'!$B$11:$B$20,'#각종 참고'!$D$11:$D$20)</f>
        <v>0</v>
      </c>
      <c r="AM206" s="27">
        <v>1</v>
      </c>
      <c r="AN206" s="27">
        <v>1</v>
      </c>
      <c r="AO206" s="124">
        <f t="shared" si="136"/>
        <v>1</v>
      </c>
      <c r="AP206" s="27">
        <v>1</v>
      </c>
      <c r="AQ206" s="21">
        <v>12142021</v>
      </c>
      <c r="AR206" s="21" t="s">
        <v>2360</v>
      </c>
      <c r="AS206" s="68"/>
      <c r="AT206" s="68"/>
      <c r="AU206" s="68"/>
    </row>
    <row r="207" spans="1:47" x14ac:dyDescent="0.3">
      <c r="A207" s="19"/>
      <c r="B207" s="109">
        <v>12152001</v>
      </c>
      <c r="C207" s="99" t="str">
        <f t="shared" ref="C207:C210" si="153">IF(K207&gt;0,MID(K207,5, 1), 0)</f>
        <v>2</v>
      </c>
      <c r="D207" s="121">
        <f>COUNTIFS($F$33:F207,F207, $G$33:G207,G207, $C$33:C207,C207, $L$33:L207,L207)</f>
        <v>1</v>
      </c>
      <c r="E207" s="20">
        <v>1</v>
      </c>
      <c r="F207" s="20">
        <v>2</v>
      </c>
      <c r="G207" s="20">
        <v>1</v>
      </c>
      <c r="H207" s="103" t="s">
        <v>961</v>
      </c>
      <c r="I207" s="20" t="s">
        <v>1650</v>
      </c>
      <c r="J207" s="104" t="str">
        <f t="shared" si="125"/>
        <v>Item_Name_12152001</v>
      </c>
      <c r="K207" s="20">
        <v>10102001</v>
      </c>
      <c r="L207" s="107">
        <f t="shared" si="130"/>
        <v>5</v>
      </c>
      <c r="M207" s="105">
        <f>IF(D207=0, 0, _xlfn.XLOOKUP($F207,'#무게관련'!$B:$B,'#무게관련'!$C:$C)*_xlfn.XLOOKUP($L207,'#무게관련'!$F:$F,'#무게관련'!$G:$G)*100)</f>
        <v>6000</v>
      </c>
      <c r="N207" s="20">
        <v>20300</v>
      </c>
      <c r="O207" s="20">
        <v>2</v>
      </c>
      <c r="P207" s="20">
        <v>15</v>
      </c>
      <c r="Q207" s="20">
        <v>1</v>
      </c>
      <c r="R207" s="20">
        <v>100</v>
      </c>
      <c r="S207" s="20">
        <v>1</v>
      </c>
      <c r="T207" s="20" t="s">
        <v>1863</v>
      </c>
      <c r="U207" s="104" t="str">
        <f t="shared" si="117"/>
        <v>item_bg_grade_05</v>
      </c>
      <c r="V207" s="20" t="s">
        <v>321</v>
      </c>
      <c r="W207" s="20" t="s">
        <v>400</v>
      </c>
      <c r="X207" s="104">
        <v>0</v>
      </c>
      <c r="Y207" s="104">
        <v>0</v>
      </c>
      <c r="Z207" s="104">
        <v>0</v>
      </c>
      <c r="AA207" s="104">
        <v>0</v>
      </c>
      <c r="AB207" s="104">
        <v>0</v>
      </c>
      <c r="AC207" s="104">
        <v>0</v>
      </c>
      <c r="AD207" s="142">
        <v>0</v>
      </c>
      <c r="AE207" s="112">
        <f t="shared" si="131"/>
        <v>50</v>
      </c>
      <c r="AF207" s="70">
        <v>2502010</v>
      </c>
      <c r="AG207" s="105" cm="1">
        <f t="array" ref="AG207">_xlfn.SWITCH(L207,3,1,
           4,1,
           5,1,
           6,1,0)</f>
        <v>1</v>
      </c>
      <c r="AH207" s="146">
        <f t="shared" si="144"/>
        <v>80101501</v>
      </c>
      <c r="AI207" s="90">
        <v>6003</v>
      </c>
      <c r="AJ207" s="90">
        <v>3008</v>
      </c>
      <c r="AK207" s="27">
        <v>5002</v>
      </c>
      <c r="AL207" s="123">
        <f>_xlfn.XLOOKUP(H207,'#각종 참고'!$B$11:$B$20,'#각종 참고'!$D$11:$D$20)</f>
        <v>0</v>
      </c>
      <c r="AM207" s="27">
        <v>1</v>
      </c>
      <c r="AN207" s="27">
        <v>1</v>
      </c>
      <c r="AO207" s="124">
        <f t="shared" si="136"/>
        <v>1</v>
      </c>
      <c r="AP207" s="27">
        <v>1</v>
      </c>
      <c r="AQ207" s="21">
        <v>12152001</v>
      </c>
      <c r="AR207" s="21" t="s">
        <v>1650</v>
      </c>
      <c r="AS207" s="68"/>
      <c r="AT207" s="68"/>
      <c r="AU207" s="68"/>
    </row>
    <row r="208" spans="1:47" x14ac:dyDescent="0.3">
      <c r="A208" s="19"/>
      <c r="B208" s="109">
        <v>12152002</v>
      </c>
      <c r="C208" s="99" t="str">
        <f t="shared" ref="C208:C209" si="154">IF(K208&gt;0,MID(K208,5, 1), 0)</f>
        <v>2</v>
      </c>
      <c r="D208" s="121">
        <f>COUNTIFS($F$33:F208,F208, $G$33:G208,G208, $C$33:C208,C208, $L$33:L208,L208)</f>
        <v>2</v>
      </c>
      <c r="E208" s="20">
        <v>1</v>
      </c>
      <c r="F208" s="20">
        <v>2</v>
      </c>
      <c r="G208" s="20">
        <v>1</v>
      </c>
      <c r="H208" s="103" t="s">
        <v>961</v>
      </c>
      <c r="I208" s="20" t="s">
        <v>2091</v>
      </c>
      <c r="J208" s="104" t="str">
        <f t="shared" si="125"/>
        <v>Item_Name_12152002</v>
      </c>
      <c r="K208" s="20">
        <v>10102001</v>
      </c>
      <c r="L208" s="107">
        <f t="shared" si="130"/>
        <v>5</v>
      </c>
      <c r="M208" s="105">
        <f>IF(D208=0, 0, _xlfn.XLOOKUP($F208,'#무게관련'!$B:$B,'#무게관련'!$C:$C)*_xlfn.XLOOKUP($L208,'#무게관련'!$F:$F,'#무게관련'!$G:$G)*100)</f>
        <v>6000</v>
      </c>
      <c r="N208" s="20">
        <v>20300</v>
      </c>
      <c r="O208" s="20">
        <v>2</v>
      </c>
      <c r="P208" s="20">
        <v>15</v>
      </c>
      <c r="Q208" s="20">
        <v>1</v>
      </c>
      <c r="R208" s="20">
        <v>100</v>
      </c>
      <c r="S208" s="20">
        <v>1</v>
      </c>
      <c r="T208" s="20" t="s">
        <v>1863</v>
      </c>
      <c r="U208" s="104" t="str">
        <f t="shared" ref="U208:U209" si="155">"item_bg_grade_0"&amp;L208</f>
        <v>item_bg_grade_05</v>
      </c>
      <c r="V208" s="20" t="s">
        <v>321</v>
      </c>
      <c r="W208" s="20" t="s">
        <v>400</v>
      </c>
      <c r="X208" s="104">
        <v>0</v>
      </c>
      <c r="Y208" s="104">
        <v>0</v>
      </c>
      <c r="Z208" s="104">
        <v>0</v>
      </c>
      <c r="AA208" s="104">
        <v>0</v>
      </c>
      <c r="AB208" s="104">
        <v>0</v>
      </c>
      <c r="AC208" s="104">
        <v>0</v>
      </c>
      <c r="AD208" s="142">
        <v>0</v>
      </c>
      <c r="AE208" s="112">
        <f t="shared" si="131"/>
        <v>50</v>
      </c>
      <c r="AF208" s="70">
        <v>2502020</v>
      </c>
      <c r="AG208" s="105" cm="1">
        <f t="array" ref="AG208">_xlfn.SWITCH(L208,3,1,
           4,1,
           5,1,
           6,1,0)</f>
        <v>1</v>
      </c>
      <c r="AH208" s="146">
        <f t="shared" si="144"/>
        <v>80101501</v>
      </c>
      <c r="AI208" s="90">
        <v>6003</v>
      </c>
      <c r="AJ208" s="90">
        <v>3008</v>
      </c>
      <c r="AK208" s="27">
        <v>5002</v>
      </c>
      <c r="AL208" s="123">
        <f>_xlfn.XLOOKUP(H208,'#각종 참고'!$B$11:$B$20,'#각종 참고'!$D$11:$D$20)</f>
        <v>0</v>
      </c>
      <c r="AM208" s="27">
        <v>1</v>
      </c>
      <c r="AN208" s="27">
        <v>1</v>
      </c>
      <c r="AO208" s="124">
        <f t="shared" si="136"/>
        <v>1</v>
      </c>
      <c r="AP208" s="27">
        <v>1</v>
      </c>
      <c r="AQ208" s="21">
        <v>12152011</v>
      </c>
      <c r="AR208" s="21" t="s">
        <v>2361</v>
      </c>
      <c r="AS208" s="68"/>
      <c r="AT208" s="68"/>
      <c r="AU208" s="68"/>
    </row>
    <row r="209" spans="1:47" x14ac:dyDescent="0.3">
      <c r="A209" s="19"/>
      <c r="B209" s="109">
        <v>12152003</v>
      </c>
      <c r="C209" s="99" t="str">
        <f t="shared" si="154"/>
        <v>2</v>
      </c>
      <c r="D209" s="121">
        <f>COUNTIFS($F$33:F209,F209, $G$33:G209,G209, $C$33:C209,C209, $L$33:L209,L209)</f>
        <v>3</v>
      </c>
      <c r="E209" s="20">
        <v>1</v>
      </c>
      <c r="F209" s="20">
        <v>2</v>
      </c>
      <c r="G209" s="20">
        <v>1</v>
      </c>
      <c r="H209" s="103" t="s">
        <v>961</v>
      </c>
      <c r="I209" s="20" t="s">
        <v>1651</v>
      </c>
      <c r="J209" s="104" t="str">
        <f t="shared" si="125"/>
        <v>Item_Name_12152003</v>
      </c>
      <c r="K209" s="20">
        <v>10102001</v>
      </c>
      <c r="L209" s="107">
        <f t="shared" si="130"/>
        <v>5</v>
      </c>
      <c r="M209" s="105">
        <f>IF(D209=0, 0, _xlfn.XLOOKUP($F209,'#무게관련'!$B:$B,'#무게관련'!$C:$C)*_xlfn.XLOOKUP($L209,'#무게관련'!$F:$F,'#무게관련'!$G:$G)*100)</f>
        <v>6000</v>
      </c>
      <c r="N209" s="20">
        <v>20300</v>
      </c>
      <c r="O209" s="20">
        <v>2</v>
      </c>
      <c r="P209" s="20">
        <v>15</v>
      </c>
      <c r="Q209" s="20">
        <v>1</v>
      </c>
      <c r="R209" s="20">
        <v>100</v>
      </c>
      <c r="S209" s="20">
        <v>1</v>
      </c>
      <c r="T209" s="20" t="s">
        <v>1863</v>
      </c>
      <c r="U209" s="104" t="str">
        <f t="shared" si="155"/>
        <v>item_bg_grade_05</v>
      </c>
      <c r="V209" s="20" t="s">
        <v>321</v>
      </c>
      <c r="W209" s="20" t="s">
        <v>400</v>
      </c>
      <c r="X209" s="104">
        <v>0</v>
      </c>
      <c r="Y209" s="104">
        <v>0</v>
      </c>
      <c r="Z209" s="104">
        <v>0</v>
      </c>
      <c r="AA209" s="104">
        <v>0</v>
      </c>
      <c r="AB209" s="104">
        <v>0</v>
      </c>
      <c r="AC209" s="104">
        <v>0</v>
      </c>
      <c r="AD209" s="142">
        <v>0</v>
      </c>
      <c r="AE209" s="112">
        <f t="shared" si="131"/>
        <v>50</v>
      </c>
      <c r="AF209" s="70">
        <v>2502030</v>
      </c>
      <c r="AG209" s="105" cm="1">
        <f t="array" ref="AG209">_xlfn.SWITCH(L209,3,1,
           4,1,
           5,1,
           6,1,0)</f>
        <v>1</v>
      </c>
      <c r="AH209" s="146">
        <f t="shared" si="144"/>
        <v>80101501</v>
      </c>
      <c r="AI209" s="90">
        <v>6003</v>
      </c>
      <c r="AJ209" s="90">
        <v>3008</v>
      </c>
      <c r="AK209" s="27">
        <v>5002</v>
      </c>
      <c r="AL209" s="123">
        <f>_xlfn.XLOOKUP(H209,'#각종 참고'!$B$11:$B$20,'#각종 참고'!$D$11:$D$20)</f>
        <v>0</v>
      </c>
      <c r="AM209" s="27">
        <v>1</v>
      </c>
      <c r="AN209" s="27">
        <v>1</v>
      </c>
      <c r="AO209" s="124">
        <f t="shared" si="136"/>
        <v>1</v>
      </c>
      <c r="AP209" s="27">
        <v>1</v>
      </c>
      <c r="AQ209" s="21">
        <v>12152021</v>
      </c>
      <c r="AR209" s="21" t="s">
        <v>2362</v>
      </c>
      <c r="AS209" s="68"/>
      <c r="AT209" s="68"/>
      <c r="AU209" s="68"/>
    </row>
    <row r="210" spans="1:47" x14ac:dyDescent="0.3">
      <c r="A210" s="19"/>
      <c r="B210" s="109">
        <v>12162001</v>
      </c>
      <c r="C210" s="99" t="str">
        <f t="shared" si="153"/>
        <v>2</v>
      </c>
      <c r="D210" s="121">
        <f>COUNTIFS($F$33:F210,F210, $G$33:G210,G210, $C$33:C210,C210, $L$33:L210,L210)</f>
        <v>1</v>
      </c>
      <c r="E210" s="20">
        <v>1</v>
      </c>
      <c r="F210" s="20">
        <v>2</v>
      </c>
      <c r="G210" s="20">
        <v>1</v>
      </c>
      <c r="H210" s="103" t="s">
        <v>961</v>
      </c>
      <c r="I210" s="20" t="s">
        <v>1652</v>
      </c>
      <c r="J210" s="104" t="str">
        <f t="shared" si="125"/>
        <v>Item_Name_12162001</v>
      </c>
      <c r="K210" s="20">
        <v>10102001</v>
      </c>
      <c r="L210" s="107">
        <f t="shared" si="130"/>
        <v>6</v>
      </c>
      <c r="M210" s="105">
        <f>IF(D210=0, 0, _xlfn.XLOOKUP($F210,'#무게관련'!$B:$B,'#무게관련'!$C:$C)*_xlfn.XLOOKUP($L210,'#무게관련'!$F:$F,'#무게관련'!$G:$G)*100)</f>
        <v>6000</v>
      </c>
      <c r="N210" s="20">
        <v>20300</v>
      </c>
      <c r="O210" s="20">
        <v>2</v>
      </c>
      <c r="P210" s="20">
        <v>15</v>
      </c>
      <c r="Q210" s="20">
        <v>1</v>
      </c>
      <c r="R210" s="20">
        <v>100</v>
      </c>
      <c r="S210" s="20">
        <v>1</v>
      </c>
      <c r="T210" s="109" t="s">
        <v>1863</v>
      </c>
      <c r="U210" s="104" t="str">
        <f t="shared" si="117"/>
        <v>item_bg_grade_06</v>
      </c>
      <c r="V210" s="20" t="s">
        <v>321</v>
      </c>
      <c r="W210" s="20" t="s">
        <v>400</v>
      </c>
      <c r="X210" s="104">
        <v>0</v>
      </c>
      <c r="Y210" s="104">
        <v>0</v>
      </c>
      <c r="Z210" s="104">
        <v>0</v>
      </c>
      <c r="AA210" s="104">
        <v>0</v>
      </c>
      <c r="AB210" s="104">
        <v>0</v>
      </c>
      <c r="AC210" s="104">
        <v>0</v>
      </c>
      <c r="AD210" s="142">
        <v>0</v>
      </c>
      <c r="AE210" s="112">
        <f t="shared" si="131"/>
        <v>70</v>
      </c>
      <c r="AF210" s="70">
        <v>2602010</v>
      </c>
      <c r="AG210" s="105" cm="1">
        <f t="array" ref="AG210">_xlfn.SWITCH(L210,3,1,
           4,1,
           5,1,
           6,1,0)</f>
        <v>1</v>
      </c>
      <c r="AH210" s="146">
        <f t="shared" si="144"/>
        <v>0</v>
      </c>
      <c r="AI210" s="90">
        <v>6004</v>
      </c>
      <c r="AJ210" s="90">
        <v>3010</v>
      </c>
      <c r="AK210" s="27">
        <v>6002</v>
      </c>
      <c r="AL210" s="123">
        <f>_xlfn.XLOOKUP(H210,'#각종 참고'!$B$11:$B$20,'#각종 참고'!$D$11:$D$20)</f>
        <v>0</v>
      </c>
      <c r="AM210" s="27">
        <v>1</v>
      </c>
      <c r="AN210" s="27">
        <v>1</v>
      </c>
      <c r="AO210" s="124">
        <f t="shared" si="136"/>
        <v>1</v>
      </c>
      <c r="AP210" s="27">
        <v>1</v>
      </c>
      <c r="AQ210" s="21">
        <v>12162001</v>
      </c>
      <c r="AR210" s="21" t="s">
        <v>1652</v>
      </c>
      <c r="AS210" s="68"/>
      <c r="AT210" s="68"/>
      <c r="AU210" s="68"/>
    </row>
    <row r="211" spans="1:47" x14ac:dyDescent="0.3">
      <c r="A211" s="19" t="s">
        <v>513</v>
      </c>
      <c r="B211" s="109">
        <v>12162002</v>
      </c>
      <c r="C211" s="99" t="str">
        <f t="shared" ref="C211:C212" si="156">IF(K211&gt;0,MID(K211,5, 1), 0)</f>
        <v>2</v>
      </c>
      <c r="D211" s="121">
        <f>COUNTIFS($F$33:F211,F211, $G$33:G211,G211, $C$33:C211,C211, $L$33:L211,L211)</f>
        <v>2</v>
      </c>
      <c r="E211" s="20">
        <v>1</v>
      </c>
      <c r="F211" s="20">
        <v>2</v>
      </c>
      <c r="G211" s="20">
        <v>1</v>
      </c>
      <c r="H211" s="103" t="s">
        <v>961</v>
      </c>
      <c r="I211" s="20" t="s">
        <v>2093</v>
      </c>
      <c r="J211" s="104" t="str">
        <f t="shared" si="125"/>
        <v>Item_Name_12162002</v>
      </c>
      <c r="K211" s="20">
        <v>10102001</v>
      </c>
      <c r="L211" s="107">
        <f t="shared" si="130"/>
        <v>6</v>
      </c>
      <c r="M211" s="105">
        <f>IF(D211=0, 0, _xlfn.XLOOKUP($F211,'#무게관련'!$B:$B,'#무게관련'!$C:$C)*_xlfn.XLOOKUP($L211,'#무게관련'!$F:$F,'#무게관련'!$G:$G)*100)</f>
        <v>6000</v>
      </c>
      <c r="N211" s="20">
        <v>20300</v>
      </c>
      <c r="O211" s="20">
        <v>2</v>
      </c>
      <c r="P211" s="20">
        <v>15</v>
      </c>
      <c r="Q211" s="20">
        <v>1</v>
      </c>
      <c r="R211" s="20">
        <v>100</v>
      </c>
      <c r="S211" s="20">
        <v>1</v>
      </c>
      <c r="T211" s="109" t="s">
        <v>1863</v>
      </c>
      <c r="U211" s="104" t="str">
        <f t="shared" ref="U211:U212" si="157">"item_bg_grade_0"&amp;L211</f>
        <v>item_bg_grade_06</v>
      </c>
      <c r="V211" s="20" t="s">
        <v>321</v>
      </c>
      <c r="W211" s="20" t="s">
        <v>400</v>
      </c>
      <c r="X211" s="104">
        <v>0</v>
      </c>
      <c r="Y211" s="104">
        <v>0</v>
      </c>
      <c r="Z211" s="104">
        <v>0</v>
      </c>
      <c r="AA211" s="104">
        <v>0</v>
      </c>
      <c r="AB211" s="104">
        <v>0</v>
      </c>
      <c r="AC211" s="104">
        <v>0</v>
      </c>
      <c r="AD211" s="142">
        <v>0</v>
      </c>
      <c r="AE211" s="112">
        <f t="shared" si="131"/>
        <v>70</v>
      </c>
      <c r="AF211" s="70">
        <v>2602010</v>
      </c>
      <c r="AG211" s="105" cm="1">
        <f t="array" ref="AG211">_xlfn.SWITCH(L211,3,1,
           4,1,
           5,1,
           6,1,0)</f>
        <v>1</v>
      </c>
      <c r="AH211" s="146">
        <f t="shared" si="144"/>
        <v>0</v>
      </c>
      <c r="AI211" s="90">
        <v>6004</v>
      </c>
      <c r="AJ211" s="90">
        <v>3010</v>
      </c>
      <c r="AK211" s="27">
        <v>6002</v>
      </c>
      <c r="AL211" s="123">
        <f>_xlfn.XLOOKUP(H211,'#각종 참고'!$B$11:$B$20,'#각종 참고'!$D$11:$D$20)</f>
        <v>0</v>
      </c>
      <c r="AM211" s="27">
        <v>1</v>
      </c>
      <c r="AN211" s="27">
        <v>1</v>
      </c>
      <c r="AO211" s="124">
        <f t="shared" si="136"/>
        <v>1</v>
      </c>
      <c r="AP211" s="27">
        <v>1</v>
      </c>
      <c r="AQ211" s="21">
        <v>12162011</v>
      </c>
      <c r="AR211" s="21" t="s">
        <v>2363</v>
      </c>
      <c r="AS211" s="68"/>
      <c r="AT211" s="68"/>
      <c r="AU211" s="68"/>
    </row>
    <row r="212" spans="1:47" x14ac:dyDescent="0.3">
      <c r="A212" s="19" t="s">
        <v>513</v>
      </c>
      <c r="B212" s="109">
        <v>12162003</v>
      </c>
      <c r="C212" s="99" t="str">
        <f t="shared" si="156"/>
        <v>2</v>
      </c>
      <c r="D212" s="121">
        <f>COUNTIFS($F$33:F212,F212, $G$33:G212,G212, $C$33:C212,C212, $L$33:L212,L212)</f>
        <v>3</v>
      </c>
      <c r="E212" s="20">
        <v>1</v>
      </c>
      <c r="F212" s="20">
        <v>2</v>
      </c>
      <c r="G212" s="20">
        <v>1</v>
      </c>
      <c r="H212" s="103" t="s">
        <v>961</v>
      </c>
      <c r="I212" s="20" t="s">
        <v>2092</v>
      </c>
      <c r="J212" s="104" t="str">
        <f t="shared" si="125"/>
        <v>Item_Name_12162003</v>
      </c>
      <c r="K212" s="20">
        <v>10102001</v>
      </c>
      <c r="L212" s="107">
        <f t="shared" si="130"/>
        <v>6</v>
      </c>
      <c r="M212" s="105">
        <f>IF(D212=0, 0, _xlfn.XLOOKUP($F212,'#무게관련'!$B:$B,'#무게관련'!$C:$C)*_xlfn.XLOOKUP($L212,'#무게관련'!$F:$F,'#무게관련'!$G:$G)*100)</f>
        <v>6000</v>
      </c>
      <c r="N212" s="20">
        <v>20300</v>
      </c>
      <c r="O212" s="20">
        <v>2</v>
      </c>
      <c r="P212" s="20">
        <v>15</v>
      </c>
      <c r="Q212" s="20">
        <v>1</v>
      </c>
      <c r="R212" s="20">
        <v>100</v>
      </c>
      <c r="S212" s="20">
        <v>1</v>
      </c>
      <c r="T212" s="109" t="s">
        <v>1863</v>
      </c>
      <c r="U212" s="104" t="str">
        <f t="shared" si="157"/>
        <v>item_bg_grade_06</v>
      </c>
      <c r="V212" s="20" t="s">
        <v>321</v>
      </c>
      <c r="W212" s="20" t="s">
        <v>400</v>
      </c>
      <c r="X212" s="104">
        <v>0</v>
      </c>
      <c r="Y212" s="104">
        <v>0</v>
      </c>
      <c r="Z212" s="104">
        <v>0</v>
      </c>
      <c r="AA212" s="104">
        <v>0</v>
      </c>
      <c r="AB212" s="104">
        <v>0</v>
      </c>
      <c r="AC212" s="104">
        <v>0</v>
      </c>
      <c r="AD212" s="142">
        <v>0</v>
      </c>
      <c r="AE212" s="112">
        <f t="shared" si="131"/>
        <v>70</v>
      </c>
      <c r="AF212" s="70">
        <v>2602010</v>
      </c>
      <c r="AG212" s="105" cm="1">
        <f t="array" ref="AG212">_xlfn.SWITCH(L212,3,1,
           4,1,
           5,1,
           6,1,0)</f>
        <v>1</v>
      </c>
      <c r="AH212" s="146">
        <f t="shared" si="144"/>
        <v>0</v>
      </c>
      <c r="AI212" s="90">
        <v>6004</v>
      </c>
      <c r="AJ212" s="90">
        <v>3010</v>
      </c>
      <c r="AK212" s="27">
        <v>6002</v>
      </c>
      <c r="AL212" s="123">
        <f>_xlfn.XLOOKUP(H212,'#각종 참고'!$B$11:$B$20,'#각종 참고'!$D$11:$D$20)</f>
        <v>0</v>
      </c>
      <c r="AM212" s="27">
        <v>1</v>
      </c>
      <c r="AN212" s="27">
        <v>1</v>
      </c>
      <c r="AO212" s="124">
        <f t="shared" si="136"/>
        <v>1</v>
      </c>
      <c r="AP212" s="27">
        <v>1</v>
      </c>
      <c r="AQ212" s="21">
        <v>12162021</v>
      </c>
      <c r="AR212" s="21" t="s">
        <v>2364</v>
      </c>
      <c r="AS212" s="68"/>
      <c r="AT212" s="68"/>
      <c r="AU212" s="68"/>
    </row>
    <row r="213" spans="1:47" s="68" customFormat="1" x14ac:dyDescent="0.3">
      <c r="A213" s="65"/>
      <c r="B213" s="110">
        <v>13112001</v>
      </c>
      <c r="C213" s="99" t="str">
        <f t="shared" si="1"/>
        <v>3</v>
      </c>
      <c r="D213" s="120">
        <f>COUNTIFS($F$33:F213,F213, $G$33:G213,G213, $C$33:C213,C213, $L$33:L213,L213)</f>
        <v>1</v>
      </c>
      <c r="E213" s="20">
        <v>1</v>
      </c>
      <c r="F213" s="66">
        <v>2</v>
      </c>
      <c r="G213" s="66">
        <v>1</v>
      </c>
      <c r="H213" s="103" t="s">
        <v>961</v>
      </c>
      <c r="I213" s="66" t="s">
        <v>1653</v>
      </c>
      <c r="J213" s="104" t="str">
        <f t="shared" si="125"/>
        <v>Item_Name_13112001</v>
      </c>
      <c r="K213" s="66">
        <v>10103001</v>
      </c>
      <c r="L213" s="106">
        <f t="shared" si="130"/>
        <v>1</v>
      </c>
      <c r="M213" s="105">
        <f>IF(D213=0, 0, _xlfn.XLOOKUP($F213,'#무게관련'!$B:$B,'#무게관련'!$C:$C)*_xlfn.XLOOKUP($L213,'#무게관련'!$F:$F,'#무게관련'!$G:$G)*100)</f>
        <v>6000</v>
      </c>
      <c r="N213" s="20">
        <v>20300</v>
      </c>
      <c r="O213" s="20">
        <v>3</v>
      </c>
      <c r="P213" s="66">
        <v>15</v>
      </c>
      <c r="Q213" s="20">
        <v>1</v>
      </c>
      <c r="R213" s="66">
        <v>100</v>
      </c>
      <c r="S213" s="66">
        <v>1</v>
      </c>
      <c r="T213" s="66" t="s">
        <v>1859</v>
      </c>
      <c r="U213" s="104" t="str">
        <f t="shared" si="117"/>
        <v>item_bg_grade_01</v>
      </c>
      <c r="V213" s="66" t="s">
        <v>321</v>
      </c>
      <c r="W213" s="66" t="s">
        <v>400</v>
      </c>
      <c r="X213" s="104">
        <v>0</v>
      </c>
      <c r="Y213" s="104">
        <v>0</v>
      </c>
      <c r="Z213" s="104">
        <v>0</v>
      </c>
      <c r="AA213" s="104">
        <v>0</v>
      </c>
      <c r="AB213" s="104">
        <v>0</v>
      </c>
      <c r="AC213" s="104">
        <v>0</v>
      </c>
      <c r="AD213" s="142">
        <v>0</v>
      </c>
      <c r="AE213" s="111">
        <f t="shared" si="131"/>
        <v>10</v>
      </c>
      <c r="AF213" s="70">
        <v>3102010</v>
      </c>
      <c r="AG213" s="105" cm="1">
        <f t="array" ref="AG213">_xlfn.SWITCH(L213,3,1,
           4,1,
           5,1,
           6,1,0)</f>
        <v>0</v>
      </c>
      <c r="AH213" s="146">
        <f t="shared" si="144"/>
        <v>80101101</v>
      </c>
      <c r="AI213" s="90">
        <v>0</v>
      </c>
      <c r="AJ213" s="90">
        <v>0</v>
      </c>
      <c r="AK213" s="27">
        <v>0</v>
      </c>
      <c r="AL213" s="123">
        <f>_xlfn.XLOOKUP(H213,'#각종 참고'!$B$11:$B$20,'#각종 참고'!$D$11:$D$20)</f>
        <v>0</v>
      </c>
      <c r="AM213" s="27">
        <v>1</v>
      </c>
      <c r="AN213" s="27">
        <v>1</v>
      </c>
      <c r="AO213" s="124">
        <f t="shared" si="136"/>
        <v>1</v>
      </c>
      <c r="AP213" s="27">
        <v>1</v>
      </c>
      <c r="AQ213" s="21">
        <v>13112001</v>
      </c>
      <c r="AR213" s="68" t="s">
        <v>1653</v>
      </c>
    </row>
    <row r="214" spans="1:47" s="68" customFormat="1" x14ac:dyDescent="0.3">
      <c r="A214" s="65"/>
      <c r="B214" s="110">
        <v>13112002</v>
      </c>
      <c r="C214" s="99" t="str">
        <f t="shared" ref="C214:C215" si="158">IF(K214&gt;0,MID(K214,5, 1), 0)</f>
        <v>3</v>
      </c>
      <c r="D214" s="120">
        <f>COUNTIFS($F$33:F214,F214, $G$33:G214,G214, $C$33:C214,C214, $L$33:L214,L214)</f>
        <v>2</v>
      </c>
      <c r="E214" s="20">
        <v>1</v>
      </c>
      <c r="F214" s="66">
        <v>2</v>
      </c>
      <c r="G214" s="66">
        <v>1</v>
      </c>
      <c r="H214" s="103" t="s">
        <v>961</v>
      </c>
      <c r="I214" s="66" t="s">
        <v>2095</v>
      </c>
      <c r="J214" s="104" t="str">
        <f t="shared" si="125"/>
        <v>Item_Name_13112002</v>
      </c>
      <c r="K214" s="66">
        <v>10103001</v>
      </c>
      <c r="L214" s="106">
        <f t="shared" si="130"/>
        <v>1</v>
      </c>
      <c r="M214" s="105">
        <f>IF(D214=0, 0, _xlfn.XLOOKUP($F214,'#무게관련'!$B:$B,'#무게관련'!$C:$C)*_xlfn.XLOOKUP($L214,'#무게관련'!$F:$F,'#무게관련'!$G:$G)*100)</f>
        <v>6000</v>
      </c>
      <c r="N214" s="20">
        <v>20300</v>
      </c>
      <c r="O214" s="20">
        <v>3</v>
      </c>
      <c r="P214" s="66">
        <v>15</v>
      </c>
      <c r="Q214" s="20">
        <v>1</v>
      </c>
      <c r="R214" s="66">
        <v>100</v>
      </c>
      <c r="S214" s="66">
        <v>1</v>
      </c>
      <c r="T214" s="66" t="s">
        <v>1859</v>
      </c>
      <c r="U214" s="104" t="str">
        <f t="shared" ref="U214:U215" si="159">"item_bg_grade_0"&amp;L214</f>
        <v>item_bg_grade_01</v>
      </c>
      <c r="V214" s="66" t="s">
        <v>321</v>
      </c>
      <c r="W214" s="66" t="s">
        <v>400</v>
      </c>
      <c r="X214" s="104">
        <v>0</v>
      </c>
      <c r="Y214" s="104">
        <v>0</v>
      </c>
      <c r="Z214" s="104">
        <v>0</v>
      </c>
      <c r="AA214" s="104">
        <v>0</v>
      </c>
      <c r="AB214" s="104">
        <v>0</v>
      </c>
      <c r="AC214" s="104">
        <v>0</v>
      </c>
      <c r="AD214" s="142">
        <v>0</v>
      </c>
      <c r="AE214" s="111">
        <f t="shared" si="131"/>
        <v>10</v>
      </c>
      <c r="AF214" s="70">
        <v>3102020</v>
      </c>
      <c r="AG214" s="105" cm="1">
        <f t="array" ref="AG214">_xlfn.SWITCH(L214,3,1,
           4,1,
           5,1,
           6,1,0)</f>
        <v>0</v>
      </c>
      <c r="AH214" s="146">
        <f t="shared" si="144"/>
        <v>80101101</v>
      </c>
      <c r="AI214" s="90">
        <v>0</v>
      </c>
      <c r="AJ214" s="90">
        <v>0</v>
      </c>
      <c r="AK214" s="27">
        <v>0</v>
      </c>
      <c r="AL214" s="123">
        <f>_xlfn.XLOOKUP(H214,'#각종 참고'!$B$11:$B$20,'#각종 참고'!$D$11:$D$20)</f>
        <v>0</v>
      </c>
      <c r="AM214" s="27">
        <v>1</v>
      </c>
      <c r="AN214" s="27">
        <v>1</v>
      </c>
      <c r="AO214" s="124">
        <f t="shared" si="136"/>
        <v>1</v>
      </c>
      <c r="AP214" s="27">
        <v>1</v>
      </c>
      <c r="AQ214" s="21">
        <v>13112011</v>
      </c>
      <c r="AR214" s="68" t="s">
        <v>2365</v>
      </c>
    </row>
    <row r="215" spans="1:47" s="68" customFormat="1" x14ac:dyDescent="0.3">
      <c r="A215" s="65"/>
      <c r="B215" s="110">
        <v>13112003</v>
      </c>
      <c r="C215" s="99" t="str">
        <f t="shared" si="158"/>
        <v>3</v>
      </c>
      <c r="D215" s="120">
        <f>COUNTIFS($F$33:F215,F215, $G$33:G215,G215, $C$33:C215,C215, $L$33:L215,L215)</f>
        <v>3</v>
      </c>
      <c r="E215" s="20">
        <v>1</v>
      </c>
      <c r="F215" s="66">
        <v>2</v>
      </c>
      <c r="G215" s="66">
        <v>1</v>
      </c>
      <c r="H215" s="103" t="s">
        <v>961</v>
      </c>
      <c r="I215" s="66" t="s">
        <v>2094</v>
      </c>
      <c r="J215" s="104" t="str">
        <f t="shared" si="125"/>
        <v>Item_Name_13112003</v>
      </c>
      <c r="K215" s="66">
        <v>10103001</v>
      </c>
      <c r="L215" s="106">
        <f t="shared" si="130"/>
        <v>1</v>
      </c>
      <c r="M215" s="105">
        <f>IF(D215=0, 0, _xlfn.XLOOKUP($F215,'#무게관련'!$B:$B,'#무게관련'!$C:$C)*_xlfn.XLOOKUP($L215,'#무게관련'!$F:$F,'#무게관련'!$G:$G)*100)</f>
        <v>6000</v>
      </c>
      <c r="N215" s="20">
        <v>20300</v>
      </c>
      <c r="O215" s="20">
        <v>3</v>
      </c>
      <c r="P215" s="66">
        <v>15</v>
      </c>
      <c r="Q215" s="20">
        <v>1</v>
      </c>
      <c r="R215" s="66">
        <v>100</v>
      </c>
      <c r="S215" s="66">
        <v>1</v>
      </c>
      <c r="T215" s="66" t="s">
        <v>1859</v>
      </c>
      <c r="U215" s="104" t="str">
        <f t="shared" si="159"/>
        <v>item_bg_grade_01</v>
      </c>
      <c r="V215" s="66" t="s">
        <v>321</v>
      </c>
      <c r="W215" s="66" t="s">
        <v>400</v>
      </c>
      <c r="X215" s="104">
        <v>0</v>
      </c>
      <c r="Y215" s="104">
        <v>0</v>
      </c>
      <c r="Z215" s="104">
        <v>0</v>
      </c>
      <c r="AA215" s="104">
        <v>0</v>
      </c>
      <c r="AB215" s="104">
        <v>0</v>
      </c>
      <c r="AC215" s="104">
        <v>0</v>
      </c>
      <c r="AD215" s="142">
        <v>0</v>
      </c>
      <c r="AE215" s="111">
        <f t="shared" si="131"/>
        <v>10</v>
      </c>
      <c r="AF215" s="70">
        <v>3102030</v>
      </c>
      <c r="AG215" s="105" cm="1">
        <f t="array" ref="AG215">_xlfn.SWITCH(L215,3,1,
           4,1,
           5,1,
           6,1,0)</f>
        <v>0</v>
      </c>
      <c r="AH215" s="146">
        <f t="shared" si="144"/>
        <v>80101101</v>
      </c>
      <c r="AI215" s="90">
        <v>0</v>
      </c>
      <c r="AJ215" s="90">
        <v>0</v>
      </c>
      <c r="AK215" s="27">
        <v>0</v>
      </c>
      <c r="AL215" s="123">
        <f>_xlfn.XLOOKUP(H215,'#각종 참고'!$B$11:$B$20,'#각종 참고'!$D$11:$D$20)</f>
        <v>0</v>
      </c>
      <c r="AM215" s="27">
        <v>1</v>
      </c>
      <c r="AN215" s="27">
        <v>1</v>
      </c>
      <c r="AO215" s="124">
        <f t="shared" si="136"/>
        <v>1</v>
      </c>
      <c r="AP215" s="27">
        <v>1</v>
      </c>
      <c r="AQ215" s="21">
        <v>13112021</v>
      </c>
      <c r="AR215" s="68" t="s">
        <v>2366</v>
      </c>
    </row>
    <row r="216" spans="1:47" x14ac:dyDescent="0.3">
      <c r="A216" s="19"/>
      <c r="B216" s="109">
        <v>13122001</v>
      </c>
      <c r="C216" s="99" t="str">
        <f t="shared" si="1"/>
        <v>3</v>
      </c>
      <c r="D216" s="121">
        <f>COUNTIFS($F$33:F216,F216, $G$33:G216,G216, $C$33:C216,C216, $L$33:L216,L216)</f>
        <v>1</v>
      </c>
      <c r="E216" s="20">
        <v>1</v>
      </c>
      <c r="F216" s="20">
        <v>2</v>
      </c>
      <c r="G216" s="20">
        <v>1</v>
      </c>
      <c r="H216" s="103" t="s">
        <v>961</v>
      </c>
      <c r="I216" s="20" t="s">
        <v>1654</v>
      </c>
      <c r="J216" s="104" t="str">
        <f t="shared" si="125"/>
        <v>Item_Name_13122001</v>
      </c>
      <c r="K216" s="20">
        <v>10103001</v>
      </c>
      <c r="L216" s="108">
        <f t="shared" si="130"/>
        <v>2</v>
      </c>
      <c r="M216" s="105">
        <f>IF(D216=0, 0, _xlfn.XLOOKUP($F216,'#무게관련'!$B:$B,'#무게관련'!$C:$C)*_xlfn.XLOOKUP($L216,'#무게관련'!$F:$F,'#무게관련'!$G:$G)*100)</f>
        <v>6000</v>
      </c>
      <c r="N216" s="20">
        <v>20300</v>
      </c>
      <c r="O216" s="20">
        <v>3</v>
      </c>
      <c r="P216" s="20">
        <v>15</v>
      </c>
      <c r="Q216" s="20">
        <v>1</v>
      </c>
      <c r="R216" s="20">
        <v>100</v>
      </c>
      <c r="S216" s="20">
        <v>1</v>
      </c>
      <c r="T216" s="20" t="s">
        <v>1860</v>
      </c>
      <c r="U216" s="104" t="str">
        <f t="shared" si="117"/>
        <v>item_bg_grade_02</v>
      </c>
      <c r="V216" s="20" t="s">
        <v>321</v>
      </c>
      <c r="W216" s="20" t="s">
        <v>400</v>
      </c>
      <c r="X216" s="104">
        <v>0</v>
      </c>
      <c r="Y216" s="104">
        <v>0</v>
      </c>
      <c r="Z216" s="104">
        <v>0</v>
      </c>
      <c r="AA216" s="104">
        <v>0</v>
      </c>
      <c r="AB216" s="104">
        <v>0</v>
      </c>
      <c r="AC216" s="104">
        <v>0</v>
      </c>
      <c r="AD216" s="142">
        <v>0</v>
      </c>
      <c r="AE216" s="112">
        <f t="shared" si="131"/>
        <v>20</v>
      </c>
      <c r="AF216" s="70">
        <v>3202010</v>
      </c>
      <c r="AG216" s="105" cm="1">
        <f t="array" ref="AG216">_xlfn.SWITCH(L216,3,1,
           4,1,
           5,1,
           6,1,0)</f>
        <v>0</v>
      </c>
      <c r="AH216" s="146">
        <f t="shared" si="144"/>
        <v>80101201</v>
      </c>
      <c r="AI216" s="90">
        <v>6000</v>
      </c>
      <c r="AJ216" s="90">
        <v>3002</v>
      </c>
      <c r="AK216" s="27">
        <v>2002</v>
      </c>
      <c r="AL216" s="123">
        <f>_xlfn.XLOOKUP(H216,'#각종 참고'!$B$11:$B$20,'#각종 참고'!$D$11:$D$20)</f>
        <v>0</v>
      </c>
      <c r="AM216" s="27">
        <v>1</v>
      </c>
      <c r="AN216" s="27">
        <v>1</v>
      </c>
      <c r="AO216" s="124">
        <f t="shared" si="136"/>
        <v>1</v>
      </c>
      <c r="AP216" s="27">
        <v>1</v>
      </c>
      <c r="AQ216" s="21">
        <v>13122001</v>
      </c>
      <c r="AR216" s="21" t="s">
        <v>1654</v>
      </c>
      <c r="AS216" s="68"/>
      <c r="AT216" s="68"/>
      <c r="AU216" s="68"/>
    </row>
    <row r="217" spans="1:47" x14ac:dyDescent="0.3">
      <c r="A217" s="19"/>
      <c r="B217" s="109">
        <v>13122002</v>
      </c>
      <c r="C217" s="99" t="str">
        <f t="shared" ref="C217:C218" si="160">IF(K217&gt;0,MID(K217,5, 1), 0)</f>
        <v>3</v>
      </c>
      <c r="D217" s="121">
        <f>COUNTIFS($F$33:F217,F217, $G$33:G217,G217, $C$33:C217,C217, $L$33:L217,L217)</f>
        <v>2</v>
      </c>
      <c r="E217" s="20">
        <v>1</v>
      </c>
      <c r="F217" s="20">
        <v>2</v>
      </c>
      <c r="G217" s="20">
        <v>1</v>
      </c>
      <c r="H217" s="103" t="s">
        <v>961</v>
      </c>
      <c r="I217" s="20" t="s">
        <v>1656</v>
      </c>
      <c r="J217" s="104" t="str">
        <f t="shared" si="125"/>
        <v>Item_Name_13122002</v>
      </c>
      <c r="K217" s="20">
        <v>10103001</v>
      </c>
      <c r="L217" s="108">
        <f t="shared" si="130"/>
        <v>2</v>
      </c>
      <c r="M217" s="105">
        <f>IF(D217=0, 0, _xlfn.XLOOKUP($F217,'#무게관련'!$B:$B,'#무게관련'!$C:$C)*_xlfn.XLOOKUP($L217,'#무게관련'!$F:$F,'#무게관련'!$G:$G)*100)</f>
        <v>6000</v>
      </c>
      <c r="N217" s="20">
        <v>20300</v>
      </c>
      <c r="O217" s="20">
        <v>3</v>
      </c>
      <c r="P217" s="20">
        <v>15</v>
      </c>
      <c r="Q217" s="20">
        <v>1</v>
      </c>
      <c r="R217" s="20">
        <v>100</v>
      </c>
      <c r="S217" s="20">
        <v>1</v>
      </c>
      <c r="T217" s="20" t="s">
        <v>1860</v>
      </c>
      <c r="U217" s="104" t="str">
        <f t="shared" ref="U217:U218" si="161">"item_bg_grade_0"&amp;L217</f>
        <v>item_bg_grade_02</v>
      </c>
      <c r="V217" s="20" t="s">
        <v>321</v>
      </c>
      <c r="W217" s="20" t="s">
        <v>400</v>
      </c>
      <c r="X217" s="104">
        <v>0</v>
      </c>
      <c r="Y217" s="104">
        <v>0</v>
      </c>
      <c r="Z217" s="104">
        <v>0</v>
      </c>
      <c r="AA217" s="104">
        <v>0</v>
      </c>
      <c r="AB217" s="104">
        <v>0</v>
      </c>
      <c r="AC217" s="104">
        <v>0</v>
      </c>
      <c r="AD217" s="142">
        <v>0</v>
      </c>
      <c r="AE217" s="112">
        <f t="shared" si="131"/>
        <v>20</v>
      </c>
      <c r="AF217" s="70">
        <v>3202020</v>
      </c>
      <c r="AG217" s="105" cm="1">
        <f t="array" ref="AG217">_xlfn.SWITCH(L217,3,1,
           4,1,
           5,1,
           6,1,0)</f>
        <v>0</v>
      </c>
      <c r="AH217" s="146">
        <f t="shared" si="144"/>
        <v>80101201</v>
      </c>
      <c r="AI217" s="90">
        <v>6000</v>
      </c>
      <c r="AJ217" s="90">
        <v>3002</v>
      </c>
      <c r="AK217" s="27">
        <v>2002</v>
      </c>
      <c r="AL217" s="123">
        <f>_xlfn.XLOOKUP(H217,'#각종 참고'!$B$11:$B$20,'#각종 참고'!$D$11:$D$20)</f>
        <v>0</v>
      </c>
      <c r="AM217" s="27">
        <v>1</v>
      </c>
      <c r="AN217" s="27">
        <v>1</v>
      </c>
      <c r="AO217" s="124">
        <f t="shared" si="136"/>
        <v>1</v>
      </c>
      <c r="AP217" s="27">
        <v>1</v>
      </c>
      <c r="AQ217" s="21">
        <v>13122011</v>
      </c>
      <c r="AR217" s="21" t="s">
        <v>2367</v>
      </c>
      <c r="AS217" s="68"/>
      <c r="AT217" s="68"/>
      <c r="AU217" s="68"/>
    </row>
    <row r="218" spans="1:47" x14ac:dyDescent="0.3">
      <c r="A218" s="19"/>
      <c r="B218" s="109">
        <v>13122003</v>
      </c>
      <c r="C218" s="99" t="str">
        <f t="shared" si="160"/>
        <v>3</v>
      </c>
      <c r="D218" s="121">
        <f>COUNTIFS($F$33:F218,F218, $G$33:G218,G218, $C$33:C218,C218, $L$33:L218,L218)</f>
        <v>3</v>
      </c>
      <c r="E218" s="20">
        <v>1</v>
      </c>
      <c r="F218" s="20">
        <v>2</v>
      </c>
      <c r="G218" s="20">
        <v>1</v>
      </c>
      <c r="H218" s="103" t="s">
        <v>961</v>
      </c>
      <c r="I218" s="20" t="s">
        <v>2014</v>
      </c>
      <c r="J218" s="104" t="str">
        <f t="shared" si="125"/>
        <v>Item_Name_13122003</v>
      </c>
      <c r="K218" s="20">
        <v>10103001</v>
      </c>
      <c r="L218" s="108">
        <f t="shared" si="130"/>
        <v>2</v>
      </c>
      <c r="M218" s="105">
        <f>IF(D218=0, 0, _xlfn.XLOOKUP($F218,'#무게관련'!$B:$B,'#무게관련'!$C:$C)*_xlfn.XLOOKUP($L218,'#무게관련'!$F:$F,'#무게관련'!$G:$G)*100)</f>
        <v>6000</v>
      </c>
      <c r="N218" s="20">
        <v>20300</v>
      </c>
      <c r="O218" s="20">
        <v>3</v>
      </c>
      <c r="P218" s="20">
        <v>15</v>
      </c>
      <c r="Q218" s="20">
        <v>1</v>
      </c>
      <c r="R218" s="20">
        <v>100</v>
      </c>
      <c r="S218" s="20">
        <v>1</v>
      </c>
      <c r="T218" s="20" t="s">
        <v>1860</v>
      </c>
      <c r="U218" s="104" t="str">
        <f t="shared" si="161"/>
        <v>item_bg_grade_02</v>
      </c>
      <c r="V218" s="20" t="s">
        <v>321</v>
      </c>
      <c r="W218" s="20" t="s">
        <v>400</v>
      </c>
      <c r="X218" s="104">
        <v>0</v>
      </c>
      <c r="Y218" s="104">
        <v>0</v>
      </c>
      <c r="Z218" s="104">
        <v>0</v>
      </c>
      <c r="AA218" s="104">
        <v>0</v>
      </c>
      <c r="AB218" s="104">
        <v>0</v>
      </c>
      <c r="AC218" s="104">
        <v>0</v>
      </c>
      <c r="AD218" s="142">
        <v>0</v>
      </c>
      <c r="AE218" s="112">
        <f t="shared" si="131"/>
        <v>20</v>
      </c>
      <c r="AF218" s="70">
        <v>3202030</v>
      </c>
      <c r="AG218" s="105" cm="1">
        <f t="array" ref="AG218">_xlfn.SWITCH(L218,3,1,
           4,1,
           5,1,
           6,1,0)</f>
        <v>0</v>
      </c>
      <c r="AH218" s="146">
        <f t="shared" si="144"/>
        <v>80101201</v>
      </c>
      <c r="AI218" s="90">
        <v>6000</v>
      </c>
      <c r="AJ218" s="90">
        <v>3002</v>
      </c>
      <c r="AK218" s="27">
        <v>2002</v>
      </c>
      <c r="AL218" s="123">
        <f>_xlfn.XLOOKUP(H218,'#각종 참고'!$B$11:$B$20,'#각종 참고'!$D$11:$D$20)</f>
        <v>0</v>
      </c>
      <c r="AM218" s="27">
        <v>1</v>
      </c>
      <c r="AN218" s="27">
        <v>1</v>
      </c>
      <c r="AO218" s="124">
        <f t="shared" si="136"/>
        <v>1</v>
      </c>
      <c r="AP218" s="27">
        <v>1</v>
      </c>
      <c r="AQ218" s="21">
        <v>13122021</v>
      </c>
      <c r="AR218" s="21" t="s">
        <v>2368</v>
      </c>
      <c r="AS218" s="68"/>
      <c r="AT218" s="68"/>
      <c r="AU218" s="68"/>
    </row>
    <row r="219" spans="1:47" x14ac:dyDescent="0.3">
      <c r="A219" s="19"/>
      <c r="B219" s="109">
        <v>13132001</v>
      </c>
      <c r="C219" s="99" t="str">
        <f t="shared" si="1"/>
        <v>3</v>
      </c>
      <c r="D219" s="121">
        <f>COUNTIFS($F$33:F219,F219, $G$33:G219,G219, $C$33:C219,C219, $L$33:L219,L219)</f>
        <v>1</v>
      </c>
      <c r="E219" s="20">
        <v>1</v>
      </c>
      <c r="F219" s="20">
        <v>2</v>
      </c>
      <c r="G219" s="20">
        <v>1</v>
      </c>
      <c r="H219" s="103" t="s">
        <v>961</v>
      </c>
      <c r="I219" s="20" t="s">
        <v>1655</v>
      </c>
      <c r="J219" s="104" t="str">
        <f t="shared" si="125"/>
        <v>Item_Name_13132001</v>
      </c>
      <c r="K219" s="20">
        <v>10103001</v>
      </c>
      <c r="L219" s="108">
        <f t="shared" si="130"/>
        <v>3</v>
      </c>
      <c r="M219" s="105">
        <f>IF(D219=0, 0, _xlfn.XLOOKUP($F219,'#무게관련'!$B:$B,'#무게관련'!$C:$C)*_xlfn.XLOOKUP($L219,'#무게관련'!$F:$F,'#무게관련'!$G:$G)*100)</f>
        <v>6000</v>
      </c>
      <c r="N219" s="20">
        <v>20300</v>
      </c>
      <c r="O219" s="20">
        <v>3</v>
      </c>
      <c r="P219" s="20">
        <v>15</v>
      </c>
      <c r="Q219" s="20">
        <v>1</v>
      </c>
      <c r="R219" s="20">
        <v>100</v>
      </c>
      <c r="S219" s="20">
        <v>1</v>
      </c>
      <c r="T219" s="20" t="s">
        <v>1861</v>
      </c>
      <c r="U219" s="104" t="str">
        <f t="shared" si="117"/>
        <v>item_bg_grade_03</v>
      </c>
      <c r="V219" s="20" t="s">
        <v>321</v>
      </c>
      <c r="W219" s="20" t="s">
        <v>400</v>
      </c>
      <c r="X219" s="104">
        <v>0</v>
      </c>
      <c r="Y219" s="104">
        <v>0</v>
      </c>
      <c r="Z219" s="104">
        <v>0</v>
      </c>
      <c r="AA219" s="104">
        <v>0</v>
      </c>
      <c r="AB219" s="104">
        <v>0</v>
      </c>
      <c r="AC219" s="104">
        <v>0</v>
      </c>
      <c r="AD219" s="142">
        <v>0</v>
      </c>
      <c r="AE219" s="112">
        <f t="shared" si="131"/>
        <v>30</v>
      </c>
      <c r="AF219" s="70">
        <v>3302010</v>
      </c>
      <c r="AG219" s="105" cm="1">
        <f t="array" ref="AG219">_xlfn.SWITCH(L219,3,1,
           4,1,
           5,1,
           6,1,0)</f>
        <v>1</v>
      </c>
      <c r="AH219" s="146">
        <f t="shared" si="144"/>
        <v>80101301</v>
      </c>
      <c r="AI219" s="90">
        <v>6001</v>
      </c>
      <c r="AJ219" s="90">
        <v>3004</v>
      </c>
      <c r="AK219" s="27">
        <v>3002</v>
      </c>
      <c r="AL219" s="123">
        <f>_xlfn.XLOOKUP(H219,'#각종 참고'!$B$11:$B$20,'#각종 참고'!$D$11:$D$20)</f>
        <v>0</v>
      </c>
      <c r="AM219" s="27">
        <v>1</v>
      </c>
      <c r="AN219" s="27">
        <v>1</v>
      </c>
      <c r="AO219" s="124">
        <f t="shared" si="136"/>
        <v>1</v>
      </c>
      <c r="AP219" s="27">
        <v>1</v>
      </c>
      <c r="AQ219" s="21">
        <v>13132001</v>
      </c>
      <c r="AR219" s="21" t="s">
        <v>1655</v>
      </c>
      <c r="AS219" s="68"/>
      <c r="AT219" s="68"/>
      <c r="AU219" s="68"/>
    </row>
    <row r="220" spans="1:47" x14ac:dyDescent="0.3">
      <c r="A220" s="19"/>
      <c r="B220" s="109">
        <v>13132002</v>
      </c>
      <c r="C220" s="99" t="str">
        <f t="shared" ref="C220:C221" si="162">IF(K220&gt;0,MID(K220,5, 1), 0)</f>
        <v>3</v>
      </c>
      <c r="D220" s="121">
        <f>COUNTIFS($F$33:F220,F220, $G$33:G220,G220, $C$33:C220,C220, $L$33:L220,L220)</f>
        <v>2</v>
      </c>
      <c r="E220" s="20">
        <v>1</v>
      </c>
      <c r="F220" s="20">
        <v>2</v>
      </c>
      <c r="G220" s="20">
        <v>1</v>
      </c>
      <c r="H220" s="103" t="s">
        <v>961</v>
      </c>
      <c r="I220" s="20" t="s">
        <v>1660</v>
      </c>
      <c r="J220" s="104" t="str">
        <f t="shared" si="125"/>
        <v>Item_Name_13132002</v>
      </c>
      <c r="K220" s="20">
        <v>10103001</v>
      </c>
      <c r="L220" s="108">
        <f t="shared" si="130"/>
        <v>3</v>
      </c>
      <c r="M220" s="105">
        <f>IF(D220=0, 0, _xlfn.XLOOKUP($F220,'#무게관련'!$B:$B,'#무게관련'!$C:$C)*_xlfn.XLOOKUP($L220,'#무게관련'!$F:$F,'#무게관련'!$G:$G)*100)</f>
        <v>6000</v>
      </c>
      <c r="N220" s="20">
        <v>20300</v>
      </c>
      <c r="O220" s="20">
        <v>3</v>
      </c>
      <c r="P220" s="20">
        <v>15</v>
      </c>
      <c r="Q220" s="20">
        <v>1</v>
      </c>
      <c r="R220" s="20">
        <v>100</v>
      </c>
      <c r="S220" s="20">
        <v>1</v>
      </c>
      <c r="T220" s="20" t="s">
        <v>1861</v>
      </c>
      <c r="U220" s="104" t="str">
        <f t="shared" ref="U220:U221" si="163">"item_bg_grade_0"&amp;L220</f>
        <v>item_bg_grade_03</v>
      </c>
      <c r="V220" s="20" t="s">
        <v>321</v>
      </c>
      <c r="W220" s="20" t="s">
        <v>400</v>
      </c>
      <c r="X220" s="104">
        <v>0</v>
      </c>
      <c r="Y220" s="104">
        <v>0</v>
      </c>
      <c r="Z220" s="104">
        <v>0</v>
      </c>
      <c r="AA220" s="104">
        <v>0</v>
      </c>
      <c r="AB220" s="104">
        <v>0</v>
      </c>
      <c r="AC220" s="104">
        <v>0</v>
      </c>
      <c r="AD220" s="142">
        <v>0</v>
      </c>
      <c r="AE220" s="112">
        <f t="shared" si="131"/>
        <v>30</v>
      </c>
      <c r="AF220" s="70">
        <v>3302020</v>
      </c>
      <c r="AG220" s="105" cm="1">
        <f t="array" ref="AG220">_xlfn.SWITCH(L220,3,1,
           4,1,
           5,1,
           6,1,0)</f>
        <v>1</v>
      </c>
      <c r="AH220" s="146">
        <f t="shared" si="144"/>
        <v>80101301</v>
      </c>
      <c r="AI220" s="90">
        <v>6001</v>
      </c>
      <c r="AJ220" s="90">
        <v>3004</v>
      </c>
      <c r="AK220" s="27">
        <v>3002</v>
      </c>
      <c r="AL220" s="123">
        <f>_xlfn.XLOOKUP(H220,'#각종 참고'!$B$11:$B$20,'#각종 참고'!$D$11:$D$20)</f>
        <v>0</v>
      </c>
      <c r="AM220" s="27">
        <v>1</v>
      </c>
      <c r="AN220" s="27">
        <v>1</v>
      </c>
      <c r="AO220" s="124">
        <f t="shared" si="136"/>
        <v>1</v>
      </c>
      <c r="AP220" s="27">
        <v>1</v>
      </c>
      <c r="AQ220" s="21">
        <v>13132011</v>
      </c>
      <c r="AR220" s="21" t="s">
        <v>2369</v>
      </c>
      <c r="AS220" s="68"/>
      <c r="AT220" s="68"/>
      <c r="AU220" s="68"/>
    </row>
    <row r="221" spans="1:47" x14ac:dyDescent="0.3">
      <c r="A221" s="19"/>
      <c r="B221" s="109">
        <v>13132003</v>
      </c>
      <c r="C221" s="99" t="str">
        <f t="shared" si="162"/>
        <v>3</v>
      </c>
      <c r="D221" s="121">
        <f>COUNTIFS($F$33:F221,F221, $G$33:G221,G221, $C$33:C221,C221, $L$33:L221,L221)</f>
        <v>3</v>
      </c>
      <c r="E221" s="20">
        <v>1</v>
      </c>
      <c r="F221" s="20">
        <v>2</v>
      </c>
      <c r="G221" s="20">
        <v>1</v>
      </c>
      <c r="H221" s="103" t="s">
        <v>961</v>
      </c>
      <c r="I221" s="20" t="s">
        <v>1658</v>
      </c>
      <c r="J221" s="104" t="str">
        <f t="shared" si="125"/>
        <v>Item_Name_13132003</v>
      </c>
      <c r="K221" s="20">
        <v>10103001</v>
      </c>
      <c r="L221" s="108">
        <f t="shared" si="130"/>
        <v>3</v>
      </c>
      <c r="M221" s="105">
        <f>IF(D221=0, 0, _xlfn.XLOOKUP($F221,'#무게관련'!$B:$B,'#무게관련'!$C:$C)*_xlfn.XLOOKUP($L221,'#무게관련'!$F:$F,'#무게관련'!$G:$G)*100)</f>
        <v>6000</v>
      </c>
      <c r="N221" s="20">
        <v>20300</v>
      </c>
      <c r="O221" s="20">
        <v>3</v>
      </c>
      <c r="P221" s="20">
        <v>15</v>
      </c>
      <c r="Q221" s="20">
        <v>1</v>
      </c>
      <c r="R221" s="20">
        <v>100</v>
      </c>
      <c r="S221" s="20">
        <v>1</v>
      </c>
      <c r="T221" s="20" t="s">
        <v>1861</v>
      </c>
      <c r="U221" s="104" t="str">
        <f t="shared" si="163"/>
        <v>item_bg_grade_03</v>
      </c>
      <c r="V221" s="20" t="s">
        <v>321</v>
      </c>
      <c r="W221" s="20" t="s">
        <v>400</v>
      </c>
      <c r="X221" s="104">
        <v>0</v>
      </c>
      <c r="Y221" s="104">
        <v>0</v>
      </c>
      <c r="Z221" s="104">
        <v>0</v>
      </c>
      <c r="AA221" s="104">
        <v>0</v>
      </c>
      <c r="AB221" s="104">
        <v>0</v>
      </c>
      <c r="AC221" s="104">
        <v>0</v>
      </c>
      <c r="AD221" s="142">
        <v>0</v>
      </c>
      <c r="AE221" s="112">
        <f t="shared" si="131"/>
        <v>30</v>
      </c>
      <c r="AF221" s="70">
        <v>3302030</v>
      </c>
      <c r="AG221" s="105" cm="1">
        <f t="array" ref="AG221">_xlfn.SWITCH(L221,3,1,
           4,1,
           5,1,
           6,1,0)</f>
        <v>1</v>
      </c>
      <c r="AH221" s="146">
        <f t="shared" si="144"/>
        <v>80101301</v>
      </c>
      <c r="AI221" s="90">
        <v>6001</v>
      </c>
      <c r="AJ221" s="90">
        <v>3004</v>
      </c>
      <c r="AK221" s="27">
        <v>3002</v>
      </c>
      <c r="AL221" s="123">
        <f>_xlfn.XLOOKUP(H221,'#각종 참고'!$B$11:$B$20,'#각종 참고'!$D$11:$D$20)</f>
        <v>0</v>
      </c>
      <c r="AM221" s="27">
        <v>1</v>
      </c>
      <c r="AN221" s="27">
        <v>1</v>
      </c>
      <c r="AO221" s="124">
        <f t="shared" si="136"/>
        <v>1</v>
      </c>
      <c r="AP221" s="27">
        <v>1</v>
      </c>
      <c r="AQ221" s="21">
        <v>13132021</v>
      </c>
      <c r="AR221" s="21" t="s">
        <v>2370</v>
      </c>
      <c r="AS221" s="68"/>
      <c r="AT221" s="68"/>
      <c r="AU221" s="68"/>
    </row>
    <row r="222" spans="1:47" x14ac:dyDescent="0.3">
      <c r="A222" s="19"/>
      <c r="B222" s="109">
        <v>13142001</v>
      </c>
      <c r="C222" s="99" t="str">
        <f t="shared" si="1"/>
        <v>3</v>
      </c>
      <c r="D222" s="121">
        <f>COUNTIFS($F$33:F222,F222, $G$33:G222,G222, $C$33:C222,C222, $L$33:L222,L222)</f>
        <v>1</v>
      </c>
      <c r="E222" s="20">
        <v>1</v>
      </c>
      <c r="F222" s="20">
        <v>2</v>
      </c>
      <c r="G222" s="20">
        <v>1</v>
      </c>
      <c r="H222" s="103" t="s">
        <v>961</v>
      </c>
      <c r="I222" s="20" t="s">
        <v>1657</v>
      </c>
      <c r="J222" s="104" t="str">
        <f t="shared" si="125"/>
        <v>Item_Name_13142001</v>
      </c>
      <c r="K222" s="20">
        <v>10103001</v>
      </c>
      <c r="L222" s="108">
        <f t="shared" si="130"/>
        <v>4</v>
      </c>
      <c r="M222" s="105">
        <f>IF(D222=0, 0, _xlfn.XLOOKUP($F222,'#무게관련'!$B:$B,'#무게관련'!$C:$C)*_xlfn.XLOOKUP($L222,'#무게관련'!$F:$F,'#무게관련'!$G:$G)*100)</f>
        <v>6000</v>
      </c>
      <c r="N222" s="20">
        <v>20300</v>
      </c>
      <c r="O222" s="20">
        <v>3</v>
      </c>
      <c r="P222" s="20">
        <v>15</v>
      </c>
      <c r="Q222" s="20">
        <v>1</v>
      </c>
      <c r="R222" s="20">
        <v>100</v>
      </c>
      <c r="S222" s="20">
        <v>1</v>
      </c>
      <c r="T222" s="20" t="s">
        <v>1862</v>
      </c>
      <c r="U222" s="104" t="str">
        <f t="shared" si="117"/>
        <v>item_bg_grade_04</v>
      </c>
      <c r="V222" s="20" t="s">
        <v>321</v>
      </c>
      <c r="W222" s="20" t="s">
        <v>400</v>
      </c>
      <c r="X222" s="104">
        <v>0</v>
      </c>
      <c r="Y222" s="104">
        <v>0</v>
      </c>
      <c r="Z222" s="104">
        <v>0</v>
      </c>
      <c r="AA222" s="104">
        <v>0</v>
      </c>
      <c r="AB222" s="104">
        <v>0</v>
      </c>
      <c r="AC222" s="104">
        <v>0</v>
      </c>
      <c r="AD222" s="142">
        <v>0</v>
      </c>
      <c r="AE222" s="112">
        <f t="shared" si="131"/>
        <v>40</v>
      </c>
      <c r="AF222" s="70">
        <v>3402010</v>
      </c>
      <c r="AG222" s="105" cm="1">
        <f t="array" ref="AG222">_xlfn.SWITCH(L222,3,1,
           4,1,
           5,1,
           6,1,0)</f>
        <v>1</v>
      </c>
      <c r="AH222" s="146">
        <f t="shared" si="144"/>
        <v>80101401</v>
      </c>
      <c r="AI222" s="90">
        <v>6002</v>
      </c>
      <c r="AJ222" s="90">
        <v>3006</v>
      </c>
      <c r="AK222" s="27">
        <v>4002</v>
      </c>
      <c r="AL222" s="123">
        <f>_xlfn.XLOOKUP(H222,'#각종 참고'!$B$11:$B$20,'#각종 참고'!$D$11:$D$20)</f>
        <v>0</v>
      </c>
      <c r="AM222" s="27">
        <v>1</v>
      </c>
      <c r="AN222" s="27">
        <v>1</v>
      </c>
      <c r="AO222" s="124">
        <f t="shared" si="136"/>
        <v>1</v>
      </c>
      <c r="AP222" s="27">
        <v>1</v>
      </c>
      <c r="AQ222" s="21">
        <v>13142001</v>
      </c>
      <c r="AR222" s="21" t="s">
        <v>1657</v>
      </c>
      <c r="AS222" s="68"/>
      <c r="AT222" s="68"/>
      <c r="AU222" s="68"/>
    </row>
    <row r="223" spans="1:47" x14ac:dyDescent="0.3">
      <c r="A223" s="19"/>
      <c r="B223" s="109">
        <v>13142002</v>
      </c>
      <c r="C223" s="99" t="str">
        <f t="shared" ref="C223:C224" si="164">IF(K223&gt;0,MID(K223,5, 1), 0)</f>
        <v>3</v>
      </c>
      <c r="D223" s="121">
        <f>COUNTIFS($F$33:F223,F223, $G$33:G223,G223, $C$33:C223,C223, $L$33:L223,L223)</f>
        <v>2</v>
      </c>
      <c r="E223" s="20">
        <v>1</v>
      </c>
      <c r="F223" s="20">
        <v>2</v>
      </c>
      <c r="G223" s="20">
        <v>1</v>
      </c>
      <c r="H223" s="103" t="s">
        <v>961</v>
      </c>
      <c r="I223" s="20" t="s">
        <v>2096</v>
      </c>
      <c r="J223" s="104" t="str">
        <f t="shared" si="125"/>
        <v>Item_Name_13142002</v>
      </c>
      <c r="K223" s="20">
        <v>10103001</v>
      </c>
      <c r="L223" s="108">
        <f t="shared" si="130"/>
        <v>4</v>
      </c>
      <c r="M223" s="105">
        <f>IF(D223=0, 0, _xlfn.XLOOKUP($F223,'#무게관련'!$B:$B,'#무게관련'!$C:$C)*_xlfn.XLOOKUP($L223,'#무게관련'!$F:$F,'#무게관련'!$G:$G)*100)</f>
        <v>6000</v>
      </c>
      <c r="N223" s="20">
        <v>20300</v>
      </c>
      <c r="O223" s="20">
        <v>3</v>
      </c>
      <c r="P223" s="20">
        <v>15</v>
      </c>
      <c r="Q223" s="20">
        <v>1</v>
      </c>
      <c r="R223" s="20">
        <v>100</v>
      </c>
      <c r="S223" s="20">
        <v>1</v>
      </c>
      <c r="T223" s="20" t="s">
        <v>1862</v>
      </c>
      <c r="U223" s="104" t="str">
        <f t="shared" ref="U223:U224" si="165">"item_bg_grade_0"&amp;L223</f>
        <v>item_bg_grade_04</v>
      </c>
      <c r="V223" s="20" t="s">
        <v>321</v>
      </c>
      <c r="W223" s="20" t="s">
        <v>400</v>
      </c>
      <c r="X223" s="104">
        <v>0</v>
      </c>
      <c r="Y223" s="104">
        <v>0</v>
      </c>
      <c r="Z223" s="104">
        <v>0</v>
      </c>
      <c r="AA223" s="104">
        <v>0</v>
      </c>
      <c r="AB223" s="104">
        <v>0</v>
      </c>
      <c r="AC223" s="104">
        <v>0</v>
      </c>
      <c r="AD223" s="142">
        <v>0</v>
      </c>
      <c r="AE223" s="112">
        <f t="shared" si="131"/>
        <v>40</v>
      </c>
      <c r="AF223" s="70">
        <v>3402020</v>
      </c>
      <c r="AG223" s="105" cm="1">
        <f t="array" ref="AG223">_xlfn.SWITCH(L223,3,1,
           4,1,
           5,1,
           6,1,0)</f>
        <v>1</v>
      </c>
      <c r="AH223" s="146">
        <f t="shared" si="144"/>
        <v>80101401</v>
      </c>
      <c r="AI223" s="90">
        <v>6002</v>
      </c>
      <c r="AJ223" s="90">
        <v>3006</v>
      </c>
      <c r="AK223" s="27">
        <v>4002</v>
      </c>
      <c r="AL223" s="123">
        <f>_xlfn.XLOOKUP(H223,'#각종 참고'!$B$11:$B$20,'#각종 참고'!$D$11:$D$20)</f>
        <v>0</v>
      </c>
      <c r="AM223" s="27">
        <v>1</v>
      </c>
      <c r="AN223" s="27">
        <v>1</v>
      </c>
      <c r="AO223" s="124">
        <f t="shared" si="136"/>
        <v>1</v>
      </c>
      <c r="AP223" s="27">
        <v>1</v>
      </c>
      <c r="AQ223" s="21">
        <v>13142011</v>
      </c>
      <c r="AR223" s="21" t="s">
        <v>2371</v>
      </c>
      <c r="AS223" s="68"/>
      <c r="AT223" s="68"/>
      <c r="AU223" s="68"/>
    </row>
    <row r="224" spans="1:47" x14ac:dyDescent="0.3">
      <c r="A224" s="19"/>
      <c r="B224" s="109">
        <v>13142003</v>
      </c>
      <c r="C224" s="99" t="str">
        <f t="shared" si="164"/>
        <v>3</v>
      </c>
      <c r="D224" s="121">
        <f>COUNTIFS($F$33:F224,F224, $G$33:G224,G224, $C$33:C224,C224, $L$33:L224,L224)</f>
        <v>3</v>
      </c>
      <c r="E224" s="20">
        <v>1</v>
      </c>
      <c r="F224" s="20">
        <v>2</v>
      </c>
      <c r="G224" s="20">
        <v>1</v>
      </c>
      <c r="H224" s="103" t="s">
        <v>961</v>
      </c>
      <c r="I224" s="20" t="s">
        <v>1990</v>
      </c>
      <c r="J224" s="104" t="str">
        <f t="shared" si="125"/>
        <v>Item_Name_13142003</v>
      </c>
      <c r="K224" s="20">
        <v>10103001</v>
      </c>
      <c r="L224" s="108">
        <f t="shared" si="130"/>
        <v>4</v>
      </c>
      <c r="M224" s="105">
        <f>IF(D224=0, 0, _xlfn.XLOOKUP($F224,'#무게관련'!$B:$B,'#무게관련'!$C:$C)*_xlfn.XLOOKUP($L224,'#무게관련'!$F:$F,'#무게관련'!$G:$G)*100)</f>
        <v>6000</v>
      </c>
      <c r="N224" s="20">
        <v>20300</v>
      </c>
      <c r="O224" s="20">
        <v>3</v>
      </c>
      <c r="P224" s="20">
        <v>15</v>
      </c>
      <c r="Q224" s="20">
        <v>1</v>
      </c>
      <c r="R224" s="20">
        <v>100</v>
      </c>
      <c r="S224" s="20">
        <v>1</v>
      </c>
      <c r="T224" s="20" t="s">
        <v>1862</v>
      </c>
      <c r="U224" s="104" t="str">
        <f t="shared" si="165"/>
        <v>item_bg_grade_04</v>
      </c>
      <c r="V224" s="20" t="s">
        <v>321</v>
      </c>
      <c r="W224" s="20" t="s">
        <v>400</v>
      </c>
      <c r="X224" s="104">
        <v>0</v>
      </c>
      <c r="Y224" s="104">
        <v>0</v>
      </c>
      <c r="Z224" s="104">
        <v>0</v>
      </c>
      <c r="AA224" s="104">
        <v>0</v>
      </c>
      <c r="AB224" s="104">
        <v>0</v>
      </c>
      <c r="AC224" s="104">
        <v>0</v>
      </c>
      <c r="AD224" s="142">
        <v>0</v>
      </c>
      <c r="AE224" s="112">
        <f t="shared" si="131"/>
        <v>40</v>
      </c>
      <c r="AF224" s="70">
        <v>3402030</v>
      </c>
      <c r="AG224" s="105" cm="1">
        <f t="array" ref="AG224">_xlfn.SWITCH(L224,3,1,
           4,1,
           5,1,
           6,1,0)</f>
        <v>1</v>
      </c>
      <c r="AH224" s="146">
        <f t="shared" si="144"/>
        <v>80101401</v>
      </c>
      <c r="AI224" s="90">
        <v>6002</v>
      </c>
      <c r="AJ224" s="90">
        <v>3006</v>
      </c>
      <c r="AK224" s="27">
        <v>4002</v>
      </c>
      <c r="AL224" s="123">
        <f>_xlfn.XLOOKUP(H224,'#각종 참고'!$B$11:$B$20,'#각종 참고'!$D$11:$D$20)</f>
        <v>0</v>
      </c>
      <c r="AM224" s="27">
        <v>1</v>
      </c>
      <c r="AN224" s="27">
        <v>1</v>
      </c>
      <c r="AO224" s="124">
        <f t="shared" si="136"/>
        <v>1</v>
      </c>
      <c r="AP224" s="27">
        <v>1</v>
      </c>
      <c r="AQ224" s="21">
        <v>13142021</v>
      </c>
      <c r="AR224" s="21" t="s">
        <v>2372</v>
      </c>
      <c r="AS224" s="68"/>
      <c r="AT224" s="68"/>
      <c r="AU224" s="68"/>
    </row>
    <row r="225" spans="1:47" x14ac:dyDescent="0.3">
      <c r="A225" s="19"/>
      <c r="B225" s="109">
        <v>13152001</v>
      </c>
      <c r="C225" s="99" t="str">
        <f t="shared" ref="C225:C228" si="166">IF(K225&gt;0,MID(K225,5, 1), 0)</f>
        <v>3</v>
      </c>
      <c r="D225" s="121">
        <f>COUNTIFS($F$33:F225,F225, $G$33:G225,G225, $C$33:C225,C225, $L$33:L225,L225)</f>
        <v>1</v>
      </c>
      <c r="E225" s="20">
        <v>1</v>
      </c>
      <c r="F225" s="20">
        <v>2</v>
      </c>
      <c r="G225" s="20">
        <v>1</v>
      </c>
      <c r="H225" s="103" t="s">
        <v>961</v>
      </c>
      <c r="I225" s="20" t="s">
        <v>1659</v>
      </c>
      <c r="J225" s="104" t="str">
        <f t="shared" si="125"/>
        <v>Item_Name_13152001</v>
      </c>
      <c r="K225" s="20">
        <v>10103001</v>
      </c>
      <c r="L225" s="108">
        <f t="shared" si="130"/>
        <v>5</v>
      </c>
      <c r="M225" s="105">
        <f>IF(D225=0, 0, _xlfn.XLOOKUP($F225,'#무게관련'!$B:$B,'#무게관련'!$C:$C)*_xlfn.XLOOKUP($L225,'#무게관련'!$F:$F,'#무게관련'!$G:$G)*100)</f>
        <v>6000</v>
      </c>
      <c r="N225" s="20">
        <v>20300</v>
      </c>
      <c r="O225" s="20">
        <v>3</v>
      </c>
      <c r="P225" s="20">
        <v>15</v>
      </c>
      <c r="Q225" s="20">
        <v>1</v>
      </c>
      <c r="R225" s="20">
        <v>100</v>
      </c>
      <c r="S225" s="20">
        <v>1</v>
      </c>
      <c r="T225" s="20" t="s">
        <v>1863</v>
      </c>
      <c r="U225" s="104" t="str">
        <f t="shared" si="117"/>
        <v>item_bg_grade_05</v>
      </c>
      <c r="V225" s="20" t="s">
        <v>321</v>
      </c>
      <c r="W225" s="20" t="s">
        <v>400</v>
      </c>
      <c r="X225" s="104">
        <v>0</v>
      </c>
      <c r="Y225" s="104">
        <v>0</v>
      </c>
      <c r="Z225" s="104">
        <v>0</v>
      </c>
      <c r="AA225" s="104">
        <v>0</v>
      </c>
      <c r="AB225" s="104">
        <v>0</v>
      </c>
      <c r="AC225" s="104">
        <v>0</v>
      </c>
      <c r="AD225" s="142">
        <v>0</v>
      </c>
      <c r="AE225" s="112">
        <f t="shared" si="131"/>
        <v>50</v>
      </c>
      <c r="AF225" s="70">
        <v>3502010</v>
      </c>
      <c r="AG225" s="105" cm="1">
        <f t="array" ref="AG225">_xlfn.SWITCH(L225,3,1,
           4,1,
           5,1,
           6,1,0)</f>
        <v>1</v>
      </c>
      <c r="AH225" s="146">
        <f t="shared" si="144"/>
        <v>80101501</v>
      </c>
      <c r="AI225" s="90">
        <v>6003</v>
      </c>
      <c r="AJ225" s="90">
        <v>3008</v>
      </c>
      <c r="AK225" s="27">
        <v>5002</v>
      </c>
      <c r="AL225" s="123">
        <f>_xlfn.XLOOKUP(H225,'#각종 참고'!$B$11:$B$20,'#각종 참고'!$D$11:$D$20)</f>
        <v>0</v>
      </c>
      <c r="AM225" s="27">
        <v>1</v>
      </c>
      <c r="AN225" s="27">
        <v>1</v>
      </c>
      <c r="AO225" s="124">
        <f t="shared" si="136"/>
        <v>1</v>
      </c>
      <c r="AP225" s="27">
        <v>1</v>
      </c>
      <c r="AQ225" s="21">
        <v>13152001</v>
      </c>
      <c r="AR225" s="21" t="s">
        <v>1659</v>
      </c>
      <c r="AS225" s="68"/>
      <c r="AT225" s="68"/>
      <c r="AU225" s="68"/>
    </row>
    <row r="226" spans="1:47" x14ac:dyDescent="0.3">
      <c r="A226" s="19"/>
      <c r="B226" s="109">
        <v>13152002</v>
      </c>
      <c r="C226" s="99" t="str">
        <f t="shared" ref="C226:C227" si="167">IF(K226&gt;0,MID(K226,5, 1), 0)</f>
        <v>3</v>
      </c>
      <c r="D226" s="121">
        <f>COUNTIFS($F$33:F226,F226, $G$33:G226,G226, $C$33:C226,C226, $L$33:L226,L226)</f>
        <v>2</v>
      </c>
      <c r="E226" s="20">
        <v>1</v>
      </c>
      <c r="F226" s="20">
        <v>2</v>
      </c>
      <c r="G226" s="20">
        <v>1</v>
      </c>
      <c r="H226" s="103" t="s">
        <v>961</v>
      </c>
      <c r="I226" s="20" t="s">
        <v>1958</v>
      </c>
      <c r="J226" s="104" t="str">
        <f t="shared" si="125"/>
        <v>Item_Name_13152002</v>
      </c>
      <c r="K226" s="20">
        <v>10103001</v>
      </c>
      <c r="L226" s="108">
        <f t="shared" si="130"/>
        <v>5</v>
      </c>
      <c r="M226" s="105">
        <f>IF(D226=0, 0, _xlfn.XLOOKUP($F226,'#무게관련'!$B:$B,'#무게관련'!$C:$C)*_xlfn.XLOOKUP($L226,'#무게관련'!$F:$F,'#무게관련'!$G:$G)*100)</f>
        <v>6000</v>
      </c>
      <c r="N226" s="20">
        <v>20300</v>
      </c>
      <c r="O226" s="20">
        <v>3</v>
      </c>
      <c r="P226" s="20">
        <v>15</v>
      </c>
      <c r="Q226" s="20">
        <v>1</v>
      </c>
      <c r="R226" s="20">
        <v>100</v>
      </c>
      <c r="S226" s="20">
        <v>1</v>
      </c>
      <c r="T226" s="20" t="s">
        <v>1863</v>
      </c>
      <c r="U226" s="104" t="str">
        <f t="shared" ref="U226:U227" si="168">"item_bg_grade_0"&amp;L226</f>
        <v>item_bg_grade_05</v>
      </c>
      <c r="V226" s="20" t="s">
        <v>321</v>
      </c>
      <c r="W226" s="20" t="s">
        <v>400</v>
      </c>
      <c r="X226" s="104">
        <v>0</v>
      </c>
      <c r="Y226" s="104">
        <v>0</v>
      </c>
      <c r="Z226" s="104">
        <v>0</v>
      </c>
      <c r="AA226" s="104">
        <v>0</v>
      </c>
      <c r="AB226" s="104">
        <v>0</v>
      </c>
      <c r="AC226" s="104">
        <v>0</v>
      </c>
      <c r="AD226" s="142">
        <v>0</v>
      </c>
      <c r="AE226" s="112">
        <f t="shared" si="131"/>
        <v>50</v>
      </c>
      <c r="AF226" s="70">
        <v>3502020</v>
      </c>
      <c r="AG226" s="105" cm="1">
        <f t="array" ref="AG226">_xlfn.SWITCH(L226,3,1,
           4,1,
           5,1,
           6,1,0)</f>
        <v>1</v>
      </c>
      <c r="AH226" s="146">
        <f t="shared" si="144"/>
        <v>80101501</v>
      </c>
      <c r="AI226" s="90">
        <v>6003</v>
      </c>
      <c r="AJ226" s="90">
        <v>3008</v>
      </c>
      <c r="AK226" s="27">
        <v>5002</v>
      </c>
      <c r="AL226" s="123">
        <f>_xlfn.XLOOKUP(H226,'#각종 참고'!$B$11:$B$20,'#각종 참고'!$D$11:$D$20)</f>
        <v>0</v>
      </c>
      <c r="AM226" s="27">
        <v>1</v>
      </c>
      <c r="AN226" s="27">
        <v>1</v>
      </c>
      <c r="AO226" s="124">
        <f t="shared" si="136"/>
        <v>1</v>
      </c>
      <c r="AP226" s="27">
        <v>1</v>
      </c>
      <c r="AQ226" s="21">
        <v>13152011</v>
      </c>
      <c r="AR226" s="21" t="s">
        <v>2373</v>
      </c>
      <c r="AS226" s="68"/>
      <c r="AT226" s="68"/>
      <c r="AU226" s="68"/>
    </row>
    <row r="227" spans="1:47" x14ac:dyDescent="0.3">
      <c r="A227" s="19"/>
      <c r="B227" s="109">
        <v>13152003</v>
      </c>
      <c r="C227" s="99" t="str">
        <f t="shared" si="167"/>
        <v>3</v>
      </c>
      <c r="D227" s="121">
        <f>COUNTIFS($F$33:F227,F227, $G$33:G227,G227, $C$33:C227,C227, $L$33:L227,L227)</f>
        <v>3</v>
      </c>
      <c r="E227" s="20">
        <v>1</v>
      </c>
      <c r="F227" s="20">
        <v>2</v>
      </c>
      <c r="G227" s="20">
        <v>1</v>
      </c>
      <c r="H227" s="103" t="s">
        <v>961</v>
      </c>
      <c r="I227" s="20" t="s">
        <v>2097</v>
      </c>
      <c r="J227" s="104" t="str">
        <f t="shared" si="125"/>
        <v>Item_Name_13152003</v>
      </c>
      <c r="K227" s="20">
        <v>10103001</v>
      </c>
      <c r="L227" s="108">
        <f t="shared" si="130"/>
        <v>5</v>
      </c>
      <c r="M227" s="105">
        <f>IF(D227=0, 0, _xlfn.XLOOKUP($F227,'#무게관련'!$B:$B,'#무게관련'!$C:$C)*_xlfn.XLOOKUP($L227,'#무게관련'!$F:$F,'#무게관련'!$G:$G)*100)</f>
        <v>6000</v>
      </c>
      <c r="N227" s="20">
        <v>20300</v>
      </c>
      <c r="O227" s="20">
        <v>3</v>
      </c>
      <c r="P227" s="20">
        <v>15</v>
      </c>
      <c r="Q227" s="20">
        <v>1</v>
      </c>
      <c r="R227" s="20">
        <v>100</v>
      </c>
      <c r="S227" s="20">
        <v>1</v>
      </c>
      <c r="T227" s="20" t="s">
        <v>1863</v>
      </c>
      <c r="U227" s="104" t="str">
        <f t="shared" si="168"/>
        <v>item_bg_grade_05</v>
      </c>
      <c r="V227" s="20" t="s">
        <v>321</v>
      </c>
      <c r="W227" s="20" t="s">
        <v>400</v>
      </c>
      <c r="X227" s="104">
        <v>0</v>
      </c>
      <c r="Y227" s="104">
        <v>0</v>
      </c>
      <c r="Z227" s="104">
        <v>0</v>
      </c>
      <c r="AA227" s="104">
        <v>0</v>
      </c>
      <c r="AB227" s="104">
        <v>0</v>
      </c>
      <c r="AC227" s="104">
        <v>0</v>
      </c>
      <c r="AD227" s="142">
        <v>0</v>
      </c>
      <c r="AE227" s="112">
        <f t="shared" si="131"/>
        <v>50</v>
      </c>
      <c r="AF227" s="70">
        <v>3502030</v>
      </c>
      <c r="AG227" s="105" cm="1">
        <f t="array" ref="AG227">_xlfn.SWITCH(L227,3,1,
           4,1,
           5,1,
           6,1,0)</f>
        <v>1</v>
      </c>
      <c r="AH227" s="146">
        <f t="shared" ref="AH227:AH258" si="169">AH209</f>
        <v>80101501</v>
      </c>
      <c r="AI227" s="90">
        <v>6003</v>
      </c>
      <c r="AJ227" s="90">
        <v>3008</v>
      </c>
      <c r="AK227" s="27">
        <v>5002</v>
      </c>
      <c r="AL227" s="123">
        <f>_xlfn.XLOOKUP(H227,'#각종 참고'!$B$11:$B$20,'#각종 참고'!$D$11:$D$20)</f>
        <v>0</v>
      </c>
      <c r="AM227" s="27">
        <v>1</v>
      </c>
      <c r="AN227" s="27">
        <v>1</v>
      </c>
      <c r="AO227" s="124">
        <f t="shared" si="136"/>
        <v>1</v>
      </c>
      <c r="AP227" s="27">
        <v>1</v>
      </c>
      <c r="AQ227" s="21">
        <v>13152021</v>
      </c>
      <c r="AR227" s="21" t="s">
        <v>2374</v>
      </c>
      <c r="AS227" s="68"/>
      <c r="AT227" s="68"/>
      <c r="AU227" s="68"/>
    </row>
    <row r="228" spans="1:47" x14ac:dyDescent="0.3">
      <c r="A228" s="19"/>
      <c r="B228" s="109">
        <v>13162001</v>
      </c>
      <c r="C228" s="99" t="str">
        <f t="shared" si="166"/>
        <v>3</v>
      </c>
      <c r="D228" s="121">
        <f>COUNTIFS($F$33:F228,F228, $G$33:G228,G228, $C$33:C228,C228, $L$33:L228,L228)</f>
        <v>1</v>
      </c>
      <c r="E228" s="20">
        <v>1</v>
      </c>
      <c r="F228" s="20">
        <v>2</v>
      </c>
      <c r="G228" s="20">
        <v>1</v>
      </c>
      <c r="H228" s="103" t="s">
        <v>961</v>
      </c>
      <c r="I228" s="20" t="s">
        <v>1661</v>
      </c>
      <c r="J228" s="104" t="str">
        <f t="shared" si="125"/>
        <v>Item_Name_13162001</v>
      </c>
      <c r="K228" s="20">
        <v>10103001</v>
      </c>
      <c r="L228" s="108">
        <f t="shared" si="130"/>
        <v>6</v>
      </c>
      <c r="M228" s="105">
        <f>IF(D228=0, 0, _xlfn.XLOOKUP($F228,'#무게관련'!$B:$B,'#무게관련'!$C:$C)*_xlfn.XLOOKUP($L228,'#무게관련'!$F:$F,'#무게관련'!$G:$G)*100)</f>
        <v>6000</v>
      </c>
      <c r="N228" s="20">
        <v>20300</v>
      </c>
      <c r="O228" s="20">
        <v>3</v>
      </c>
      <c r="P228" s="20">
        <v>15</v>
      </c>
      <c r="Q228" s="20">
        <v>1</v>
      </c>
      <c r="R228" s="20">
        <v>100</v>
      </c>
      <c r="S228" s="20">
        <v>1</v>
      </c>
      <c r="T228" s="109" t="s">
        <v>1862</v>
      </c>
      <c r="U228" s="104" t="str">
        <f t="shared" si="117"/>
        <v>item_bg_grade_06</v>
      </c>
      <c r="V228" s="20" t="s">
        <v>321</v>
      </c>
      <c r="W228" s="20" t="s">
        <v>400</v>
      </c>
      <c r="X228" s="104">
        <v>0</v>
      </c>
      <c r="Y228" s="104">
        <v>0</v>
      </c>
      <c r="Z228" s="104">
        <v>0</v>
      </c>
      <c r="AA228" s="104">
        <v>0</v>
      </c>
      <c r="AB228" s="104">
        <v>0</v>
      </c>
      <c r="AC228" s="104">
        <v>0</v>
      </c>
      <c r="AD228" s="142">
        <v>0</v>
      </c>
      <c r="AE228" s="112">
        <f t="shared" si="131"/>
        <v>70</v>
      </c>
      <c r="AF228" s="70">
        <v>3602010</v>
      </c>
      <c r="AG228" s="105" cm="1">
        <f t="array" ref="AG228">_xlfn.SWITCH(L228,3,1,
           4,1,
           5,1,
           6,1,0)</f>
        <v>1</v>
      </c>
      <c r="AH228" s="146">
        <f t="shared" si="169"/>
        <v>0</v>
      </c>
      <c r="AI228" s="90">
        <v>6004</v>
      </c>
      <c r="AJ228" s="90">
        <v>3010</v>
      </c>
      <c r="AK228" s="27">
        <v>6002</v>
      </c>
      <c r="AL228" s="123">
        <f>_xlfn.XLOOKUP(H228,'#각종 참고'!$B$11:$B$20,'#각종 참고'!$D$11:$D$20)</f>
        <v>0</v>
      </c>
      <c r="AM228" s="27">
        <v>1</v>
      </c>
      <c r="AN228" s="27">
        <v>1</v>
      </c>
      <c r="AO228" s="124">
        <f t="shared" ref="AO228:AO271" si="170">IF(AM228=1,AM228,AL228)</f>
        <v>1</v>
      </c>
      <c r="AP228" s="27">
        <v>1</v>
      </c>
      <c r="AQ228" s="21">
        <v>13162001</v>
      </c>
      <c r="AR228" s="21" t="s">
        <v>1661</v>
      </c>
      <c r="AS228" s="68"/>
      <c r="AT228" s="68"/>
      <c r="AU228" s="68"/>
    </row>
    <row r="229" spans="1:47" x14ac:dyDescent="0.3">
      <c r="A229" s="19" t="s">
        <v>513</v>
      </c>
      <c r="B229" s="109">
        <v>13162002</v>
      </c>
      <c r="C229" s="99" t="str">
        <f t="shared" ref="C229:C230" si="171">IF(K229&gt;0,MID(K229,5, 1), 0)</f>
        <v>3</v>
      </c>
      <c r="D229" s="121">
        <f>COUNTIFS($F$33:F229,F229, $G$33:G229,G229, $C$33:C229,C229, $L$33:L229,L229)</f>
        <v>2</v>
      </c>
      <c r="E229" s="20">
        <v>1</v>
      </c>
      <c r="F229" s="20">
        <v>2</v>
      </c>
      <c r="G229" s="20">
        <v>1</v>
      </c>
      <c r="H229" s="103" t="s">
        <v>961</v>
      </c>
      <c r="I229" s="20" t="s">
        <v>2099</v>
      </c>
      <c r="J229" s="104" t="str">
        <f t="shared" si="125"/>
        <v>Item_Name_13162002</v>
      </c>
      <c r="K229" s="20">
        <v>10103001</v>
      </c>
      <c r="L229" s="108">
        <f t="shared" si="130"/>
        <v>6</v>
      </c>
      <c r="M229" s="105">
        <f>IF(D229=0, 0, _xlfn.XLOOKUP($F229,'#무게관련'!$B:$B,'#무게관련'!$C:$C)*_xlfn.XLOOKUP($L229,'#무게관련'!$F:$F,'#무게관련'!$G:$G)*100)</f>
        <v>6000</v>
      </c>
      <c r="N229" s="20">
        <v>20300</v>
      </c>
      <c r="O229" s="20">
        <v>3</v>
      </c>
      <c r="P229" s="20">
        <v>15</v>
      </c>
      <c r="Q229" s="20">
        <v>1</v>
      </c>
      <c r="R229" s="20">
        <v>100</v>
      </c>
      <c r="S229" s="20">
        <v>1</v>
      </c>
      <c r="T229" s="109" t="s">
        <v>1862</v>
      </c>
      <c r="U229" s="104" t="str">
        <f t="shared" ref="U229:U230" si="172">"item_bg_grade_0"&amp;L229</f>
        <v>item_bg_grade_06</v>
      </c>
      <c r="V229" s="20" t="s">
        <v>321</v>
      </c>
      <c r="W229" s="20" t="s">
        <v>400</v>
      </c>
      <c r="X229" s="104">
        <v>0</v>
      </c>
      <c r="Y229" s="104">
        <v>0</v>
      </c>
      <c r="Z229" s="104">
        <v>0</v>
      </c>
      <c r="AA229" s="104">
        <v>0</v>
      </c>
      <c r="AB229" s="104">
        <v>0</v>
      </c>
      <c r="AC229" s="104">
        <v>0</v>
      </c>
      <c r="AD229" s="142">
        <v>0</v>
      </c>
      <c r="AE229" s="112">
        <f t="shared" si="131"/>
        <v>70</v>
      </c>
      <c r="AF229" s="70">
        <v>3602010</v>
      </c>
      <c r="AG229" s="105" cm="1">
        <f t="array" ref="AG229">_xlfn.SWITCH(L229,3,1,
           4,1,
           5,1,
           6,1,0)</f>
        <v>1</v>
      </c>
      <c r="AH229" s="146">
        <f t="shared" si="169"/>
        <v>0</v>
      </c>
      <c r="AI229" s="90">
        <v>6004</v>
      </c>
      <c r="AJ229" s="90">
        <v>3010</v>
      </c>
      <c r="AK229" s="27">
        <v>6002</v>
      </c>
      <c r="AL229" s="123">
        <f>_xlfn.XLOOKUP(H229,'#각종 참고'!$B$11:$B$20,'#각종 참고'!$D$11:$D$20)</f>
        <v>0</v>
      </c>
      <c r="AM229" s="27">
        <v>1</v>
      </c>
      <c r="AN229" s="27">
        <v>1</v>
      </c>
      <c r="AO229" s="124">
        <f t="shared" si="170"/>
        <v>1</v>
      </c>
      <c r="AP229" s="27">
        <v>1</v>
      </c>
      <c r="AQ229" s="21">
        <v>13162011</v>
      </c>
      <c r="AR229" s="21" t="s">
        <v>2375</v>
      </c>
      <c r="AS229" s="68"/>
      <c r="AT229" s="68"/>
      <c r="AU229" s="68"/>
    </row>
    <row r="230" spans="1:47" x14ac:dyDescent="0.3">
      <c r="A230" s="19" t="s">
        <v>513</v>
      </c>
      <c r="B230" s="109">
        <v>13162003</v>
      </c>
      <c r="C230" s="99" t="str">
        <f t="shared" si="171"/>
        <v>3</v>
      </c>
      <c r="D230" s="121">
        <f>COUNTIFS($F$33:F230,F230, $G$33:G230,G230, $C$33:C230,C230, $L$33:L230,L230)</f>
        <v>3</v>
      </c>
      <c r="E230" s="20">
        <v>1</v>
      </c>
      <c r="F230" s="20">
        <v>2</v>
      </c>
      <c r="G230" s="20">
        <v>1</v>
      </c>
      <c r="H230" s="103" t="s">
        <v>961</v>
      </c>
      <c r="I230" s="20" t="s">
        <v>2098</v>
      </c>
      <c r="J230" s="104" t="str">
        <f t="shared" si="125"/>
        <v>Item_Name_13162003</v>
      </c>
      <c r="K230" s="20">
        <v>10103001</v>
      </c>
      <c r="L230" s="108">
        <f t="shared" si="130"/>
        <v>6</v>
      </c>
      <c r="M230" s="105">
        <f>IF(D230=0, 0, _xlfn.XLOOKUP($F230,'#무게관련'!$B:$B,'#무게관련'!$C:$C)*_xlfn.XLOOKUP($L230,'#무게관련'!$F:$F,'#무게관련'!$G:$G)*100)</f>
        <v>6000</v>
      </c>
      <c r="N230" s="20">
        <v>20300</v>
      </c>
      <c r="O230" s="20">
        <v>3</v>
      </c>
      <c r="P230" s="20">
        <v>15</v>
      </c>
      <c r="Q230" s="20">
        <v>1</v>
      </c>
      <c r="R230" s="20">
        <v>100</v>
      </c>
      <c r="S230" s="20">
        <v>1</v>
      </c>
      <c r="T230" s="109" t="s">
        <v>1862</v>
      </c>
      <c r="U230" s="104" t="str">
        <f t="shared" si="172"/>
        <v>item_bg_grade_06</v>
      </c>
      <c r="V230" s="20" t="s">
        <v>321</v>
      </c>
      <c r="W230" s="20" t="s">
        <v>400</v>
      </c>
      <c r="X230" s="104">
        <v>0</v>
      </c>
      <c r="Y230" s="104">
        <v>0</v>
      </c>
      <c r="Z230" s="104">
        <v>0</v>
      </c>
      <c r="AA230" s="104">
        <v>0</v>
      </c>
      <c r="AB230" s="104">
        <v>0</v>
      </c>
      <c r="AC230" s="104">
        <v>0</v>
      </c>
      <c r="AD230" s="142">
        <v>0</v>
      </c>
      <c r="AE230" s="112">
        <f t="shared" si="131"/>
        <v>70</v>
      </c>
      <c r="AF230" s="70">
        <v>3602010</v>
      </c>
      <c r="AG230" s="105" cm="1">
        <f t="array" ref="AG230">_xlfn.SWITCH(L230,3,1,
           4,1,
           5,1,
           6,1,0)</f>
        <v>1</v>
      </c>
      <c r="AH230" s="146">
        <f t="shared" si="169"/>
        <v>0</v>
      </c>
      <c r="AI230" s="90">
        <v>6004</v>
      </c>
      <c r="AJ230" s="90">
        <v>3010</v>
      </c>
      <c r="AK230" s="27">
        <v>6002</v>
      </c>
      <c r="AL230" s="123">
        <f>_xlfn.XLOOKUP(H230,'#각종 참고'!$B$11:$B$20,'#각종 참고'!$D$11:$D$20)</f>
        <v>0</v>
      </c>
      <c r="AM230" s="27">
        <v>1</v>
      </c>
      <c r="AN230" s="27">
        <v>1</v>
      </c>
      <c r="AO230" s="124">
        <f t="shared" si="170"/>
        <v>1</v>
      </c>
      <c r="AP230" s="27">
        <v>1</v>
      </c>
      <c r="AQ230" s="21">
        <v>13162021</v>
      </c>
      <c r="AR230" s="21" t="s">
        <v>2376</v>
      </c>
      <c r="AS230" s="68"/>
      <c r="AT230" s="68"/>
      <c r="AU230" s="68"/>
    </row>
    <row r="231" spans="1:47" s="68" customFormat="1" x14ac:dyDescent="0.3">
      <c r="A231" s="65"/>
      <c r="B231" s="110">
        <v>14112001</v>
      </c>
      <c r="C231" s="99" t="str">
        <f t="shared" si="1"/>
        <v>4</v>
      </c>
      <c r="D231" s="120">
        <f>COUNTIFS($F$33:F231,F231, $G$33:G231,G231, $C$33:C231,C231, $L$33:L231,L231)</f>
        <v>1</v>
      </c>
      <c r="E231" s="20">
        <v>1</v>
      </c>
      <c r="F231" s="66">
        <v>2</v>
      </c>
      <c r="G231" s="66">
        <v>1</v>
      </c>
      <c r="H231" s="103" t="s">
        <v>961</v>
      </c>
      <c r="I231" s="66" t="s">
        <v>1662</v>
      </c>
      <c r="J231" s="104" t="str">
        <f t="shared" si="125"/>
        <v>Item_Name_14112001</v>
      </c>
      <c r="K231" s="66">
        <v>10104001</v>
      </c>
      <c r="L231" s="106">
        <f t="shared" si="130"/>
        <v>1</v>
      </c>
      <c r="M231" s="105">
        <f>IF(D231=0, 0, _xlfn.XLOOKUP($F231,'#무게관련'!$B:$B,'#무게관련'!$C:$C)*_xlfn.XLOOKUP($L231,'#무게관련'!$F:$F,'#무게관련'!$G:$G)*100)</f>
        <v>6000</v>
      </c>
      <c r="N231" s="20">
        <v>20300</v>
      </c>
      <c r="O231" s="20">
        <v>4</v>
      </c>
      <c r="P231" s="66">
        <v>15</v>
      </c>
      <c r="Q231" s="20">
        <v>1</v>
      </c>
      <c r="R231" s="66">
        <v>100</v>
      </c>
      <c r="S231" s="66">
        <v>1</v>
      </c>
      <c r="T231" s="66" t="s">
        <v>1859</v>
      </c>
      <c r="U231" s="104" t="str">
        <f t="shared" si="117"/>
        <v>item_bg_grade_01</v>
      </c>
      <c r="V231" s="66" t="s">
        <v>321</v>
      </c>
      <c r="W231" s="66" t="s">
        <v>400</v>
      </c>
      <c r="X231" s="104">
        <v>0</v>
      </c>
      <c r="Y231" s="104">
        <v>0</v>
      </c>
      <c r="Z231" s="104">
        <v>0</v>
      </c>
      <c r="AA231" s="104">
        <v>0</v>
      </c>
      <c r="AB231" s="104">
        <v>0</v>
      </c>
      <c r="AC231" s="104">
        <v>0</v>
      </c>
      <c r="AD231" s="142">
        <v>0</v>
      </c>
      <c r="AE231" s="111">
        <f t="shared" si="131"/>
        <v>10</v>
      </c>
      <c r="AF231" s="70">
        <v>4102010</v>
      </c>
      <c r="AG231" s="105" cm="1">
        <f t="array" ref="AG231">_xlfn.SWITCH(L231,3,1,
           4,1,
           5,1,
           6,1,0)</f>
        <v>0</v>
      </c>
      <c r="AH231" s="146">
        <f t="shared" si="169"/>
        <v>80101101</v>
      </c>
      <c r="AI231" s="90">
        <v>0</v>
      </c>
      <c r="AJ231" s="90">
        <v>0</v>
      </c>
      <c r="AK231" s="27">
        <v>0</v>
      </c>
      <c r="AL231" s="123">
        <f>_xlfn.XLOOKUP(H231,'#각종 참고'!$B$11:$B$20,'#각종 참고'!$D$11:$D$20)</f>
        <v>0</v>
      </c>
      <c r="AM231" s="27">
        <v>1</v>
      </c>
      <c r="AN231" s="27">
        <v>1</v>
      </c>
      <c r="AO231" s="124">
        <f t="shared" si="170"/>
        <v>1</v>
      </c>
      <c r="AP231" s="27">
        <v>1</v>
      </c>
      <c r="AQ231" s="21">
        <v>14112001</v>
      </c>
      <c r="AR231" s="68" t="s">
        <v>1662</v>
      </c>
    </row>
    <row r="232" spans="1:47" s="68" customFormat="1" x14ac:dyDescent="0.3">
      <c r="A232" s="65"/>
      <c r="B232" s="110">
        <v>14112002</v>
      </c>
      <c r="C232" s="99" t="str">
        <f t="shared" ref="C232:C233" si="173">IF(K232&gt;0,MID(K232,5, 1), 0)</f>
        <v>4</v>
      </c>
      <c r="D232" s="120">
        <f>COUNTIFS($F$33:F232,F232, $G$33:G232,G232, $C$33:C232,C232, $L$33:L232,L232)</f>
        <v>2</v>
      </c>
      <c r="E232" s="20">
        <v>1</v>
      </c>
      <c r="F232" s="66">
        <v>2</v>
      </c>
      <c r="G232" s="66">
        <v>1</v>
      </c>
      <c r="H232" s="103" t="s">
        <v>961</v>
      </c>
      <c r="I232" s="66" t="s">
        <v>2101</v>
      </c>
      <c r="J232" s="104" t="str">
        <f t="shared" si="125"/>
        <v>Item_Name_14112002</v>
      </c>
      <c r="K232" s="66">
        <v>10104001</v>
      </c>
      <c r="L232" s="106">
        <f t="shared" si="130"/>
        <v>1</v>
      </c>
      <c r="M232" s="105">
        <f>IF(D232=0, 0, _xlfn.XLOOKUP($F232,'#무게관련'!$B:$B,'#무게관련'!$C:$C)*_xlfn.XLOOKUP($L232,'#무게관련'!$F:$F,'#무게관련'!$G:$G)*100)</f>
        <v>6000</v>
      </c>
      <c r="N232" s="20">
        <v>20300</v>
      </c>
      <c r="O232" s="20">
        <v>4</v>
      </c>
      <c r="P232" s="66">
        <v>15</v>
      </c>
      <c r="Q232" s="20">
        <v>1</v>
      </c>
      <c r="R232" s="66">
        <v>100</v>
      </c>
      <c r="S232" s="66">
        <v>1</v>
      </c>
      <c r="T232" s="66" t="s">
        <v>1859</v>
      </c>
      <c r="U232" s="104" t="str">
        <f t="shared" ref="U232:U233" si="174">"item_bg_grade_0"&amp;L232</f>
        <v>item_bg_grade_01</v>
      </c>
      <c r="V232" s="66" t="s">
        <v>321</v>
      </c>
      <c r="W232" s="66" t="s">
        <v>400</v>
      </c>
      <c r="X232" s="104">
        <v>0</v>
      </c>
      <c r="Y232" s="104">
        <v>0</v>
      </c>
      <c r="Z232" s="104">
        <v>0</v>
      </c>
      <c r="AA232" s="104">
        <v>0</v>
      </c>
      <c r="AB232" s="104">
        <v>0</v>
      </c>
      <c r="AC232" s="104">
        <v>0</v>
      </c>
      <c r="AD232" s="142">
        <v>0</v>
      </c>
      <c r="AE232" s="111">
        <f t="shared" si="131"/>
        <v>10</v>
      </c>
      <c r="AF232" s="70">
        <v>4102020</v>
      </c>
      <c r="AG232" s="105" cm="1">
        <f t="array" ref="AG232">_xlfn.SWITCH(L232,3,1,
           4,1,
           5,1,
           6,1,0)</f>
        <v>0</v>
      </c>
      <c r="AH232" s="146">
        <f t="shared" si="169"/>
        <v>80101101</v>
      </c>
      <c r="AI232" s="90">
        <v>0</v>
      </c>
      <c r="AJ232" s="90">
        <v>0</v>
      </c>
      <c r="AK232" s="27">
        <v>0</v>
      </c>
      <c r="AL232" s="123">
        <f>_xlfn.XLOOKUP(H232,'#각종 참고'!$B$11:$B$20,'#각종 참고'!$D$11:$D$20)</f>
        <v>0</v>
      </c>
      <c r="AM232" s="27">
        <v>1</v>
      </c>
      <c r="AN232" s="27">
        <v>1</v>
      </c>
      <c r="AO232" s="124">
        <f t="shared" si="170"/>
        <v>1</v>
      </c>
      <c r="AP232" s="27">
        <v>1</v>
      </c>
      <c r="AQ232" s="21">
        <v>14112011</v>
      </c>
      <c r="AR232" s="68" t="s">
        <v>2377</v>
      </c>
    </row>
    <row r="233" spans="1:47" s="68" customFormat="1" x14ac:dyDescent="0.3">
      <c r="A233" s="65"/>
      <c r="B233" s="110">
        <v>14112003</v>
      </c>
      <c r="C233" s="99" t="str">
        <f t="shared" si="173"/>
        <v>4</v>
      </c>
      <c r="D233" s="120">
        <f>COUNTIFS($F$33:F233,F233, $G$33:G233,G233, $C$33:C233,C233, $L$33:L233,L233)</f>
        <v>3</v>
      </c>
      <c r="E233" s="20">
        <v>1</v>
      </c>
      <c r="F233" s="66">
        <v>2</v>
      </c>
      <c r="G233" s="66">
        <v>1</v>
      </c>
      <c r="H233" s="103" t="s">
        <v>961</v>
      </c>
      <c r="I233" s="66" t="s">
        <v>2100</v>
      </c>
      <c r="J233" s="104" t="str">
        <f t="shared" si="125"/>
        <v>Item_Name_14112003</v>
      </c>
      <c r="K233" s="66">
        <v>10104001</v>
      </c>
      <c r="L233" s="106">
        <f t="shared" si="130"/>
        <v>1</v>
      </c>
      <c r="M233" s="105">
        <f>IF(D233=0, 0, _xlfn.XLOOKUP($F233,'#무게관련'!$B:$B,'#무게관련'!$C:$C)*_xlfn.XLOOKUP($L233,'#무게관련'!$F:$F,'#무게관련'!$G:$G)*100)</f>
        <v>6000</v>
      </c>
      <c r="N233" s="20">
        <v>20300</v>
      </c>
      <c r="O233" s="20">
        <v>4</v>
      </c>
      <c r="P233" s="66">
        <v>15</v>
      </c>
      <c r="Q233" s="20">
        <v>1</v>
      </c>
      <c r="R233" s="66">
        <v>100</v>
      </c>
      <c r="S233" s="66">
        <v>1</v>
      </c>
      <c r="T233" s="66" t="s">
        <v>1859</v>
      </c>
      <c r="U233" s="104" t="str">
        <f t="shared" si="174"/>
        <v>item_bg_grade_01</v>
      </c>
      <c r="V233" s="66" t="s">
        <v>321</v>
      </c>
      <c r="W233" s="66" t="s">
        <v>400</v>
      </c>
      <c r="X233" s="104">
        <v>0</v>
      </c>
      <c r="Y233" s="104">
        <v>0</v>
      </c>
      <c r="Z233" s="104">
        <v>0</v>
      </c>
      <c r="AA233" s="104">
        <v>0</v>
      </c>
      <c r="AB233" s="104">
        <v>0</v>
      </c>
      <c r="AC233" s="104">
        <v>0</v>
      </c>
      <c r="AD233" s="142">
        <v>0</v>
      </c>
      <c r="AE233" s="111">
        <f t="shared" si="131"/>
        <v>10</v>
      </c>
      <c r="AF233" s="70">
        <v>4102030</v>
      </c>
      <c r="AG233" s="105" cm="1">
        <f t="array" ref="AG233">_xlfn.SWITCH(L233,3,1,
           4,1,
           5,1,
           6,1,0)</f>
        <v>0</v>
      </c>
      <c r="AH233" s="146">
        <f t="shared" si="169"/>
        <v>80101101</v>
      </c>
      <c r="AI233" s="90">
        <v>0</v>
      </c>
      <c r="AJ233" s="90">
        <v>0</v>
      </c>
      <c r="AK233" s="27">
        <v>0</v>
      </c>
      <c r="AL233" s="123">
        <f>_xlfn.XLOOKUP(H233,'#각종 참고'!$B$11:$B$20,'#각종 참고'!$D$11:$D$20)</f>
        <v>0</v>
      </c>
      <c r="AM233" s="27">
        <v>1</v>
      </c>
      <c r="AN233" s="27">
        <v>1</v>
      </c>
      <c r="AO233" s="124">
        <f t="shared" si="170"/>
        <v>1</v>
      </c>
      <c r="AP233" s="27">
        <v>1</v>
      </c>
      <c r="AQ233" s="21">
        <v>14112021</v>
      </c>
      <c r="AR233" s="68" t="s">
        <v>2378</v>
      </c>
    </row>
    <row r="234" spans="1:47" x14ac:dyDescent="0.3">
      <c r="A234" s="19"/>
      <c r="B234" s="109">
        <v>14122001</v>
      </c>
      <c r="C234" s="99" t="str">
        <f t="shared" si="1"/>
        <v>4</v>
      </c>
      <c r="D234" s="121">
        <f>COUNTIFS($F$33:F234,F234, $G$33:G234,G234, $C$33:C234,C234, $L$33:L234,L234)</f>
        <v>1</v>
      </c>
      <c r="E234" s="20">
        <v>1</v>
      </c>
      <c r="F234" s="20">
        <v>2</v>
      </c>
      <c r="G234" s="20">
        <v>1</v>
      </c>
      <c r="H234" s="103" t="s">
        <v>961</v>
      </c>
      <c r="I234" s="20" t="s">
        <v>1663</v>
      </c>
      <c r="J234" s="104" t="str">
        <f t="shared" si="125"/>
        <v>Item_Name_14122001</v>
      </c>
      <c r="K234" s="20">
        <v>10104001</v>
      </c>
      <c r="L234" s="107">
        <f t="shared" si="130"/>
        <v>2</v>
      </c>
      <c r="M234" s="105">
        <f>IF(D234=0, 0, _xlfn.XLOOKUP($F234,'#무게관련'!$B:$B,'#무게관련'!$C:$C)*_xlfn.XLOOKUP($L234,'#무게관련'!$F:$F,'#무게관련'!$G:$G)*100)</f>
        <v>6000</v>
      </c>
      <c r="N234" s="20">
        <v>20300</v>
      </c>
      <c r="O234" s="20">
        <v>4</v>
      </c>
      <c r="P234" s="20">
        <v>15</v>
      </c>
      <c r="Q234" s="20">
        <v>1</v>
      </c>
      <c r="R234" s="20">
        <v>100</v>
      </c>
      <c r="S234" s="20">
        <v>1</v>
      </c>
      <c r="T234" s="20" t="s">
        <v>1860</v>
      </c>
      <c r="U234" s="104" t="str">
        <f t="shared" si="117"/>
        <v>item_bg_grade_02</v>
      </c>
      <c r="V234" s="20" t="s">
        <v>321</v>
      </c>
      <c r="W234" s="20" t="s">
        <v>400</v>
      </c>
      <c r="X234" s="104">
        <v>0</v>
      </c>
      <c r="Y234" s="104">
        <v>0</v>
      </c>
      <c r="Z234" s="104">
        <v>0</v>
      </c>
      <c r="AA234" s="104">
        <v>0</v>
      </c>
      <c r="AB234" s="104">
        <v>0</v>
      </c>
      <c r="AC234" s="104">
        <v>0</v>
      </c>
      <c r="AD234" s="142">
        <v>0</v>
      </c>
      <c r="AE234" s="112">
        <f t="shared" si="131"/>
        <v>20</v>
      </c>
      <c r="AF234" s="70">
        <v>4202010</v>
      </c>
      <c r="AG234" s="105" cm="1">
        <f t="array" ref="AG234">_xlfn.SWITCH(L234,3,1,
           4,1,
           5,1,
           6,1,0)</f>
        <v>0</v>
      </c>
      <c r="AH234" s="146">
        <f t="shared" si="169"/>
        <v>80101201</v>
      </c>
      <c r="AI234" s="90">
        <v>6000</v>
      </c>
      <c r="AJ234" s="90">
        <v>3002</v>
      </c>
      <c r="AK234" s="27">
        <v>2002</v>
      </c>
      <c r="AL234" s="123">
        <f>_xlfn.XLOOKUP(H234,'#각종 참고'!$B$11:$B$20,'#각종 참고'!$D$11:$D$20)</f>
        <v>0</v>
      </c>
      <c r="AM234" s="27">
        <v>1</v>
      </c>
      <c r="AN234" s="27">
        <v>1</v>
      </c>
      <c r="AO234" s="124">
        <f t="shared" si="170"/>
        <v>1</v>
      </c>
      <c r="AP234" s="27">
        <v>1</v>
      </c>
      <c r="AQ234" s="21">
        <v>14122001</v>
      </c>
      <c r="AR234" s="21" t="s">
        <v>1663</v>
      </c>
      <c r="AS234" s="68"/>
      <c r="AT234" s="68"/>
      <c r="AU234" s="68"/>
    </row>
    <row r="235" spans="1:47" x14ac:dyDescent="0.3">
      <c r="A235" s="19"/>
      <c r="B235" s="109">
        <v>14122002</v>
      </c>
      <c r="C235" s="99" t="str">
        <f t="shared" ref="C235:C236" si="175">IF(K235&gt;0,MID(K235,5, 1), 0)</f>
        <v>4</v>
      </c>
      <c r="D235" s="121">
        <f>COUNTIFS($F$33:F235,F235, $G$33:G235,G235, $C$33:C235,C235, $L$33:L235,L235)</f>
        <v>2</v>
      </c>
      <c r="E235" s="20">
        <v>1</v>
      </c>
      <c r="F235" s="20">
        <v>2</v>
      </c>
      <c r="G235" s="20">
        <v>1</v>
      </c>
      <c r="H235" s="103" t="s">
        <v>961</v>
      </c>
      <c r="I235" s="20" t="s">
        <v>2103</v>
      </c>
      <c r="J235" s="104" t="str">
        <f t="shared" si="125"/>
        <v>Item_Name_14122002</v>
      </c>
      <c r="K235" s="20">
        <v>10104001</v>
      </c>
      <c r="L235" s="107">
        <f t="shared" si="130"/>
        <v>2</v>
      </c>
      <c r="M235" s="105">
        <f>IF(D235=0, 0, _xlfn.XLOOKUP($F235,'#무게관련'!$B:$B,'#무게관련'!$C:$C)*_xlfn.XLOOKUP($L235,'#무게관련'!$F:$F,'#무게관련'!$G:$G)*100)</f>
        <v>6000</v>
      </c>
      <c r="N235" s="20">
        <v>20300</v>
      </c>
      <c r="O235" s="20">
        <v>4</v>
      </c>
      <c r="P235" s="20">
        <v>15</v>
      </c>
      <c r="Q235" s="20">
        <v>1</v>
      </c>
      <c r="R235" s="20">
        <v>100</v>
      </c>
      <c r="S235" s="20">
        <v>1</v>
      </c>
      <c r="T235" s="20" t="s">
        <v>1860</v>
      </c>
      <c r="U235" s="104" t="str">
        <f t="shared" ref="U235:U236" si="176">"item_bg_grade_0"&amp;L235</f>
        <v>item_bg_grade_02</v>
      </c>
      <c r="V235" s="20" t="s">
        <v>321</v>
      </c>
      <c r="W235" s="20" t="s">
        <v>400</v>
      </c>
      <c r="X235" s="104">
        <v>0</v>
      </c>
      <c r="Y235" s="104">
        <v>0</v>
      </c>
      <c r="Z235" s="104">
        <v>0</v>
      </c>
      <c r="AA235" s="104">
        <v>0</v>
      </c>
      <c r="AB235" s="104">
        <v>0</v>
      </c>
      <c r="AC235" s="104">
        <v>0</v>
      </c>
      <c r="AD235" s="142">
        <v>0</v>
      </c>
      <c r="AE235" s="112">
        <f t="shared" si="131"/>
        <v>20</v>
      </c>
      <c r="AF235" s="70">
        <v>4202020</v>
      </c>
      <c r="AG235" s="105" cm="1">
        <f t="array" ref="AG235">_xlfn.SWITCH(L235,3,1,
           4,1,
           5,1,
           6,1,0)</f>
        <v>0</v>
      </c>
      <c r="AH235" s="146">
        <f t="shared" si="169"/>
        <v>80101201</v>
      </c>
      <c r="AI235" s="90">
        <v>6000</v>
      </c>
      <c r="AJ235" s="90">
        <v>3002</v>
      </c>
      <c r="AK235" s="27">
        <v>2002</v>
      </c>
      <c r="AL235" s="123">
        <f>_xlfn.XLOOKUP(H235,'#각종 참고'!$B$11:$B$20,'#각종 참고'!$D$11:$D$20)</f>
        <v>0</v>
      </c>
      <c r="AM235" s="27">
        <v>1</v>
      </c>
      <c r="AN235" s="27">
        <v>1</v>
      </c>
      <c r="AO235" s="124">
        <f t="shared" si="170"/>
        <v>1</v>
      </c>
      <c r="AP235" s="27">
        <v>1</v>
      </c>
      <c r="AQ235" s="21">
        <v>14122011</v>
      </c>
      <c r="AR235" s="21" t="s">
        <v>2379</v>
      </c>
      <c r="AS235" s="68"/>
      <c r="AT235" s="68"/>
      <c r="AU235" s="68"/>
    </row>
    <row r="236" spans="1:47" x14ac:dyDescent="0.3">
      <c r="A236" s="19"/>
      <c r="B236" s="109">
        <v>14122003</v>
      </c>
      <c r="C236" s="99" t="str">
        <f t="shared" si="175"/>
        <v>4</v>
      </c>
      <c r="D236" s="121">
        <f>COUNTIFS($F$33:F236,F236, $G$33:G236,G236, $C$33:C236,C236, $L$33:L236,L236)</f>
        <v>3</v>
      </c>
      <c r="E236" s="20">
        <v>1</v>
      </c>
      <c r="F236" s="20">
        <v>2</v>
      </c>
      <c r="G236" s="20">
        <v>1</v>
      </c>
      <c r="H236" s="103" t="s">
        <v>961</v>
      </c>
      <c r="I236" s="20" t="s">
        <v>2102</v>
      </c>
      <c r="J236" s="104" t="str">
        <f t="shared" si="125"/>
        <v>Item_Name_14122003</v>
      </c>
      <c r="K236" s="20">
        <v>10104001</v>
      </c>
      <c r="L236" s="107">
        <f t="shared" si="130"/>
        <v>2</v>
      </c>
      <c r="M236" s="105">
        <f>IF(D236=0, 0, _xlfn.XLOOKUP($F236,'#무게관련'!$B:$B,'#무게관련'!$C:$C)*_xlfn.XLOOKUP($L236,'#무게관련'!$F:$F,'#무게관련'!$G:$G)*100)</f>
        <v>6000</v>
      </c>
      <c r="N236" s="20">
        <v>20300</v>
      </c>
      <c r="O236" s="20">
        <v>4</v>
      </c>
      <c r="P236" s="20">
        <v>15</v>
      </c>
      <c r="Q236" s="20">
        <v>1</v>
      </c>
      <c r="R236" s="20">
        <v>100</v>
      </c>
      <c r="S236" s="20">
        <v>1</v>
      </c>
      <c r="T236" s="20" t="s">
        <v>1860</v>
      </c>
      <c r="U236" s="104" t="str">
        <f t="shared" si="176"/>
        <v>item_bg_grade_02</v>
      </c>
      <c r="V236" s="20" t="s">
        <v>321</v>
      </c>
      <c r="W236" s="20" t="s">
        <v>400</v>
      </c>
      <c r="X236" s="104">
        <v>0</v>
      </c>
      <c r="Y236" s="104">
        <v>0</v>
      </c>
      <c r="Z236" s="104">
        <v>0</v>
      </c>
      <c r="AA236" s="104">
        <v>0</v>
      </c>
      <c r="AB236" s="104">
        <v>0</v>
      </c>
      <c r="AC236" s="104">
        <v>0</v>
      </c>
      <c r="AD236" s="142">
        <v>0</v>
      </c>
      <c r="AE236" s="112">
        <f t="shared" si="131"/>
        <v>20</v>
      </c>
      <c r="AF236" s="70">
        <v>4202030</v>
      </c>
      <c r="AG236" s="105" cm="1">
        <f t="array" ref="AG236">_xlfn.SWITCH(L236,3,1,
           4,1,
           5,1,
           6,1,0)</f>
        <v>0</v>
      </c>
      <c r="AH236" s="146">
        <f t="shared" si="169"/>
        <v>80101201</v>
      </c>
      <c r="AI236" s="90">
        <v>6000</v>
      </c>
      <c r="AJ236" s="90">
        <v>3002</v>
      </c>
      <c r="AK236" s="27">
        <v>2002</v>
      </c>
      <c r="AL236" s="123">
        <f>_xlfn.XLOOKUP(H236,'#각종 참고'!$B$11:$B$20,'#각종 참고'!$D$11:$D$20)</f>
        <v>0</v>
      </c>
      <c r="AM236" s="27">
        <v>1</v>
      </c>
      <c r="AN236" s="27">
        <v>1</v>
      </c>
      <c r="AO236" s="124">
        <f t="shared" si="170"/>
        <v>1</v>
      </c>
      <c r="AP236" s="27">
        <v>1</v>
      </c>
      <c r="AQ236" s="21">
        <v>14122021</v>
      </c>
      <c r="AR236" s="21" t="s">
        <v>2380</v>
      </c>
      <c r="AS236" s="68"/>
      <c r="AT236" s="68"/>
      <c r="AU236" s="68"/>
    </row>
    <row r="237" spans="1:47" x14ac:dyDescent="0.3">
      <c r="A237" s="19"/>
      <c r="B237" s="109">
        <v>14132001</v>
      </c>
      <c r="C237" s="99" t="str">
        <f t="shared" si="1"/>
        <v>4</v>
      </c>
      <c r="D237" s="121">
        <f>COUNTIFS($F$33:F237,F237, $G$33:G237,G237, $C$33:C237,C237, $L$33:L237,L237)</f>
        <v>1</v>
      </c>
      <c r="E237" s="20">
        <v>1</v>
      </c>
      <c r="F237" s="20">
        <v>2</v>
      </c>
      <c r="G237" s="20">
        <v>1</v>
      </c>
      <c r="H237" s="103" t="s">
        <v>961</v>
      </c>
      <c r="I237" s="20" t="s">
        <v>1664</v>
      </c>
      <c r="J237" s="104" t="str">
        <f t="shared" ref="J237:J300" si="177">"Item_Name_"&amp;$B237</f>
        <v>Item_Name_14132001</v>
      </c>
      <c r="K237" s="20">
        <v>10104001</v>
      </c>
      <c r="L237" s="107">
        <f t="shared" si="130"/>
        <v>3</v>
      </c>
      <c r="M237" s="105">
        <f>IF(D237=0, 0, _xlfn.XLOOKUP($F237,'#무게관련'!$B:$B,'#무게관련'!$C:$C)*_xlfn.XLOOKUP($L237,'#무게관련'!$F:$F,'#무게관련'!$G:$G)*100)</f>
        <v>6000</v>
      </c>
      <c r="N237" s="20">
        <v>20300</v>
      </c>
      <c r="O237" s="20">
        <v>4</v>
      </c>
      <c r="P237" s="20">
        <v>15</v>
      </c>
      <c r="Q237" s="20">
        <v>1</v>
      </c>
      <c r="R237" s="20">
        <v>100</v>
      </c>
      <c r="S237" s="20">
        <v>1</v>
      </c>
      <c r="T237" s="20" t="s">
        <v>1861</v>
      </c>
      <c r="U237" s="104" t="str">
        <f t="shared" si="117"/>
        <v>item_bg_grade_03</v>
      </c>
      <c r="V237" s="20" t="s">
        <v>321</v>
      </c>
      <c r="W237" s="20" t="s">
        <v>400</v>
      </c>
      <c r="X237" s="104">
        <v>0</v>
      </c>
      <c r="Y237" s="104">
        <v>0</v>
      </c>
      <c r="Z237" s="104">
        <v>0</v>
      </c>
      <c r="AA237" s="104">
        <v>0</v>
      </c>
      <c r="AB237" s="104">
        <v>0</v>
      </c>
      <c r="AC237" s="104">
        <v>0</v>
      </c>
      <c r="AD237" s="142">
        <v>0</v>
      </c>
      <c r="AE237" s="112">
        <f t="shared" si="131"/>
        <v>30</v>
      </c>
      <c r="AF237" s="70">
        <v>4302010</v>
      </c>
      <c r="AG237" s="105" cm="1">
        <f t="array" ref="AG237">_xlfn.SWITCH(L237,3,1,
           4,1,
           5,1,
           6,1,0)</f>
        <v>1</v>
      </c>
      <c r="AH237" s="146">
        <f t="shared" si="169"/>
        <v>80101301</v>
      </c>
      <c r="AI237" s="90">
        <v>6001</v>
      </c>
      <c r="AJ237" s="90">
        <v>3004</v>
      </c>
      <c r="AK237" s="27">
        <v>3002</v>
      </c>
      <c r="AL237" s="123">
        <f>_xlfn.XLOOKUP(H237,'#각종 참고'!$B$11:$B$20,'#각종 참고'!$D$11:$D$20)</f>
        <v>0</v>
      </c>
      <c r="AM237" s="27">
        <v>1</v>
      </c>
      <c r="AN237" s="27">
        <v>1</v>
      </c>
      <c r="AO237" s="124">
        <f t="shared" si="170"/>
        <v>1</v>
      </c>
      <c r="AP237" s="27">
        <v>1</v>
      </c>
      <c r="AQ237" s="21">
        <v>14132001</v>
      </c>
      <c r="AR237" s="21" t="s">
        <v>1664</v>
      </c>
      <c r="AS237" s="68"/>
      <c r="AT237" s="68"/>
      <c r="AU237" s="68"/>
    </row>
    <row r="238" spans="1:47" x14ac:dyDescent="0.3">
      <c r="A238" s="19"/>
      <c r="B238" s="109">
        <v>14132002</v>
      </c>
      <c r="C238" s="99" t="str">
        <f t="shared" ref="C238:C239" si="178">IF(K238&gt;0,MID(K238,5, 1), 0)</f>
        <v>4</v>
      </c>
      <c r="D238" s="121">
        <f>COUNTIFS($F$33:F238,F238, $G$33:G238,G238, $C$33:C238,C238, $L$33:L238,L238)</f>
        <v>2</v>
      </c>
      <c r="E238" s="20">
        <v>1</v>
      </c>
      <c r="F238" s="20">
        <v>2</v>
      </c>
      <c r="G238" s="20">
        <v>1</v>
      </c>
      <c r="H238" s="103" t="s">
        <v>961</v>
      </c>
      <c r="I238" s="20" t="s">
        <v>1665</v>
      </c>
      <c r="J238" s="104" t="str">
        <f t="shared" si="177"/>
        <v>Item_Name_14132002</v>
      </c>
      <c r="K238" s="20">
        <v>10104001</v>
      </c>
      <c r="L238" s="107">
        <f t="shared" si="130"/>
        <v>3</v>
      </c>
      <c r="M238" s="105">
        <f>IF(D238=0, 0, _xlfn.XLOOKUP($F238,'#무게관련'!$B:$B,'#무게관련'!$C:$C)*_xlfn.XLOOKUP($L238,'#무게관련'!$F:$F,'#무게관련'!$G:$G)*100)</f>
        <v>6000</v>
      </c>
      <c r="N238" s="20">
        <v>20300</v>
      </c>
      <c r="O238" s="20">
        <v>4</v>
      </c>
      <c r="P238" s="20">
        <v>15</v>
      </c>
      <c r="Q238" s="20">
        <v>1</v>
      </c>
      <c r="R238" s="20">
        <v>100</v>
      </c>
      <c r="S238" s="20">
        <v>1</v>
      </c>
      <c r="T238" s="20" t="s">
        <v>1861</v>
      </c>
      <c r="U238" s="104" t="str">
        <f t="shared" ref="U238:U239" si="179">"item_bg_grade_0"&amp;L238</f>
        <v>item_bg_grade_03</v>
      </c>
      <c r="V238" s="20" t="s">
        <v>321</v>
      </c>
      <c r="W238" s="20" t="s">
        <v>400</v>
      </c>
      <c r="X238" s="104">
        <v>0</v>
      </c>
      <c r="Y238" s="104">
        <v>0</v>
      </c>
      <c r="Z238" s="104">
        <v>0</v>
      </c>
      <c r="AA238" s="104">
        <v>0</v>
      </c>
      <c r="AB238" s="104">
        <v>0</v>
      </c>
      <c r="AC238" s="104">
        <v>0</v>
      </c>
      <c r="AD238" s="142">
        <v>0</v>
      </c>
      <c r="AE238" s="112">
        <f t="shared" si="131"/>
        <v>30</v>
      </c>
      <c r="AF238" s="70">
        <v>4302020</v>
      </c>
      <c r="AG238" s="105" cm="1">
        <f t="array" ref="AG238">_xlfn.SWITCH(L238,3,1,
           4,1,
           5,1,
           6,1,0)</f>
        <v>1</v>
      </c>
      <c r="AH238" s="146">
        <f t="shared" si="169"/>
        <v>80101301</v>
      </c>
      <c r="AI238" s="90">
        <v>6001</v>
      </c>
      <c r="AJ238" s="90">
        <v>3004</v>
      </c>
      <c r="AK238" s="27">
        <v>3002</v>
      </c>
      <c r="AL238" s="123">
        <f>_xlfn.XLOOKUP(H238,'#각종 참고'!$B$11:$B$20,'#각종 참고'!$D$11:$D$20)</f>
        <v>0</v>
      </c>
      <c r="AM238" s="27">
        <v>1</v>
      </c>
      <c r="AN238" s="27">
        <v>1</v>
      </c>
      <c r="AO238" s="124">
        <f t="shared" si="170"/>
        <v>1</v>
      </c>
      <c r="AP238" s="27">
        <v>1</v>
      </c>
      <c r="AQ238" s="21">
        <v>14132011</v>
      </c>
      <c r="AR238" s="21" t="s">
        <v>2381</v>
      </c>
      <c r="AS238" s="68"/>
      <c r="AT238" s="68"/>
      <c r="AU238" s="68"/>
    </row>
    <row r="239" spans="1:47" x14ac:dyDescent="0.3">
      <c r="A239" s="19"/>
      <c r="B239" s="109">
        <v>14132003</v>
      </c>
      <c r="C239" s="99" t="str">
        <f t="shared" si="178"/>
        <v>4</v>
      </c>
      <c r="D239" s="121">
        <f>COUNTIFS($F$33:F239,F239, $G$33:G239,G239, $C$33:C239,C239, $L$33:L239,L239)</f>
        <v>3</v>
      </c>
      <c r="E239" s="20">
        <v>1</v>
      </c>
      <c r="F239" s="20">
        <v>2</v>
      </c>
      <c r="G239" s="20">
        <v>1</v>
      </c>
      <c r="H239" s="103" t="s">
        <v>961</v>
      </c>
      <c r="I239" s="20" t="s">
        <v>2104</v>
      </c>
      <c r="J239" s="104" t="str">
        <f t="shared" si="177"/>
        <v>Item_Name_14132003</v>
      </c>
      <c r="K239" s="20">
        <v>10104001</v>
      </c>
      <c r="L239" s="107">
        <f t="shared" si="130"/>
        <v>3</v>
      </c>
      <c r="M239" s="105">
        <f>IF(D239=0, 0, _xlfn.XLOOKUP($F239,'#무게관련'!$B:$B,'#무게관련'!$C:$C)*_xlfn.XLOOKUP($L239,'#무게관련'!$F:$F,'#무게관련'!$G:$G)*100)</f>
        <v>6000</v>
      </c>
      <c r="N239" s="20">
        <v>20300</v>
      </c>
      <c r="O239" s="20">
        <v>4</v>
      </c>
      <c r="P239" s="20">
        <v>15</v>
      </c>
      <c r="Q239" s="20">
        <v>1</v>
      </c>
      <c r="R239" s="20">
        <v>100</v>
      </c>
      <c r="S239" s="20">
        <v>1</v>
      </c>
      <c r="T239" s="20" t="s">
        <v>1861</v>
      </c>
      <c r="U239" s="104" t="str">
        <f t="shared" si="179"/>
        <v>item_bg_grade_03</v>
      </c>
      <c r="V239" s="20" t="s">
        <v>321</v>
      </c>
      <c r="W239" s="20" t="s">
        <v>400</v>
      </c>
      <c r="X239" s="104">
        <v>0</v>
      </c>
      <c r="Y239" s="104">
        <v>0</v>
      </c>
      <c r="Z239" s="104">
        <v>0</v>
      </c>
      <c r="AA239" s="104">
        <v>0</v>
      </c>
      <c r="AB239" s="104">
        <v>0</v>
      </c>
      <c r="AC239" s="104">
        <v>0</v>
      </c>
      <c r="AD239" s="142">
        <v>0</v>
      </c>
      <c r="AE239" s="112">
        <f t="shared" si="131"/>
        <v>30</v>
      </c>
      <c r="AF239" s="70">
        <v>4302030</v>
      </c>
      <c r="AG239" s="105" cm="1">
        <f t="array" ref="AG239">_xlfn.SWITCH(L239,3,1,
           4,1,
           5,1,
           6,1,0)</f>
        <v>1</v>
      </c>
      <c r="AH239" s="146">
        <f t="shared" si="169"/>
        <v>80101301</v>
      </c>
      <c r="AI239" s="90">
        <v>6001</v>
      </c>
      <c r="AJ239" s="90">
        <v>3004</v>
      </c>
      <c r="AK239" s="27">
        <v>3002</v>
      </c>
      <c r="AL239" s="123">
        <f>_xlfn.XLOOKUP(H239,'#각종 참고'!$B$11:$B$20,'#각종 참고'!$D$11:$D$20)</f>
        <v>0</v>
      </c>
      <c r="AM239" s="27">
        <v>1</v>
      </c>
      <c r="AN239" s="27">
        <v>1</v>
      </c>
      <c r="AO239" s="124">
        <f t="shared" si="170"/>
        <v>1</v>
      </c>
      <c r="AP239" s="27">
        <v>1</v>
      </c>
      <c r="AQ239" s="21">
        <v>14132021</v>
      </c>
      <c r="AR239" s="21" t="s">
        <v>2382</v>
      </c>
      <c r="AS239" s="68"/>
      <c r="AT239" s="68"/>
      <c r="AU239" s="68"/>
    </row>
    <row r="240" spans="1:47" x14ac:dyDescent="0.3">
      <c r="A240" s="19"/>
      <c r="B240" s="109">
        <v>14142001</v>
      </c>
      <c r="C240" s="99" t="str">
        <f t="shared" si="1"/>
        <v>4</v>
      </c>
      <c r="D240" s="121">
        <f>COUNTIFS($F$33:F240,F240, $G$33:G240,G240, $C$33:C240,C240, $L$33:L240,L240)</f>
        <v>1</v>
      </c>
      <c r="E240" s="20">
        <v>1</v>
      </c>
      <c r="F240" s="20">
        <v>2</v>
      </c>
      <c r="G240" s="20">
        <v>1</v>
      </c>
      <c r="H240" s="103" t="s">
        <v>961</v>
      </c>
      <c r="I240" s="20" t="s">
        <v>1666</v>
      </c>
      <c r="J240" s="104" t="str">
        <f t="shared" si="177"/>
        <v>Item_Name_14142001</v>
      </c>
      <c r="K240" s="20">
        <v>10104001</v>
      </c>
      <c r="L240" s="107">
        <f t="shared" si="130"/>
        <v>4</v>
      </c>
      <c r="M240" s="105">
        <f>IF(D240=0, 0, _xlfn.XLOOKUP($F240,'#무게관련'!$B:$B,'#무게관련'!$C:$C)*_xlfn.XLOOKUP($L240,'#무게관련'!$F:$F,'#무게관련'!$G:$G)*100)</f>
        <v>6000</v>
      </c>
      <c r="N240" s="20">
        <v>20300</v>
      </c>
      <c r="O240" s="20">
        <v>4</v>
      </c>
      <c r="P240" s="20">
        <v>15</v>
      </c>
      <c r="Q240" s="20">
        <v>1</v>
      </c>
      <c r="R240" s="20">
        <v>100</v>
      </c>
      <c r="S240" s="20">
        <v>1</v>
      </c>
      <c r="T240" s="20" t="s">
        <v>1862</v>
      </c>
      <c r="U240" s="104" t="str">
        <f t="shared" si="117"/>
        <v>item_bg_grade_04</v>
      </c>
      <c r="V240" s="20" t="s">
        <v>321</v>
      </c>
      <c r="W240" s="20" t="s">
        <v>400</v>
      </c>
      <c r="X240" s="104">
        <v>0</v>
      </c>
      <c r="Y240" s="104">
        <v>0</v>
      </c>
      <c r="Z240" s="104">
        <v>0</v>
      </c>
      <c r="AA240" s="104">
        <v>0</v>
      </c>
      <c r="AB240" s="104">
        <v>0</v>
      </c>
      <c r="AC240" s="104">
        <v>0</v>
      </c>
      <c r="AD240" s="142">
        <v>0</v>
      </c>
      <c r="AE240" s="112">
        <f t="shared" si="131"/>
        <v>40</v>
      </c>
      <c r="AF240" s="70">
        <v>4402010</v>
      </c>
      <c r="AG240" s="105" cm="1">
        <f t="array" ref="AG240">_xlfn.SWITCH(L240,3,1,
           4,1,
           5,1,
           6,1,0)</f>
        <v>1</v>
      </c>
      <c r="AH240" s="146">
        <f t="shared" si="169"/>
        <v>80101401</v>
      </c>
      <c r="AI240" s="90">
        <v>6002</v>
      </c>
      <c r="AJ240" s="90">
        <v>3006</v>
      </c>
      <c r="AK240" s="27">
        <v>4002</v>
      </c>
      <c r="AL240" s="123">
        <f>_xlfn.XLOOKUP(H240,'#각종 참고'!$B$11:$B$20,'#각종 참고'!$D$11:$D$20)</f>
        <v>0</v>
      </c>
      <c r="AM240" s="27">
        <v>1</v>
      </c>
      <c r="AN240" s="27">
        <v>1</v>
      </c>
      <c r="AO240" s="124">
        <f t="shared" si="170"/>
        <v>1</v>
      </c>
      <c r="AP240" s="27">
        <v>1</v>
      </c>
      <c r="AQ240" s="21">
        <v>14142001</v>
      </c>
      <c r="AR240" s="21" t="s">
        <v>1666</v>
      </c>
      <c r="AS240" s="68"/>
      <c r="AT240" s="68"/>
      <c r="AU240" s="68"/>
    </row>
    <row r="241" spans="1:47" x14ac:dyDescent="0.3">
      <c r="A241" s="19"/>
      <c r="B241" s="109">
        <v>14142002</v>
      </c>
      <c r="C241" s="99" t="str">
        <f t="shared" ref="C241:C242" si="180">IF(K241&gt;0,MID(K241,5, 1), 0)</f>
        <v>4</v>
      </c>
      <c r="D241" s="121">
        <f>COUNTIFS($F$33:F241,F241, $G$33:G241,G241, $C$33:C241,C241, $L$33:L241,L241)</f>
        <v>2</v>
      </c>
      <c r="E241" s="20">
        <v>1</v>
      </c>
      <c r="F241" s="20">
        <v>2</v>
      </c>
      <c r="G241" s="20">
        <v>1</v>
      </c>
      <c r="H241" s="103" t="s">
        <v>961</v>
      </c>
      <c r="I241" s="20" t="s">
        <v>2105</v>
      </c>
      <c r="J241" s="104" t="str">
        <f t="shared" si="177"/>
        <v>Item_Name_14142002</v>
      </c>
      <c r="K241" s="20">
        <v>10104001</v>
      </c>
      <c r="L241" s="107">
        <f t="shared" si="130"/>
        <v>4</v>
      </c>
      <c r="M241" s="105">
        <f>IF(D241=0, 0, _xlfn.XLOOKUP($F241,'#무게관련'!$B:$B,'#무게관련'!$C:$C)*_xlfn.XLOOKUP($L241,'#무게관련'!$F:$F,'#무게관련'!$G:$G)*100)</f>
        <v>6000</v>
      </c>
      <c r="N241" s="20">
        <v>20300</v>
      </c>
      <c r="O241" s="20">
        <v>4</v>
      </c>
      <c r="P241" s="20">
        <v>15</v>
      </c>
      <c r="Q241" s="20">
        <v>1</v>
      </c>
      <c r="R241" s="20">
        <v>100</v>
      </c>
      <c r="S241" s="20">
        <v>1</v>
      </c>
      <c r="T241" s="20" t="s">
        <v>1862</v>
      </c>
      <c r="U241" s="104" t="str">
        <f t="shared" ref="U241:U242" si="181">"item_bg_grade_0"&amp;L241</f>
        <v>item_bg_grade_04</v>
      </c>
      <c r="V241" s="20" t="s">
        <v>321</v>
      </c>
      <c r="W241" s="20" t="s">
        <v>400</v>
      </c>
      <c r="X241" s="104">
        <v>0</v>
      </c>
      <c r="Y241" s="104">
        <v>0</v>
      </c>
      <c r="Z241" s="104">
        <v>0</v>
      </c>
      <c r="AA241" s="104">
        <v>0</v>
      </c>
      <c r="AB241" s="104">
        <v>0</v>
      </c>
      <c r="AC241" s="104">
        <v>0</v>
      </c>
      <c r="AD241" s="142">
        <v>0</v>
      </c>
      <c r="AE241" s="112">
        <f t="shared" si="131"/>
        <v>40</v>
      </c>
      <c r="AF241" s="70">
        <v>4402020</v>
      </c>
      <c r="AG241" s="105" cm="1">
        <f t="array" ref="AG241">_xlfn.SWITCH(L241,3,1,
           4,1,
           5,1,
           6,1,0)</f>
        <v>1</v>
      </c>
      <c r="AH241" s="146">
        <f t="shared" si="169"/>
        <v>80101401</v>
      </c>
      <c r="AI241" s="90">
        <v>6002</v>
      </c>
      <c r="AJ241" s="90">
        <v>3006</v>
      </c>
      <c r="AK241" s="27">
        <v>4002</v>
      </c>
      <c r="AL241" s="123">
        <f>_xlfn.XLOOKUP(H241,'#각종 참고'!$B$11:$B$20,'#각종 참고'!$D$11:$D$20)</f>
        <v>0</v>
      </c>
      <c r="AM241" s="27">
        <v>1</v>
      </c>
      <c r="AN241" s="27">
        <v>1</v>
      </c>
      <c r="AO241" s="124">
        <f t="shared" si="170"/>
        <v>1</v>
      </c>
      <c r="AP241" s="27">
        <v>1</v>
      </c>
      <c r="AQ241" s="21">
        <v>14142011</v>
      </c>
      <c r="AR241" s="21" t="s">
        <v>2383</v>
      </c>
      <c r="AS241" s="68"/>
      <c r="AT241" s="68"/>
      <c r="AU241" s="68"/>
    </row>
    <row r="242" spans="1:47" x14ac:dyDescent="0.3">
      <c r="A242" s="19"/>
      <c r="B242" s="109">
        <v>14142003</v>
      </c>
      <c r="C242" s="99" t="str">
        <f t="shared" si="180"/>
        <v>4</v>
      </c>
      <c r="D242" s="121">
        <f>COUNTIFS($F$33:F242,F242, $G$33:G242,G242, $C$33:C242,C242, $L$33:L242,L242)</f>
        <v>3</v>
      </c>
      <c r="E242" s="20">
        <v>1</v>
      </c>
      <c r="F242" s="20">
        <v>2</v>
      </c>
      <c r="G242" s="20">
        <v>1</v>
      </c>
      <c r="H242" s="103" t="s">
        <v>961</v>
      </c>
      <c r="I242" s="20" t="s">
        <v>1667</v>
      </c>
      <c r="J242" s="104" t="str">
        <f t="shared" si="177"/>
        <v>Item_Name_14142003</v>
      </c>
      <c r="K242" s="20">
        <v>10104001</v>
      </c>
      <c r="L242" s="107">
        <f t="shared" si="130"/>
        <v>4</v>
      </c>
      <c r="M242" s="105">
        <f>IF(D242=0, 0, _xlfn.XLOOKUP($F242,'#무게관련'!$B:$B,'#무게관련'!$C:$C)*_xlfn.XLOOKUP($L242,'#무게관련'!$F:$F,'#무게관련'!$G:$G)*100)</f>
        <v>6000</v>
      </c>
      <c r="N242" s="20">
        <v>20300</v>
      </c>
      <c r="O242" s="20">
        <v>4</v>
      </c>
      <c r="P242" s="20">
        <v>15</v>
      </c>
      <c r="Q242" s="20">
        <v>1</v>
      </c>
      <c r="R242" s="20">
        <v>100</v>
      </c>
      <c r="S242" s="20">
        <v>1</v>
      </c>
      <c r="T242" s="20" t="s">
        <v>1862</v>
      </c>
      <c r="U242" s="104" t="str">
        <f t="shared" si="181"/>
        <v>item_bg_grade_04</v>
      </c>
      <c r="V242" s="20" t="s">
        <v>321</v>
      </c>
      <c r="W242" s="20" t="s">
        <v>400</v>
      </c>
      <c r="X242" s="104">
        <v>0</v>
      </c>
      <c r="Y242" s="104">
        <v>0</v>
      </c>
      <c r="Z242" s="104">
        <v>0</v>
      </c>
      <c r="AA242" s="104">
        <v>0</v>
      </c>
      <c r="AB242" s="104">
        <v>0</v>
      </c>
      <c r="AC242" s="104">
        <v>0</v>
      </c>
      <c r="AD242" s="142">
        <v>0</v>
      </c>
      <c r="AE242" s="112">
        <f t="shared" si="131"/>
        <v>40</v>
      </c>
      <c r="AF242" s="70">
        <v>4402030</v>
      </c>
      <c r="AG242" s="105" cm="1">
        <f t="array" ref="AG242">_xlfn.SWITCH(L242,3,1,
           4,1,
           5,1,
           6,1,0)</f>
        <v>1</v>
      </c>
      <c r="AH242" s="146">
        <f t="shared" si="169"/>
        <v>80101401</v>
      </c>
      <c r="AI242" s="90">
        <v>6002</v>
      </c>
      <c r="AJ242" s="90">
        <v>3006</v>
      </c>
      <c r="AK242" s="27">
        <v>4002</v>
      </c>
      <c r="AL242" s="123">
        <f>_xlfn.XLOOKUP(H242,'#각종 참고'!$B$11:$B$20,'#각종 참고'!$D$11:$D$20)</f>
        <v>0</v>
      </c>
      <c r="AM242" s="27">
        <v>1</v>
      </c>
      <c r="AN242" s="27">
        <v>1</v>
      </c>
      <c r="AO242" s="124">
        <f t="shared" si="170"/>
        <v>1</v>
      </c>
      <c r="AP242" s="27">
        <v>1</v>
      </c>
      <c r="AQ242" s="21">
        <v>14142021</v>
      </c>
      <c r="AR242" s="21" t="s">
        <v>2384</v>
      </c>
      <c r="AS242" s="68"/>
      <c r="AT242" s="68"/>
      <c r="AU242" s="68"/>
    </row>
    <row r="243" spans="1:47" x14ac:dyDescent="0.3">
      <c r="A243" s="19"/>
      <c r="B243" s="109">
        <v>14152001</v>
      </c>
      <c r="C243" s="99" t="str">
        <f t="shared" ref="C243:C246" si="182">IF(K243&gt;0,MID(K243,5, 1), 0)</f>
        <v>4</v>
      </c>
      <c r="D243" s="121">
        <f>COUNTIFS($F$33:F243,F243, $G$33:G243,G243, $C$33:C243,C243, $L$33:L243,L243)</f>
        <v>1</v>
      </c>
      <c r="E243" s="20">
        <v>1</v>
      </c>
      <c r="F243" s="20">
        <v>2</v>
      </c>
      <c r="G243" s="20">
        <v>1</v>
      </c>
      <c r="H243" s="103" t="s">
        <v>961</v>
      </c>
      <c r="I243" s="20" t="s">
        <v>1668</v>
      </c>
      <c r="J243" s="104" t="str">
        <f t="shared" si="177"/>
        <v>Item_Name_14152001</v>
      </c>
      <c r="K243" s="20">
        <v>10104001</v>
      </c>
      <c r="L243" s="107">
        <f t="shared" ref="L243:L306" si="183">L225</f>
        <v>5</v>
      </c>
      <c r="M243" s="105">
        <f>IF(D243=0, 0, _xlfn.XLOOKUP($F243,'#무게관련'!$B:$B,'#무게관련'!$C:$C)*_xlfn.XLOOKUP($L243,'#무게관련'!$F:$F,'#무게관련'!$G:$G)*100)</f>
        <v>6000</v>
      </c>
      <c r="N243" s="20">
        <v>20300</v>
      </c>
      <c r="O243" s="20">
        <v>4</v>
      </c>
      <c r="P243" s="20">
        <v>15</v>
      </c>
      <c r="Q243" s="20">
        <v>1</v>
      </c>
      <c r="R243" s="20">
        <v>100</v>
      </c>
      <c r="S243" s="20">
        <v>1</v>
      </c>
      <c r="T243" s="20" t="s">
        <v>1863</v>
      </c>
      <c r="U243" s="104" t="str">
        <f t="shared" si="117"/>
        <v>item_bg_grade_05</v>
      </c>
      <c r="V243" s="20" t="s">
        <v>321</v>
      </c>
      <c r="W243" s="20" t="s">
        <v>400</v>
      </c>
      <c r="X243" s="104">
        <v>0</v>
      </c>
      <c r="Y243" s="104">
        <v>0</v>
      </c>
      <c r="Z243" s="104">
        <v>0</v>
      </c>
      <c r="AA243" s="104">
        <v>0</v>
      </c>
      <c r="AB243" s="104">
        <v>0</v>
      </c>
      <c r="AC243" s="104">
        <v>0</v>
      </c>
      <c r="AD243" s="142">
        <v>0</v>
      </c>
      <c r="AE243" s="112">
        <f t="shared" ref="AE243:AE306" si="184">AE225</f>
        <v>50</v>
      </c>
      <c r="AF243" s="70">
        <v>4502010</v>
      </c>
      <c r="AG243" s="105" cm="1">
        <f t="array" ref="AG243">_xlfn.SWITCH(L243,3,1,
           4,1,
           5,1,
           6,1,0)</f>
        <v>1</v>
      </c>
      <c r="AH243" s="146">
        <f t="shared" si="169"/>
        <v>80101501</v>
      </c>
      <c r="AI243" s="90">
        <v>6003</v>
      </c>
      <c r="AJ243" s="90">
        <v>3008</v>
      </c>
      <c r="AK243" s="27">
        <v>5002</v>
      </c>
      <c r="AL243" s="123">
        <f>_xlfn.XLOOKUP(H243,'#각종 참고'!$B$11:$B$20,'#각종 참고'!$D$11:$D$20)</f>
        <v>0</v>
      </c>
      <c r="AM243" s="27">
        <v>1</v>
      </c>
      <c r="AN243" s="27">
        <v>1</v>
      </c>
      <c r="AO243" s="124">
        <f t="shared" si="170"/>
        <v>1</v>
      </c>
      <c r="AP243" s="27">
        <v>1</v>
      </c>
      <c r="AQ243" s="21">
        <v>14152001</v>
      </c>
      <c r="AR243" s="21" t="s">
        <v>1668</v>
      </c>
      <c r="AS243" s="68"/>
      <c r="AT243" s="68"/>
      <c r="AU243" s="68"/>
    </row>
    <row r="244" spans="1:47" x14ac:dyDescent="0.3">
      <c r="A244" s="19"/>
      <c r="B244" s="109">
        <v>14152002</v>
      </c>
      <c r="C244" s="99" t="str">
        <f t="shared" ref="C244:C245" si="185">IF(K244&gt;0,MID(K244,5, 1), 0)</f>
        <v>4</v>
      </c>
      <c r="D244" s="121">
        <f>COUNTIFS($F$33:F244,F244, $G$33:G244,G244, $C$33:C244,C244, $L$33:L244,L244)</f>
        <v>2</v>
      </c>
      <c r="E244" s="20">
        <v>1</v>
      </c>
      <c r="F244" s="20">
        <v>2</v>
      </c>
      <c r="G244" s="20">
        <v>1</v>
      </c>
      <c r="H244" s="103" t="s">
        <v>961</v>
      </c>
      <c r="I244" s="20" t="s">
        <v>2107</v>
      </c>
      <c r="J244" s="104" t="str">
        <f t="shared" si="177"/>
        <v>Item_Name_14152002</v>
      </c>
      <c r="K244" s="20">
        <v>10104001</v>
      </c>
      <c r="L244" s="107">
        <f t="shared" si="183"/>
        <v>5</v>
      </c>
      <c r="M244" s="105">
        <f>IF(D244=0, 0, _xlfn.XLOOKUP($F244,'#무게관련'!$B:$B,'#무게관련'!$C:$C)*_xlfn.XLOOKUP($L244,'#무게관련'!$F:$F,'#무게관련'!$G:$G)*100)</f>
        <v>6000</v>
      </c>
      <c r="N244" s="20">
        <v>20300</v>
      </c>
      <c r="O244" s="20">
        <v>4</v>
      </c>
      <c r="P244" s="20">
        <v>15</v>
      </c>
      <c r="Q244" s="20">
        <v>1</v>
      </c>
      <c r="R244" s="20">
        <v>100</v>
      </c>
      <c r="S244" s="20">
        <v>1</v>
      </c>
      <c r="T244" s="20" t="s">
        <v>1863</v>
      </c>
      <c r="U244" s="104" t="str">
        <f t="shared" ref="U244:U245" si="186">"item_bg_grade_0"&amp;L244</f>
        <v>item_bg_grade_05</v>
      </c>
      <c r="V244" s="20" t="s">
        <v>321</v>
      </c>
      <c r="W244" s="20" t="s">
        <v>400</v>
      </c>
      <c r="X244" s="104">
        <v>0</v>
      </c>
      <c r="Y244" s="104">
        <v>0</v>
      </c>
      <c r="Z244" s="104">
        <v>0</v>
      </c>
      <c r="AA244" s="104">
        <v>0</v>
      </c>
      <c r="AB244" s="104">
        <v>0</v>
      </c>
      <c r="AC244" s="104">
        <v>0</v>
      </c>
      <c r="AD244" s="142">
        <v>0</v>
      </c>
      <c r="AE244" s="112">
        <f t="shared" si="184"/>
        <v>50</v>
      </c>
      <c r="AF244" s="70">
        <v>4502020</v>
      </c>
      <c r="AG244" s="105" cm="1">
        <f t="array" ref="AG244">_xlfn.SWITCH(L244,3,1,
           4,1,
           5,1,
           6,1,0)</f>
        <v>1</v>
      </c>
      <c r="AH244" s="146">
        <f t="shared" si="169"/>
        <v>80101501</v>
      </c>
      <c r="AI244" s="90">
        <v>6003</v>
      </c>
      <c r="AJ244" s="90">
        <v>3008</v>
      </c>
      <c r="AK244" s="27">
        <v>5002</v>
      </c>
      <c r="AL244" s="123">
        <f>_xlfn.XLOOKUP(H244,'#각종 참고'!$B$11:$B$20,'#각종 참고'!$D$11:$D$20)</f>
        <v>0</v>
      </c>
      <c r="AM244" s="27">
        <v>1</v>
      </c>
      <c r="AN244" s="27">
        <v>1</v>
      </c>
      <c r="AO244" s="124">
        <f t="shared" si="170"/>
        <v>1</v>
      </c>
      <c r="AP244" s="27">
        <v>1</v>
      </c>
      <c r="AQ244" s="21">
        <v>14152011</v>
      </c>
      <c r="AR244" s="21" t="s">
        <v>2385</v>
      </c>
      <c r="AS244" s="68"/>
      <c r="AT244" s="68"/>
      <c r="AU244" s="68"/>
    </row>
    <row r="245" spans="1:47" x14ac:dyDescent="0.3">
      <c r="A245" s="19"/>
      <c r="B245" s="109">
        <v>14152003</v>
      </c>
      <c r="C245" s="99" t="str">
        <f t="shared" si="185"/>
        <v>4</v>
      </c>
      <c r="D245" s="121">
        <f>COUNTIFS($F$33:F245,F245, $G$33:G245,G245, $C$33:C245,C245, $L$33:L245,L245)</f>
        <v>3</v>
      </c>
      <c r="E245" s="20">
        <v>1</v>
      </c>
      <c r="F245" s="20">
        <v>2</v>
      </c>
      <c r="G245" s="20">
        <v>1</v>
      </c>
      <c r="H245" s="103" t="s">
        <v>961</v>
      </c>
      <c r="I245" s="20" t="s">
        <v>2106</v>
      </c>
      <c r="J245" s="104" t="str">
        <f t="shared" si="177"/>
        <v>Item_Name_14152003</v>
      </c>
      <c r="K245" s="20">
        <v>10104001</v>
      </c>
      <c r="L245" s="107">
        <f t="shared" si="183"/>
        <v>5</v>
      </c>
      <c r="M245" s="105">
        <f>IF(D245=0, 0, _xlfn.XLOOKUP($F245,'#무게관련'!$B:$B,'#무게관련'!$C:$C)*_xlfn.XLOOKUP($L245,'#무게관련'!$F:$F,'#무게관련'!$G:$G)*100)</f>
        <v>6000</v>
      </c>
      <c r="N245" s="20">
        <v>20300</v>
      </c>
      <c r="O245" s="20">
        <v>4</v>
      </c>
      <c r="P245" s="20">
        <v>15</v>
      </c>
      <c r="Q245" s="20">
        <v>1</v>
      </c>
      <c r="R245" s="20">
        <v>100</v>
      </c>
      <c r="S245" s="20">
        <v>1</v>
      </c>
      <c r="T245" s="20" t="s">
        <v>1863</v>
      </c>
      <c r="U245" s="104" t="str">
        <f t="shared" si="186"/>
        <v>item_bg_grade_05</v>
      </c>
      <c r="V245" s="20" t="s">
        <v>321</v>
      </c>
      <c r="W245" s="20" t="s">
        <v>400</v>
      </c>
      <c r="X245" s="104">
        <v>0</v>
      </c>
      <c r="Y245" s="104">
        <v>0</v>
      </c>
      <c r="Z245" s="104">
        <v>0</v>
      </c>
      <c r="AA245" s="104">
        <v>0</v>
      </c>
      <c r="AB245" s="104">
        <v>0</v>
      </c>
      <c r="AC245" s="104">
        <v>0</v>
      </c>
      <c r="AD245" s="142">
        <v>0</v>
      </c>
      <c r="AE245" s="112">
        <f t="shared" si="184"/>
        <v>50</v>
      </c>
      <c r="AF245" s="70">
        <v>4502030</v>
      </c>
      <c r="AG245" s="105" cm="1">
        <f t="array" ref="AG245">_xlfn.SWITCH(L245,3,1,
           4,1,
           5,1,
           6,1,0)</f>
        <v>1</v>
      </c>
      <c r="AH245" s="146">
        <f t="shared" si="169"/>
        <v>80101501</v>
      </c>
      <c r="AI245" s="90">
        <v>6003</v>
      </c>
      <c r="AJ245" s="90">
        <v>3008</v>
      </c>
      <c r="AK245" s="27">
        <v>5002</v>
      </c>
      <c r="AL245" s="123">
        <f>_xlfn.XLOOKUP(H245,'#각종 참고'!$B$11:$B$20,'#각종 참고'!$D$11:$D$20)</f>
        <v>0</v>
      </c>
      <c r="AM245" s="27">
        <v>1</v>
      </c>
      <c r="AN245" s="27">
        <v>1</v>
      </c>
      <c r="AO245" s="124">
        <f t="shared" si="170"/>
        <v>1</v>
      </c>
      <c r="AP245" s="27">
        <v>1</v>
      </c>
      <c r="AQ245" s="21">
        <v>14152021</v>
      </c>
      <c r="AR245" s="21" t="s">
        <v>2386</v>
      </c>
      <c r="AS245" s="68"/>
      <c r="AT245" s="68"/>
      <c r="AU245" s="68"/>
    </row>
    <row r="246" spans="1:47" x14ac:dyDescent="0.3">
      <c r="A246" s="19"/>
      <c r="B246" s="109">
        <v>14162001</v>
      </c>
      <c r="C246" s="99" t="str">
        <f t="shared" si="182"/>
        <v>4</v>
      </c>
      <c r="D246" s="121">
        <f>COUNTIFS($F$33:F246,F246, $G$33:G246,G246, $C$33:C246,C246, $L$33:L246,L246)</f>
        <v>1</v>
      </c>
      <c r="E246" s="20">
        <v>1</v>
      </c>
      <c r="F246" s="20">
        <v>2</v>
      </c>
      <c r="G246" s="20">
        <v>1</v>
      </c>
      <c r="H246" s="103" t="s">
        <v>961</v>
      </c>
      <c r="I246" s="20" t="s">
        <v>1670</v>
      </c>
      <c r="J246" s="104" t="str">
        <f t="shared" si="177"/>
        <v>Item_Name_14162001</v>
      </c>
      <c r="K246" s="20">
        <v>10104001</v>
      </c>
      <c r="L246" s="107">
        <f t="shared" si="183"/>
        <v>6</v>
      </c>
      <c r="M246" s="105">
        <f>IF(D246=0, 0, _xlfn.XLOOKUP($F246,'#무게관련'!$B:$B,'#무게관련'!$C:$C)*_xlfn.XLOOKUP($L246,'#무게관련'!$F:$F,'#무게관련'!$G:$G)*100)</f>
        <v>6000</v>
      </c>
      <c r="N246" s="20">
        <v>20300</v>
      </c>
      <c r="O246" s="20">
        <v>4</v>
      </c>
      <c r="P246" s="20">
        <v>15</v>
      </c>
      <c r="Q246" s="20">
        <v>1</v>
      </c>
      <c r="R246" s="20">
        <v>100</v>
      </c>
      <c r="S246" s="20">
        <v>1</v>
      </c>
      <c r="T246" s="109" t="s">
        <v>1863</v>
      </c>
      <c r="U246" s="104" t="str">
        <f t="shared" si="117"/>
        <v>item_bg_grade_06</v>
      </c>
      <c r="V246" s="20" t="s">
        <v>321</v>
      </c>
      <c r="W246" s="20" t="s">
        <v>400</v>
      </c>
      <c r="X246" s="104">
        <v>0</v>
      </c>
      <c r="Y246" s="104">
        <v>0</v>
      </c>
      <c r="Z246" s="104">
        <v>0</v>
      </c>
      <c r="AA246" s="104">
        <v>0</v>
      </c>
      <c r="AB246" s="104">
        <v>0</v>
      </c>
      <c r="AC246" s="104">
        <v>0</v>
      </c>
      <c r="AD246" s="142">
        <v>0</v>
      </c>
      <c r="AE246" s="112">
        <f t="shared" si="184"/>
        <v>70</v>
      </c>
      <c r="AF246" s="70">
        <v>4602010</v>
      </c>
      <c r="AG246" s="105" cm="1">
        <f t="array" ref="AG246">_xlfn.SWITCH(L246,3,1,
           4,1,
           5,1,
           6,1,0)</f>
        <v>1</v>
      </c>
      <c r="AH246" s="146">
        <f t="shared" si="169"/>
        <v>0</v>
      </c>
      <c r="AI246" s="90">
        <v>6004</v>
      </c>
      <c r="AJ246" s="90">
        <v>3010</v>
      </c>
      <c r="AK246" s="27">
        <v>6002</v>
      </c>
      <c r="AL246" s="123">
        <f>_xlfn.XLOOKUP(H246,'#각종 참고'!$B$11:$B$20,'#각종 참고'!$D$11:$D$20)</f>
        <v>0</v>
      </c>
      <c r="AM246" s="27">
        <v>1</v>
      </c>
      <c r="AN246" s="27">
        <v>1</v>
      </c>
      <c r="AO246" s="124">
        <f t="shared" si="170"/>
        <v>1</v>
      </c>
      <c r="AP246" s="27">
        <v>1</v>
      </c>
      <c r="AQ246" s="21">
        <v>14162001</v>
      </c>
      <c r="AR246" s="21" t="s">
        <v>1670</v>
      </c>
      <c r="AS246" s="68"/>
      <c r="AT246" s="68"/>
      <c r="AU246" s="68"/>
    </row>
    <row r="247" spans="1:47" x14ac:dyDescent="0.3">
      <c r="A247" s="19" t="s">
        <v>513</v>
      </c>
      <c r="B247" s="109">
        <v>14162002</v>
      </c>
      <c r="C247" s="99" t="str">
        <f t="shared" ref="C247:C248" si="187">IF(K247&gt;0,MID(K247,5, 1), 0)</f>
        <v>4</v>
      </c>
      <c r="D247" s="121">
        <f>COUNTIFS($F$33:F247,F247, $G$33:G247,G247, $C$33:C247,C247, $L$33:L247,L247)</f>
        <v>2</v>
      </c>
      <c r="E247" s="20">
        <v>1</v>
      </c>
      <c r="F247" s="20">
        <v>2</v>
      </c>
      <c r="G247" s="20">
        <v>1</v>
      </c>
      <c r="H247" s="103" t="s">
        <v>961</v>
      </c>
      <c r="I247" s="20" t="s">
        <v>1669</v>
      </c>
      <c r="J247" s="104" t="str">
        <f t="shared" si="177"/>
        <v>Item_Name_14162002</v>
      </c>
      <c r="K247" s="20">
        <v>10104001</v>
      </c>
      <c r="L247" s="107">
        <f t="shared" si="183"/>
        <v>6</v>
      </c>
      <c r="M247" s="105">
        <f>IF(D247=0, 0, _xlfn.XLOOKUP($F247,'#무게관련'!$B:$B,'#무게관련'!$C:$C)*_xlfn.XLOOKUP($L247,'#무게관련'!$F:$F,'#무게관련'!$G:$G)*100)</f>
        <v>6000</v>
      </c>
      <c r="N247" s="20">
        <v>20300</v>
      </c>
      <c r="O247" s="20">
        <v>4</v>
      </c>
      <c r="P247" s="20">
        <v>15</v>
      </c>
      <c r="Q247" s="20">
        <v>1</v>
      </c>
      <c r="R247" s="20">
        <v>100</v>
      </c>
      <c r="S247" s="20">
        <v>1</v>
      </c>
      <c r="T247" s="109" t="s">
        <v>1863</v>
      </c>
      <c r="U247" s="104" t="str">
        <f t="shared" ref="U247:U248" si="188">"item_bg_grade_0"&amp;L247</f>
        <v>item_bg_grade_06</v>
      </c>
      <c r="V247" s="20" t="s">
        <v>321</v>
      </c>
      <c r="W247" s="20" t="s">
        <v>400</v>
      </c>
      <c r="X247" s="104">
        <v>0</v>
      </c>
      <c r="Y247" s="104">
        <v>0</v>
      </c>
      <c r="Z247" s="104">
        <v>0</v>
      </c>
      <c r="AA247" s="104">
        <v>0</v>
      </c>
      <c r="AB247" s="104">
        <v>0</v>
      </c>
      <c r="AC247" s="104">
        <v>0</v>
      </c>
      <c r="AD247" s="142">
        <v>0</v>
      </c>
      <c r="AE247" s="112">
        <f t="shared" si="184"/>
        <v>70</v>
      </c>
      <c r="AF247" s="70">
        <v>4602010</v>
      </c>
      <c r="AG247" s="105" cm="1">
        <f t="array" ref="AG247">_xlfn.SWITCH(L247,3,1,
           4,1,
           5,1,
           6,1,0)</f>
        <v>1</v>
      </c>
      <c r="AH247" s="146">
        <f t="shared" si="169"/>
        <v>0</v>
      </c>
      <c r="AI247" s="90">
        <v>6004</v>
      </c>
      <c r="AJ247" s="90">
        <v>3010</v>
      </c>
      <c r="AK247" s="27">
        <v>6002</v>
      </c>
      <c r="AL247" s="123">
        <f>_xlfn.XLOOKUP(H247,'#각종 참고'!$B$11:$B$20,'#각종 참고'!$D$11:$D$20)</f>
        <v>0</v>
      </c>
      <c r="AM247" s="27">
        <v>1</v>
      </c>
      <c r="AN247" s="27">
        <v>1</v>
      </c>
      <c r="AO247" s="124">
        <f t="shared" si="170"/>
        <v>1</v>
      </c>
      <c r="AP247" s="27">
        <v>1</v>
      </c>
      <c r="AQ247" s="21">
        <v>14162011</v>
      </c>
      <c r="AR247" s="21" t="s">
        <v>2387</v>
      </c>
      <c r="AS247" s="68"/>
      <c r="AT247" s="68"/>
      <c r="AU247" s="68"/>
    </row>
    <row r="248" spans="1:47" x14ac:dyDescent="0.3">
      <c r="A248" s="19" t="s">
        <v>513</v>
      </c>
      <c r="B248" s="109">
        <v>14162003</v>
      </c>
      <c r="C248" s="99" t="str">
        <f t="shared" si="187"/>
        <v>4</v>
      </c>
      <c r="D248" s="121">
        <f>COUNTIFS($F$33:F248,F248, $G$33:G248,G248, $C$33:C248,C248, $L$33:L248,L248)</f>
        <v>3</v>
      </c>
      <c r="E248" s="20">
        <v>1</v>
      </c>
      <c r="F248" s="20">
        <v>2</v>
      </c>
      <c r="G248" s="20">
        <v>1</v>
      </c>
      <c r="H248" s="103" t="s">
        <v>961</v>
      </c>
      <c r="I248" s="20" t="s">
        <v>2108</v>
      </c>
      <c r="J248" s="104" t="str">
        <f t="shared" si="177"/>
        <v>Item_Name_14162003</v>
      </c>
      <c r="K248" s="20">
        <v>10104001</v>
      </c>
      <c r="L248" s="107">
        <f t="shared" si="183"/>
        <v>6</v>
      </c>
      <c r="M248" s="105">
        <f>IF(D248=0, 0, _xlfn.XLOOKUP($F248,'#무게관련'!$B:$B,'#무게관련'!$C:$C)*_xlfn.XLOOKUP($L248,'#무게관련'!$F:$F,'#무게관련'!$G:$G)*100)</f>
        <v>6000</v>
      </c>
      <c r="N248" s="20">
        <v>20300</v>
      </c>
      <c r="O248" s="20">
        <v>4</v>
      </c>
      <c r="P248" s="20">
        <v>15</v>
      </c>
      <c r="Q248" s="20">
        <v>1</v>
      </c>
      <c r="R248" s="20">
        <v>100</v>
      </c>
      <c r="S248" s="20">
        <v>1</v>
      </c>
      <c r="T248" s="109" t="s">
        <v>1863</v>
      </c>
      <c r="U248" s="104" t="str">
        <f t="shared" si="188"/>
        <v>item_bg_grade_06</v>
      </c>
      <c r="V248" s="20" t="s">
        <v>321</v>
      </c>
      <c r="W248" s="20" t="s">
        <v>400</v>
      </c>
      <c r="X248" s="104">
        <v>0</v>
      </c>
      <c r="Y248" s="104">
        <v>0</v>
      </c>
      <c r="Z248" s="104">
        <v>0</v>
      </c>
      <c r="AA248" s="104">
        <v>0</v>
      </c>
      <c r="AB248" s="104">
        <v>0</v>
      </c>
      <c r="AC248" s="104">
        <v>0</v>
      </c>
      <c r="AD248" s="142">
        <v>0</v>
      </c>
      <c r="AE248" s="112">
        <f t="shared" si="184"/>
        <v>70</v>
      </c>
      <c r="AF248" s="70">
        <v>4602010</v>
      </c>
      <c r="AG248" s="105" cm="1">
        <f t="array" ref="AG248">_xlfn.SWITCH(L248,3,1,
           4,1,
           5,1,
           6,1,0)</f>
        <v>1</v>
      </c>
      <c r="AH248" s="146">
        <f t="shared" si="169"/>
        <v>0</v>
      </c>
      <c r="AI248" s="90">
        <v>6004</v>
      </c>
      <c r="AJ248" s="90">
        <v>3010</v>
      </c>
      <c r="AK248" s="27">
        <v>6002</v>
      </c>
      <c r="AL248" s="123">
        <f>_xlfn.XLOOKUP(H248,'#각종 참고'!$B$11:$B$20,'#각종 참고'!$D$11:$D$20)</f>
        <v>0</v>
      </c>
      <c r="AM248" s="27">
        <v>1</v>
      </c>
      <c r="AN248" s="27">
        <v>1</v>
      </c>
      <c r="AO248" s="124">
        <f t="shared" si="170"/>
        <v>1</v>
      </c>
      <c r="AP248" s="27">
        <v>1</v>
      </c>
      <c r="AQ248" s="21">
        <v>14162021</v>
      </c>
      <c r="AR248" s="21" t="s">
        <v>2388</v>
      </c>
      <c r="AS248" s="68"/>
      <c r="AT248" s="68"/>
      <c r="AU248" s="68"/>
    </row>
    <row r="249" spans="1:47" s="68" customFormat="1" x14ac:dyDescent="0.3">
      <c r="A249" s="65"/>
      <c r="B249" s="110">
        <v>11113001</v>
      </c>
      <c r="C249" s="99" t="str">
        <f t="shared" si="1"/>
        <v>1</v>
      </c>
      <c r="D249" s="120">
        <f>COUNTIFS($F$33:F249,F249, $G$33:G249,G249, $C$33:C249,C249, $L$33:L249,L249)</f>
        <v>1</v>
      </c>
      <c r="E249" s="20">
        <v>1</v>
      </c>
      <c r="F249" s="66">
        <v>3</v>
      </c>
      <c r="G249" s="66">
        <v>1</v>
      </c>
      <c r="H249" s="103" t="s">
        <v>962</v>
      </c>
      <c r="I249" s="66" t="s">
        <v>1671</v>
      </c>
      <c r="J249" s="104" t="str">
        <f t="shared" si="177"/>
        <v>Item_Name_11113001</v>
      </c>
      <c r="K249" s="66">
        <v>10101001</v>
      </c>
      <c r="L249" s="106">
        <f t="shared" si="183"/>
        <v>1</v>
      </c>
      <c r="M249" s="105">
        <f>IF(D249=0, 0, _xlfn.XLOOKUP($F249,'#무게관련'!$B:$B,'#무게관련'!$C:$C)*_xlfn.XLOOKUP($L249,'#무게관련'!$F:$F,'#무게관련'!$G:$G)*100)</f>
        <v>10000</v>
      </c>
      <c r="N249" s="20">
        <v>20400</v>
      </c>
      <c r="O249" s="20">
        <v>1</v>
      </c>
      <c r="P249" s="66">
        <v>15</v>
      </c>
      <c r="Q249" s="20">
        <v>1</v>
      </c>
      <c r="R249" s="66">
        <v>100</v>
      </c>
      <c r="S249" s="66">
        <v>1</v>
      </c>
      <c r="T249" s="66" t="s">
        <v>1864</v>
      </c>
      <c r="U249" s="104" t="str">
        <f t="shared" si="117"/>
        <v>item_bg_grade_01</v>
      </c>
      <c r="V249" s="66" t="s">
        <v>322</v>
      </c>
      <c r="W249" s="66" t="s">
        <v>400</v>
      </c>
      <c r="X249" s="104">
        <v>0</v>
      </c>
      <c r="Y249" s="104">
        <v>0</v>
      </c>
      <c r="Z249" s="104">
        <v>0</v>
      </c>
      <c r="AA249" s="104">
        <v>0</v>
      </c>
      <c r="AB249" s="104">
        <v>0</v>
      </c>
      <c r="AC249" s="104">
        <v>0</v>
      </c>
      <c r="AD249" s="142">
        <v>0</v>
      </c>
      <c r="AE249" s="111">
        <f t="shared" si="184"/>
        <v>10</v>
      </c>
      <c r="AF249" s="70">
        <v>1103010</v>
      </c>
      <c r="AG249" s="105" cm="1">
        <f t="array" ref="AG249">_xlfn.SWITCH(L249,3,1,
           4,1,
           5,1,
           6,1,0)</f>
        <v>0</v>
      </c>
      <c r="AH249" s="146">
        <f t="shared" si="169"/>
        <v>80101101</v>
      </c>
      <c r="AI249" s="90">
        <v>0</v>
      </c>
      <c r="AJ249" s="90">
        <v>0</v>
      </c>
      <c r="AK249" s="27">
        <v>0</v>
      </c>
      <c r="AL249" s="123">
        <f>_xlfn.XLOOKUP(H249,'#각종 참고'!$B$11:$B$20,'#각종 참고'!$D$11:$D$20)</f>
        <v>0</v>
      </c>
      <c r="AM249" s="27">
        <v>1</v>
      </c>
      <c r="AN249" s="27">
        <v>1</v>
      </c>
      <c r="AO249" s="124">
        <f t="shared" si="170"/>
        <v>1</v>
      </c>
      <c r="AP249" s="27">
        <v>1</v>
      </c>
      <c r="AQ249" s="21">
        <v>11113001</v>
      </c>
      <c r="AR249" s="68" t="s">
        <v>1671</v>
      </c>
    </row>
    <row r="250" spans="1:47" s="68" customFormat="1" x14ac:dyDescent="0.3">
      <c r="A250" s="65"/>
      <c r="B250" s="110">
        <v>11113002</v>
      </c>
      <c r="C250" s="99" t="str">
        <f t="shared" ref="C250:C251" si="189">IF(K250&gt;0,MID(K250,5, 1), 0)</f>
        <v>1</v>
      </c>
      <c r="D250" s="120">
        <f>COUNTIFS($F$33:F250,F250, $G$33:G250,G250, $C$33:C250,C250, $L$33:L250,L250)</f>
        <v>2</v>
      </c>
      <c r="E250" s="20">
        <v>1</v>
      </c>
      <c r="F250" s="66">
        <v>3</v>
      </c>
      <c r="G250" s="66">
        <v>1</v>
      </c>
      <c r="H250" s="103" t="s">
        <v>962</v>
      </c>
      <c r="I250" s="66" t="s">
        <v>2110</v>
      </c>
      <c r="J250" s="104" t="str">
        <f t="shared" si="177"/>
        <v>Item_Name_11113002</v>
      </c>
      <c r="K250" s="66">
        <v>10101001</v>
      </c>
      <c r="L250" s="106">
        <f t="shared" si="183"/>
        <v>1</v>
      </c>
      <c r="M250" s="105">
        <f>IF(D250=0, 0, _xlfn.XLOOKUP($F250,'#무게관련'!$B:$B,'#무게관련'!$C:$C)*_xlfn.XLOOKUP($L250,'#무게관련'!$F:$F,'#무게관련'!$G:$G)*100)</f>
        <v>10000</v>
      </c>
      <c r="N250" s="20">
        <v>20400</v>
      </c>
      <c r="O250" s="20">
        <v>1</v>
      </c>
      <c r="P250" s="66">
        <v>15</v>
      </c>
      <c r="Q250" s="20">
        <v>1</v>
      </c>
      <c r="R250" s="66">
        <v>100</v>
      </c>
      <c r="S250" s="66">
        <v>1</v>
      </c>
      <c r="T250" s="66" t="s">
        <v>1864</v>
      </c>
      <c r="U250" s="104" t="str">
        <f t="shared" ref="U250:U251" si="190">"item_bg_grade_0"&amp;L250</f>
        <v>item_bg_grade_01</v>
      </c>
      <c r="V250" s="66" t="s">
        <v>322</v>
      </c>
      <c r="W250" s="66" t="s">
        <v>400</v>
      </c>
      <c r="X250" s="104">
        <v>0</v>
      </c>
      <c r="Y250" s="104">
        <v>0</v>
      </c>
      <c r="Z250" s="104">
        <v>0</v>
      </c>
      <c r="AA250" s="104">
        <v>0</v>
      </c>
      <c r="AB250" s="104">
        <v>0</v>
      </c>
      <c r="AC250" s="104">
        <v>0</v>
      </c>
      <c r="AD250" s="142">
        <v>0</v>
      </c>
      <c r="AE250" s="111">
        <f t="shared" si="184"/>
        <v>10</v>
      </c>
      <c r="AF250" s="70">
        <v>1103020</v>
      </c>
      <c r="AG250" s="105" cm="1">
        <f t="array" ref="AG250">_xlfn.SWITCH(L250,3,1,
           4,1,
           5,1,
           6,1,0)</f>
        <v>0</v>
      </c>
      <c r="AH250" s="146">
        <f t="shared" si="169"/>
        <v>80101101</v>
      </c>
      <c r="AI250" s="90">
        <v>0</v>
      </c>
      <c r="AJ250" s="90">
        <v>0</v>
      </c>
      <c r="AK250" s="27">
        <v>0</v>
      </c>
      <c r="AL250" s="123">
        <f>_xlfn.XLOOKUP(H250,'#각종 참고'!$B$11:$B$20,'#각종 참고'!$D$11:$D$20)</f>
        <v>0</v>
      </c>
      <c r="AM250" s="27">
        <v>1</v>
      </c>
      <c r="AN250" s="27">
        <v>1</v>
      </c>
      <c r="AO250" s="124">
        <f t="shared" si="170"/>
        <v>1</v>
      </c>
      <c r="AP250" s="27">
        <v>1</v>
      </c>
      <c r="AQ250" s="21">
        <v>11113011</v>
      </c>
      <c r="AR250" s="68" t="s">
        <v>2389</v>
      </c>
    </row>
    <row r="251" spans="1:47" s="68" customFormat="1" x14ac:dyDescent="0.3">
      <c r="A251" s="65"/>
      <c r="B251" s="110">
        <v>11113003</v>
      </c>
      <c r="C251" s="99" t="str">
        <f t="shared" si="189"/>
        <v>1</v>
      </c>
      <c r="D251" s="120">
        <f>COUNTIFS($F$33:F251,F251, $G$33:G251,G251, $C$33:C251,C251, $L$33:L251,L251)</f>
        <v>3</v>
      </c>
      <c r="E251" s="20">
        <v>1</v>
      </c>
      <c r="F251" s="66">
        <v>3</v>
      </c>
      <c r="G251" s="66">
        <v>1</v>
      </c>
      <c r="H251" s="103" t="s">
        <v>962</v>
      </c>
      <c r="I251" s="66" t="s">
        <v>2109</v>
      </c>
      <c r="J251" s="104" t="str">
        <f t="shared" si="177"/>
        <v>Item_Name_11113003</v>
      </c>
      <c r="K251" s="66">
        <v>10101001</v>
      </c>
      <c r="L251" s="106">
        <f t="shared" si="183"/>
        <v>1</v>
      </c>
      <c r="M251" s="105">
        <f>IF(D251=0, 0, _xlfn.XLOOKUP($F251,'#무게관련'!$B:$B,'#무게관련'!$C:$C)*_xlfn.XLOOKUP($L251,'#무게관련'!$F:$F,'#무게관련'!$G:$G)*100)</f>
        <v>10000</v>
      </c>
      <c r="N251" s="20">
        <v>20400</v>
      </c>
      <c r="O251" s="20">
        <v>1</v>
      </c>
      <c r="P251" s="66">
        <v>15</v>
      </c>
      <c r="Q251" s="20">
        <v>1</v>
      </c>
      <c r="R251" s="66">
        <v>100</v>
      </c>
      <c r="S251" s="66">
        <v>1</v>
      </c>
      <c r="T251" s="66" t="s">
        <v>1864</v>
      </c>
      <c r="U251" s="104" t="str">
        <f t="shared" si="190"/>
        <v>item_bg_grade_01</v>
      </c>
      <c r="V251" s="66" t="s">
        <v>322</v>
      </c>
      <c r="W251" s="66" t="s">
        <v>400</v>
      </c>
      <c r="X251" s="104">
        <v>0</v>
      </c>
      <c r="Y251" s="104">
        <v>0</v>
      </c>
      <c r="Z251" s="104">
        <v>0</v>
      </c>
      <c r="AA251" s="104">
        <v>0</v>
      </c>
      <c r="AB251" s="104">
        <v>0</v>
      </c>
      <c r="AC251" s="104">
        <v>0</v>
      </c>
      <c r="AD251" s="142">
        <v>0</v>
      </c>
      <c r="AE251" s="111">
        <f t="shared" si="184"/>
        <v>10</v>
      </c>
      <c r="AF251" s="70">
        <v>1103030</v>
      </c>
      <c r="AG251" s="105" cm="1">
        <f t="array" ref="AG251">_xlfn.SWITCH(L251,3,1,
           4,1,
           5,1,
           6,1,0)</f>
        <v>0</v>
      </c>
      <c r="AH251" s="146">
        <f t="shared" si="169"/>
        <v>80101101</v>
      </c>
      <c r="AI251" s="90">
        <v>0</v>
      </c>
      <c r="AJ251" s="90">
        <v>0</v>
      </c>
      <c r="AK251" s="27">
        <v>0</v>
      </c>
      <c r="AL251" s="123">
        <f>_xlfn.XLOOKUP(H251,'#각종 참고'!$B$11:$B$20,'#각종 참고'!$D$11:$D$20)</f>
        <v>0</v>
      </c>
      <c r="AM251" s="27">
        <v>1</v>
      </c>
      <c r="AN251" s="27">
        <v>1</v>
      </c>
      <c r="AO251" s="124">
        <f t="shared" si="170"/>
        <v>1</v>
      </c>
      <c r="AP251" s="27">
        <v>1</v>
      </c>
      <c r="AQ251" s="21">
        <v>11113021</v>
      </c>
      <c r="AR251" s="68" t="s">
        <v>2390</v>
      </c>
    </row>
    <row r="252" spans="1:47" x14ac:dyDescent="0.3">
      <c r="A252" s="19"/>
      <c r="B252" s="109">
        <v>11123001</v>
      </c>
      <c r="C252" s="99" t="str">
        <f t="shared" si="1"/>
        <v>1</v>
      </c>
      <c r="D252" s="121">
        <f>COUNTIFS($F$33:F252,F252, $G$33:G252,G252, $C$33:C252,C252, $L$33:L252,L252)</f>
        <v>1</v>
      </c>
      <c r="E252" s="20">
        <v>1</v>
      </c>
      <c r="F252" s="20">
        <v>3</v>
      </c>
      <c r="G252" s="20">
        <v>1</v>
      </c>
      <c r="H252" s="103" t="s">
        <v>962</v>
      </c>
      <c r="I252" s="20" t="s">
        <v>1672</v>
      </c>
      <c r="J252" s="104" t="str">
        <f t="shared" si="177"/>
        <v>Item_Name_11123001</v>
      </c>
      <c r="K252" s="20">
        <v>10101001</v>
      </c>
      <c r="L252" s="108">
        <f t="shared" si="183"/>
        <v>2</v>
      </c>
      <c r="M252" s="105">
        <f>IF(D252=0, 0, _xlfn.XLOOKUP($F252,'#무게관련'!$B:$B,'#무게관련'!$C:$C)*_xlfn.XLOOKUP($L252,'#무게관련'!$F:$F,'#무게관련'!$G:$G)*100)</f>
        <v>10000</v>
      </c>
      <c r="N252" s="20">
        <v>20400</v>
      </c>
      <c r="O252" s="20">
        <v>1</v>
      </c>
      <c r="P252" s="20">
        <v>15</v>
      </c>
      <c r="Q252" s="20">
        <v>1</v>
      </c>
      <c r="R252" s="20">
        <v>100</v>
      </c>
      <c r="S252" s="20">
        <v>1</v>
      </c>
      <c r="T252" s="20" t="s">
        <v>1865</v>
      </c>
      <c r="U252" s="104" t="str">
        <f t="shared" si="117"/>
        <v>item_bg_grade_02</v>
      </c>
      <c r="V252" s="20" t="s">
        <v>322</v>
      </c>
      <c r="W252" s="20" t="s">
        <v>400</v>
      </c>
      <c r="X252" s="104">
        <v>0</v>
      </c>
      <c r="Y252" s="104">
        <v>0</v>
      </c>
      <c r="Z252" s="104">
        <v>0</v>
      </c>
      <c r="AA252" s="104">
        <v>0</v>
      </c>
      <c r="AB252" s="104">
        <v>0</v>
      </c>
      <c r="AC252" s="104">
        <v>0</v>
      </c>
      <c r="AD252" s="142">
        <v>0</v>
      </c>
      <c r="AE252" s="112">
        <f t="shared" si="184"/>
        <v>20</v>
      </c>
      <c r="AF252" s="70">
        <v>1203010</v>
      </c>
      <c r="AG252" s="105" cm="1">
        <f t="array" ref="AG252">_xlfn.SWITCH(L252,3,1,
           4,1,
           5,1,
           6,1,0)</f>
        <v>0</v>
      </c>
      <c r="AH252" s="146">
        <f t="shared" si="169"/>
        <v>80101201</v>
      </c>
      <c r="AI252" s="90">
        <v>6000</v>
      </c>
      <c r="AJ252" s="90">
        <v>3001</v>
      </c>
      <c r="AK252" s="27">
        <v>2003</v>
      </c>
      <c r="AL252" s="123">
        <f>_xlfn.XLOOKUP(H252,'#각종 참고'!$B$11:$B$20,'#각종 참고'!$D$11:$D$20)</f>
        <v>0</v>
      </c>
      <c r="AM252" s="27">
        <v>1</v>
      </c>
      <c r="AN252" s="27">
        <v>1</v>
      </c>
      <c r="AO252" s="124">
        <f t="shared" si="170"/>
        <v>1</v>
      </c>
      <c r="AP252" s="27">
        <v>1</v>
      </c>
      <c r="AQ252" s="21">
        <v>11123001</v>
      </c>
      <c r="AR252" s="21" t="s">
        <v>1672</v>
      </c>
      <c r="AS252" s="68"/>
      <c r="AT252" s="68"/>
      <c r="AU252" s="68"/>
    </row>
    <row r="253" spans="1:47" x14ac:dyDescent="0.3">
      <c r="A253" s="19"/>
      <c r="B253" s="109">
        <v>11123002</v>
      </c>
      <c r="C253" s="99" t="str">
        <f t="shared" ref="C253:C254" si="191">IF(K253&gt;0,MID(K253,5, 1), 0)</f>
        <v>1</v>
      </c>
      <c r="D253" s="121">
        <f>COUNTIFS($F$33:F253,F253, $G$33:G253,G253, $C$33:C253,C253, $L$33:L253,L253)</f>
        <v>2</v>
      </c>
      <c r="E253" s="20">
        <v>1</v>
      </c>
      <c r="F253" s="20">
        <v>3</v>
      </c>
      <c r="G253" s="20">
        <v>1</v>
      </c>
      <c r="H253" s="103" t="s">
        <v>962</v>
      </c>
      <c r="I253" s="20" t="s">
        <v>2111</v>
      </c>
      <c r="J253" s="104" t="str">
        <f t="shared" si="177"/>
        <v>Item_Name_11123002</v>
      </c>
      <c r="K253" s="20">
        <v>10101001</v>
      </c>
      <c r="L253" s="108">
        <f t="shared" si="183"/>
        <v>2</v>
      </c>
      <c r="M253" s="105">
        <f>IF(D253=0, 0, _xlfn.XLOOKUP($F253,'#무게관련'!$B:$B,'#무게관련'!$C:$C)*_xlfn.XLOOKUP($L253,'#무게관련'!$F:$F,'#무게관련'!$G:$G)*100)</f>
        <v>10000</v>
      </c>
      <c r="N253" s="20">
        <v>20400</v>
      </c>
      <c r="O253" s="20">
        <v>1</v>
      </c>
      <c r="P253" s="20">
        <v>15</v>
      </c>
      <c r="Q253" s="20">
        <v>1</v>
      </c>
      <c r="R253" s="20">
        <v>100</v>
      </c>
      <c r="S253" s="20">
        <v>1</v>
      </c>
      <c r="T253" s="20" t="s">
        <v>1865</v>
      </c>
      <c r="U253" s="104" t="str">
        <f t="shared" ref="U253:U254" si="192">"item_bg_grade_0"&amp;L253</f>
        <v>item_bg_grade_02</v>
      </c>
      <c r="V253" s="20" t="s">
        <v>322</v>
      </c>
      <c r="W253" s="20" t="s">
        <v>400</v>
      </c>
      <c r="X253" s="104">
        <v>0</v>
      </c>
      <c r="Y253" s="104">
        <v>0</v>
      </c>
      <c r="Z253" s="104">
        <v>0</v>
      </c>
      <c r="AA253" s="104">
        <v>0</v>
      </c>
      <c r="AB253" s="104">
        <v>0</v>
      </c>
      <c r="AC253" s="104">
        <v>0</v>
      </c>
      <c r="AD253" s="142">
        <v>0</v>
      </c>
      <c r="AE253" s="112">
        <f t="shared" si="184"/>
        <v>20</v>
      </c>
      <c r="AF253" s="70">
        <v>1203020</v>
      </c>
      <c r="AG253" s="105" cm="1">
        <f t="array" ref="AG253">_xlfn.SWITCH(L253,3,1,
           4,1,
           5,1,
           6,1,0)</f>
        <v>0</v>
      </c>
      <c r="AH253" s="146">
        <f t="shared" si="169"/>
        <v>80101201</v>
      </c>
      <c r="AI253" s="90">
        <v>6000</v>
      </c>
      <c r="AJ253" s="90">
        <v>3001</v>
      </c>
      <c r="AK253" s="27">
        <v>2003</v>
      </c>
      <c r="AL253" s="123">
        <f>_xlfn.XLOOKUP(H253,'#각종 참고'!$B$11:$B$20,'#각종 참고'!$D$11:$D$20)</f>
        <v>0</v>
      </c>
      <c r="AM253" s="27">
        <v>1</v>
      </c>
      <c r="AN253" s="27">
        <v>1</v>
      </c>
      <c r="AO253" s="124">
        <f t="shared" si="170"/>
        <v>1</v>
      </c>
      <c r="AP253" s="27">
        <v>1</v>
      </c>
      <c r="AQ253" s="21">
        <v>11123011</v>
      </c>
      <c r="AR253" s="21" t="s">
        <v>2391</v>
      </c>
      <c r="AS253" s="68"/>
      <c r="AT253" s="68"/>
      <c r="AU253" s="68"/>
    </row>
    <row r="254" spans="1:47" x14ac:dyDescent="0.3">
      <c r="A254" s="19"/>
      <c r="B254" s="109">
        <v>11123003</v>
      </c>
      <c r="C254" s="99" t="str">
        <f t="shared" si="191"/>
        <v>1</v>
      </c>
      <c r="D254" s="121">
        <f>COUNTIFS($F$33:F254,F254, $G$33:G254,G254, $C$33:C254,C254, $L$33:L254,L254)</f>
        <v>3</v>
      </c>
      <c r="E254" s="20">
        <v>1</v>
      </c>
      <c r="F254" s="20">
        <v>3</v>
      </c>
      <c r="G254" s="20">
        <v>1</v>
      </c>
      <c r="H254" s="103" t="s">
        <v>962</v>
      </c>
      <c r="I254" s="20" t="s">
        <v>1975</v>
      </c>
      <c r="J254" s="104" t="str">
        <f t="shared" si="177"/>
        <v>Item_Name_11123003</v>
      </c>
      <c r="K254" s="20">
        <v>10101001</v>
      </c>
      <c r="L254" s="108">
        <f t="shared" si="183"/>
        <v>2</v>
      </c>
      <c r="M254" s="105">
        <f>IF(D254=0, 0, _xlfn.XLOOKUP($F254,'#무게관련'!$B:$B,'#무게관련'!$C:$C)*_xlfn.XLOOKUP($L254,'#무게관련'!$F:$F,'#무게관련'!$G:$G)*100)</f>
        <v>10000</v>
      </c>
      <c r="N254" s="20">
        <v>20400</v>
      </c>
      <c r="O254" s="20">
        <v>1</v>
      </c>
      <c r="P254" s="20">
        <v>15</v>
      </c>
      <c r="Q254" s="20">
        <v>1</v>
      </c>
      <c r="R254" s="20">
        <v>100</v>
      </c>
      <c r="S254" s="20">
        <v>1</v>
      </c>
      <c r="T254" s="20" t="s">
        <v>1865</v>
      </c>
      <c r="U254" s="104" t="str">
        <f t="shared" si="192"/>
        <v>item_bg_grade_02</v>
      </c>
      <c r="V254" s="20" t="s">
        <v>322</v>
      </c>
      <c r="W254" s="20" t="s">
        <v>400</v>
      </c>
      <c r="X254" s="104">
        <v>0</v>
      </c>
      <c r="Y254" s="104">
        <v>0</v>
      </c>
      <c r="Z254" s="104">
        <v>0</v>
      </c>
      <c r="AA254" s="104">
        <v>0</v>
      </c>
      <c r="AB254" s="104">
        <v>0</v>
      </c>
      <c r="AC254" s="104">
        <v>0</v>
      </c>
      <c r="AD254" s="142">
        <v>0</v>
      </c>
      <c r="AE254" s="112">
        <f t="shared" si="184"/>
        <v>20</v>
      </c>
      <c r="AF254" s="70">
        <v>1203030</v>
      </c>
      <c r="AG254" s="105" cm="1">
        <f t="array" ref="AG254">_xlfn.SWITCH(L254,3,1,
           4,1,
           5,1,
           6,1,0)</f>
        <v>0</v>
      </c>
      <c r="AH254" s="146">
        <f t="shared" si="169"/>
        <v>80101201</v>
      </c>
      <c r="AI254" s="90">
        <v>6000</v>
      </c>
      <c r="AJ254" s="90">
        <v>3001</v>
      </c>
      <c r="AK254" s="27">
        <v>2003</v>
      </c>
      <c r="AL254" s="123">
        <f>_xlfn.XLOOKUP(H254,'#각종 참고'!$B$11:$B$20,'#각종 참고'!$D$11:$D$20)</f>
        <v>0</v>
      </c>
      <c r="AM254" s="27">
        <v>1</v>
      </c>
      <c r="AN254" s="27">
        <v>1</v>
      </c>
      <c r="AO254" s="124">
        <f t="shared" si="170"/>
        <v>1</v>
      </c>
      <c r="AP254" s="27">
        <v>1</v>
      </c>
      <c r="AQ254" s="21">
        <v>11123021</v>
      </c>
      <c r="AR254" s="21" t="s">
        <v>2392</v>
      </c>
      <c r="AS254" s="68"/>
      <c r="AT254" s="68"/>
      <c r="AU254" s="68"/>
    </row>
    <row r="255" spans="1:47" x14ac:dyDescent="0.3">
      <c r="A255" s="19"/>
      <c r="B255" s="109">
        <v>11133001</v>
      </c>
      <c r="C255" s="99" t="str">
        <f t="shared" si="1"/>
        <v>1</v>
      </c>
      <c r="D255" s="121">
        <f>COUNTIFS($F$33:F255,F255, $G$33:G255,G255, $C$33:C255,C255, $L$33:L255,L255)</f>
        <v>1</v>
      </c>
      <c r="E255" s="20">
        <v>1</v>
      </c>
      <c r="F255" s="20">
        <v>3</v>
      </c>
      <c r="G255" s="20">
        <v>1</v>
      </c>
      <c r="H255" s="103" t="s">
        <v>962</v>
      </c>
      <c r="I255" s="20" t="s">
        <v>1673</v>
      </c>
      <c r="J255" s="104" t="str">
        <f t="shared" si="177"/>
        <v>Item_Name_11133001</v>
      </c>
      <c r="K255" s="20">
        <v>10101001</v>
      </c>
      <c r="L255" s="108">
        <f t="shared" si="183"/>
        <v>3</v>
      </c>
      <c r="M255" s="105">
        <f>IF(D255=0, 0, _xlfn.XLOOKUP($F255,'#무게관련'!$B:$B,'#무게관련'!$C:$C)*_xlfn.XLOOKUP($L255,'#무게관련'!$F:$F,'#무게관련'!$G:$G)*100)</f>
        <v>10000</v>
      </c>
      <c r="N255" s="20">
        <v>20400</v>
      </c>
      <c r="O255" s="20">
        <v>1</v>
      </c>
      <c r="P255" s="20">
        <v>15</v>
      </c>
      <c r="Q255" s="20">
        <v>1</v>
      </c>
      <c r="R255" s="20">
        <v>100</v>
      </c>
      <c r="S255" s="20">
        <v>1</v>
      </c>
      <c r="T255" s="20" t="s">
        <v>1866</v>
      </c>
      <c r="U255" s="104" t="str">
        <f t="shared" si="117"/>
        <v>item_bg_grade_03</v>
      </c>
      <c r="V255" s="20" t="s">
        <v>322</v>
      </c>
      <c r="W255" s="20" t="s">
        <v>400</v>
      </c>
      <c r="X255" s="104">
        <v>0</v>
      </c>
      <c r="Y255" s="104">
        <v>0</v>
      </c>
      <c r="Z255" s="104">
        <v>0</v>
      </c>
      <c r="AA255" s="104">
        <v>0</v>
      </c>
      <c r="AB255" s="104">
        <v>0</v>
      </c>
      <c r="AC255" s="104">
        <v>0</v>
      </c>
      <c r="AD255" s="142">
        <v>0</v>
      </c>
      <c r="AE255" s="112">
        <f t="shared" si="184"/>
        <v>30</v>
      </c>
      <c r="AF255" s="70">
        <v>1303010</v>
      </c>
      <c r="AG255" s="105" cm="1">
        <f t="array" ref="AG255">_xlfn.SWITCH(L255,3,1,
           4,1,
           5,1,
           6,1,0)</f>
        <v>1</v>
      </c>
      <c r="AH255" s="146">
        <f t="shared" si="169"/>
        <v>80101301</v>
      </c>
      <c r="AI255" s="90">
        <v>6001</v>
      </c>
      <c r="AJ255" s="90">
        <v>3003</v>
      </c>
      <c r="AK255" s="27">
        <v>3003</v>
      </c>
      <c r="AL255" s="123">
        <f>_xlfn.XLOOKUP(H255,'#각종 참고'!$B$11:$B$20,'#각종 참고'!$D$11:$D$20)</f>
        <v>0</v>
      </c>
      <c r="AM255" s="27">
        <v>1</v>
      </c>
      <c r="AN255" s="27">
        <v>1</v>
      </c>
      <c r="AO255" s="124">
        <f t="shared" si="170"/>
        <v>1</v>
      </c>
      <c r="AP255" s="27">
        <v>1</v>
      </c>
      <c r="AQ255" s="21">
        <v>11133001</v>
      </c>
      <c r="AR255" s="21" t="s">
        <v>1673</v>
      </c>
      <c r="AS255" s="68"/>
      <c r="AT255" s="68"/>
      <c r="AU255" s="68"/>
    </row>
    <row r="256" spans="1:47" x14ac:dyDescent="0.3">
      <c r="A256" s="19"/>
      <c r="B256" s="109">
        <v>11133002</v>
      </c>
      <c r="C256" s="99" t="str">
        <f t="shared" ref="C256:C257" si="193">IF(K256&gt;0,MID(K256,5, 1), 0)</f>
        <v>1</v>
      </c>
      <c r="D256" s="121">
        <f>COUNTIFS($F$33:F256,F256, $G$33:G256,G256, $C$33:C256,C256, $L$33:L256,L256)</f>
        <v>2</v>
      </c>
      <c r="E256" s="20">
        <v>1</v>
      </c>
      <c r="F256" s="20">
        <v>3</v>
      </c>
      <c r="G256" s="20">
        <v>1</v>
      </c>
      <c r="H256" s="103" t="s">
        <v>962</v>
      </c>
      <c r="I256" s="20" t="s">
        <v>1674</v>
      </c>
      <c r="J256" s="104" t="str">
        <f t="shared" si="177"/>
        <v>Item_Name_11133002</v>
      </c>
      <c r="K256" s="20">
        <v>10101001</v>
      </c>
      <c r="L256" s="108">
        <f t="shared" si="183"/>
        <v>3</v>
      </c>
      <c r="M256" s="105">
        <f>IF(D256=0, 0, _xlfn.XLOOKUP($F256,'#무게관련'!$B:$B,'#무게관련'!$C:$C)*_xlfn.XLOOKUP($L256,'#무게관련'!$F:$F,'#무게관련'!$G:$G)*100)</f>
        <v>10000</v>
      </c>
      <c r="N256" s="20">
        <v>20400</v>
      </c>
      <c r="O256" s="20">
        <v>1</v>
      </c>
      <c r="P256" s="20">
        <v>15</v>
      </c>
      <c r="Q256" s="20">
        <v>1</v>
      </c>
      <c r="R256" s="20">
        <v>100</v>
      </c>
      <c r="S256" s="20">
        <v>1</v>
      </c>
      <c r="T256" s="20" t="s">
        <v>1866</v>
      </c>
      <c r="U256" s="104" t="str">
        <f t="shared" ref="U256:U257" si="194">"item_bg_grade_0"&amp;L256</f>
        <v>item_bg_grade_03</v>
      </c>
      <c r="V256" s="20" t="s">
        <v>322</v>
      </c>
      <c r="W256" s="20" t="s">
        <v>400</v>
      </c>
      <c r="X256" s="104">
        <v>0</v>
      </c>
      <c r="Y256" s="104">
        <v>0</v>
      </c>
      <c r="Z256" s="104">
        <v>0</v>
      </c>
      <c r="AA256" s="104">
        <v>0</v>
      </c>
      <c r="AB256" s="104">
        <v>0</v>
      </c>
      <c r="AC256" s="104">
        <v>0</v>
      </c>
      <c r="AD256" s="142">
        <v>0</v>
      </c>
      <c r="AE256" s="112">
        <f t="shared" si="184"/>
        <v>30</v>
      </c>
      <c r="AF256" s="70">
        <v>1303020</v>
      </c>
      <c r="AG256" s="105" cm="1">
        <f t="array" ref="AG256">_xlfn.SWITCH(L256,3,1,
           4,1,
           5,1,
           6,1,0)</f>
        <v>1</v>
      </c>
      <c r="AH256" s="146">
        <f t="shared" si="169"/>
        <v>80101301</v>
      </c>
      <c r="AI256" s="90">
        <v>6001</v>
      </c>
      <c r="AJ256" s="90">
        <v>3003</v>
      </c>
      <c r="AK256" s="27">
        <v>3003</v>
      </c>
      <c r="AL256" s="123">
        <f>_xlfn.XLOOKUP(H256,'#각종 참고'!$B$11:$B$20,'#각종 참고'!$D$11:$D$20)</f>
        <v>0</v>
      </c>
      <c r="AM256" s="27">
        <v>1</v>
      </c>
      <c r="AN256" s="27">
        <v>1</v>
      </c>
      <c r="AO256" s="124">
        <f t="shared" si="170"/>
        <v>1</v>
      </c>
      <c r="AP256" s="27">
        <v>1</v>
      </c>
      <c r="AQ256" s="21">
        <v>11133011</v>
      </c>
      <c r="AR256" s="21" t="s">
        <v>2393</v>
      </c>
      <c r="AS256" s="68"/>
      <c r="AT256" s="68"/>
      <c r="AU256" s="68"/>
    </row>
    <row r="257" spans="1:47" x14ac:dyDescent="0.3">
      <c r="A257" s="19"/>
      <c r="B257" s="109">
        <v>11133003</v>
      </c>
      <c r="C257" s="99" t="str">
        <f t="shared" si="193"/>
        <v>1</v>
      </c>
      <c r="D257" s="121">
        <f>COUNTIFS($F$33:F257,F257, $G$33:G257,G257, $C$33:C257,C257, $L$33:L257,L257)</f>
        <v>3</v>
      </c>
      <c r="E257" s="20">
        <v>1</v>
      </c>
      <c r="F257" s="20">
        <v>3</v>
      </c>
      <c r="G257" s="20">
        <v>1</v>
      </c>
      <c r="H257" s="103" t="s">
        <v>962</v>
      </c>
      <c r="I257" s="20" t="s">
        <v>2112</v>
      </c>
      <c r="J257" s="104" t="str">
        <f t="shared" si="177"/>
        <v>Item_Name_11133003</v>
      </c>
      <c r="K257" s="20">
        <v>10101001</v>
      </c>
      <c r="L257" s="108">
        <f t="shared" si="183"/>
        <v>3</v>
      </c>
      <c r="M257" s="105">
        <f>IF(D257=0, 0, _xlfn.XLOOKUP($F257,'#무게관련'!$B:$B,'#무게관련'!$C:$C)*_xlfn.XLOOKUP($L257,'#무게관련'!$F:$F,'#무게관련'!$G:$G)*100)</f>
        <v>10000</v>
      </c>
      <c r="N257" s="20">
        <v>20400</v>
      </c>
      <c r="O257" s="20">
        <v>1</v>
      </c>
      <c r="P257" s="20">
        <v>15</v>
      </c>
      <c r="Q257" s="20">
        <v>1</v>
      </c>
      <c r="R257" s="20">
        <v>100</v>
      </c>
      <c r="S257" s="20">
        <v>1</v>
      </c>
      <c r="T257" s="20" t="s">
        <v>1866</v>
      </c>
      <c r="U257" s="104" t="str">
        <f t="shared" si="194"/>
        <v>item_bg_grade_03</v>
      </c>
      <c r="V257" s="20" t="s">
        <v>322</v>
      </c>
      <c r="W257" s="20" t="s">
        <v>400</v>
      </c>
      <c r="X257" s="104">
        <v>0</v>
      </c>
      <c r="Y257" s="104">
        <v>0</v>
      </c>
      <c r="Z257" s="104">
        <v>0</v>
      </c>
      <c r="AA257" s="104">
        <v>0</v>
      </c>
      <c r="AB257" s="104">
        <v>0</v>
      </c>
      <c r="AC257" s="104">
        <v>0</v>
      </c>
      <c r="AD257" s="142">
        <v>0</v>
      </c>
      <c r="AE257" s="112">
        <f t="shared" si="184"/>
        <v>30</v>
      </c>
      <c r="AF257" s="70">
        <v>1303030</v>
      </c>
      <c r="AG257" s="105" cm="1">
        <f t="array" ref="AG257">_xlfn.SWITCH(L257,3,1,
           4,1,
           5,1,
           6,1,0)</f>
        <v>1</v>
      </c>
      <c r="AH257" s="146">
        <f t="shared" si="169"/>
        <v>80101301</v>
      </c>
      <c r="AI257" s="90">
        <v>6001</v>
      </c>
      <c r="AJ257" s="90">
        <v>3003</v>
      </c>
      <c r="AK257" s="27">
        <v>3003</v>
      </c>
      <c r="AL257" s="123">
        <f>_xlfn.XLOOKUP(H257,'#각종 참고'!$B$11:$B$20,'#각종 참고'!$D$11:$D$20)</f>
        <v>0</v>
      </c>
      <c r="AM257" s="27">
        <v>1</v>
      </c>
      <c r="AN257" s="27">
        <v>1</v>
      </c>
      <c r="AO257" s="124">
        <f t="shared" si="170"/>
        <v>1</v>
      </c>
      <c r="AP257" s="27">
        <v>1</v>
      </c>
      <c r="AQ257" s="21">
        <v>11133021</v>
      </c>
      <c r="AR257" s="21" t="s">
        <v>2394</v>
      </c>
      <c r="AS257" s="68"/>
      <c r="AT257" s="68"/>
      <c r="AU257" s="68"/>
    </row>
    <row r="258" spans="1:47" x14ac:dyDescent="0.3">
      <c r="A258" s="19"/>
      <c r="B258" s="109">
        <v>11143001</v>
      </c>
      <c r="C258" s="99" t="str">
        <f t="shared" si="1"/>
        <v>1</v>
      </c>
      <c r="D258" s="121">
        <f>COUNTIFS($F$33:F258,F258, $G$33:G258,G258, $C$33:C258,C258, $L$33:L258,L258)</f>
        <v>1</v>
      </c>
      <c r="E258" s="20">
        <v>1</v>
      </c>
      <c r="F258" s="20">
        <v>3</v>
      </c>
      <c r="G258" s="20">
        <v>1</v>
      </c>
      <c r="H258" s="103" t="s">
        <v>962</v>
      </c>
      <c r="I258" s="20" t="s">
        <v>1675</v>
      </c>
      <c r="J258" s="104" t="str">
        <f t="shared" si="177"/>
        <v>Item_Name_11143001</v>
      </c>
      <c r="K258" s="20">
        <v>10101001</v>
      </c>
      <c r="L258" s="108">
        <f t="shared" si="183"/>
        <v>4</v>
      </c>
      <c r="M258" s="105">
        <f>IF(D258=0, 0, _xlfn.XLOOKUP($F258,'#무게관련'!$B:$B,'#무게관련'!$C:$C)*_xlfn.XLOOKUP($L258,'#무게관련'!$F:$F,'#무게관련'!$G:$G)*100)</f>
        <v>10000</v>
      </c>
      <c r="N258" s="20">
        <v>20400</v>
      </c>
      <c r="O258" s="20">
        <v>1</v>
      </c>
      <c r="P258" s="20">
        <v>15</v>
      </c>
      <c r="Q258" s="20">
        <v>1</v>
      </c>
      <c r="R258" s="20">
        <v>100</v>
      </c>
      <c r="S258" s="20">
        <v>1</v>
      </c>
      <c r="T258" s="20" t="s">
        <v>1867</v>
      </c>
      <c r="U258" s="104" t="str">
        <f t="shared" si="117"/>
        <v>item_bg_grade_04</v>
      </c>
      <c r="V258" s="20" t="s">
        <v>322</v>
      </c>
      <c r="W258" s="20" t="s">
        <v>400</v>
      </c>
      <c r="X258" s="104">
        <v>0</v>
      </c>
      <c r="Y258" s="104">
        <v>0</v>
      </c>
      <c r="Z258" s="104">
        <v>0</v>
      </c>
      <c r="AA258" s="104">
        <v>0</v>
      </c>
      <c r="AB258" s="104">
        <v>0</v>
      </c>
      <c r="AC258" s="104">
        <v>0</v>
      </c>
      <c r="AD258" s="142">
        <v>0</v>
      </c>
      <c r="AE258" s="112">
        <f t="shared" si="184"/>
        <v>40</v>
      </c>
      <c r="AF258" s="70">
        <v>1403010</v>
      </c>
      <c r="AG258" s="105" cm="1">
        <f t="array" ref="AG258">_xlfn.SWITCH(L258,3,1,
           4,1,
           5,1,
           6,1,0)</f>
        <v>1</v>
      </c>
      <c r="AH258" s="146">
        <f t="shared" si="169"/>
        <v>80101401</v>
      </c>
      <c r="AI258" s="90">
        <v>6002</v>
      </c>
      <c r="AJ258" s="90">
        <v>3005</v>
      </c>
      <c r="AK258" s="27">
        <v>4003</v>
      </c>
      <c r="AL258" s="123">
        <f>_xlfn.XLOOKUP(H258,'#각종 참고'!$B$11:$B$20,'#각종 참고'!$D$11:$D$20)</f>
        <v>0</v>
      </c>
      <c r="AM258" s="27">
        <v>1</v>
      </c>
      <c r="AN258" s="27">
        <v>1</v>
      </c>
      <c r="AO258" s="124">
        <f t="shared" si="170"/>
        <v>1</v>
      </c>
      <c r="AP258" s="27">
        <v>1</v>
      </c>
      <c r="AQ258" s="21">
        <v>11143001</v>
      </c>
      <c r="AR258" s="21" t="s">
        <v>1675</v>
      </c>
      <c r="AS258" s="68"/>
      <c r="AT258" s="68"/>
      <c r="AU258" s="68"/>
    </row>
    <row r="259" spans="1:47" x14ac:dyDescent="0.3">
      <c r="A259" s="19"/>
      <c r="B259" s="109">
        <v>11143002</v>
      </c>
      <c r="C259" s="99" t="str">
        <f t="shared" ref="C259:C260" si="195">IF(K259&gt;0,MID(K259,5, 1), 0)</f>
        <v>1</v>
      </c>
      <c r="D259" s="121">
        <f>COUNTIFS($F$33:F259,F259, $G$33:G259,G259, $C$33:C259,C259, $L$33:L259,L259)</f>
        <v>2</v>
      </c>
      <c r="E259" s="20">
        <v>1</v>
      </c>
      <c r="F259" s="20">
        <v>3</v>
      </c>
      <c r="G259" s="20">
        <v>1</v>
      </c>
      <c r="H259" s="103" t="s">
        <v>962</v>
      </c>
      <c r="I259" s="20" t="s">
        <v>1676</v>
      </c>
      <c r="J259" s="104" t="str">
        <f t="shared" si="177"/>
        <v>Item_Name_11143002</v>
      </c>
      <c r="K259" s="20">
        <v>10101001</v>
      </c>
      <c r="L259" s="108">
        <f t="shared" si="183"/>
        <v>4</v>
      </c>
      <c r="M259" s="105">
        <f>IF(D259=0, 0, _xlfn.XLOOKUP($F259,'#무게관련'!$B:$B,'#무게관련'!$C:$C)*_xlfn.XLOOKUP($L259,'#무게관련'!$F:$F,'#무게관련'!$G:$G)*100)</f>
        <v>10000</v>
      </c>
      <c r="N259" s="20">
        <v>20400</v>
      </c>
      <c r="O259" s="20">
        <v>1</v>
      </c>
      <c r="P259" s="20">
        <v>15</v>
      </c>
      <c r="Q259" s="20">
        <v>1</v>
      </c>
      <c r="R259" s="20">
        <v>100</v>
      </c>
      <c r="S259" s="20">
        <v>1</v>
      </c>
      <c r="T259" s="20" t="s">
        <v>1867</v>
      </c>
      <c r="U259" s="104" t="str">
        <f t="shared" ref="U259:U260" si="196">"item_bg_grade_0"&amp;L259</f>
        <v>item_bg_grade_04</v>
      </c>
      <c r="V259" s="20" t="s">
        <v>322</v>
      </c>
      <c r="W259" s="20" t="s">
        <v>400</v>
      </c>
      <c r="X259" s="104">
        <v>0</v>
      </c>
      <c r="Y259" s="104">
        <v>0</v>
      </c>
      <c r="Z259" s="104">
        <v>0</v>
      </c>
      <c r="AA259" s="104">
        <v>0</v>
      </c>
      <c r="AB259" s="104">
        <v>0</v>
      </c>
      <c r="AC259" s="104">
        <v>0</v>
      </c>
      <c r="AD259" s="142">
        <v>0</v>
      </c>
      <c r="AE259" s="112">
        <f t="shared" si="184"/>
        <v>40</v>
      </c>
      <c r="AF259" s="70">
        <v>1403020</v>
      </c>
      <c r="AG259" s="105" cm="1">
        <f t="array" ref="AG259">_xlfn.SWITCH(L259,3,1,
           4,1,
           5,1,
           6,1,0)</f>
        <v>1</v>
      </c>
      <c r="AH259" s="146">
        <f t="shared" ref="AH259:AH290" si="197">AH241</f>
        <v>80101401</v>
      </c>
      <c r="AI259" s="90">
        <v>6002</v>
      </c>
      <c r="AJ259" s="90">
        <v>3005</v>
      </c>
      <c r="AK259" s="27">
        <v>4003</v>
      </c>
      <c r="AL259" s="123">
        <f>_xlfn.XLOOKUP(H259,'#각종 참고'!$B$11:$B$20,'#각종 참고'!$D$11:$D$20)</f>
        <v>0</v>
      </c>
      <c r="AM259" s="27">
        <v>1</v>
      </c>
      <c r="AN259" s="27">
        <v>1</v>
      </c>
      <c r="AO259" s="124">
        <f t="shared" si="170"/>
        <v>1</v>
      </c>
      <c r="AP259" s="27">
        <v>1</v>
      </c>
      <c r="AQ259" s="21">
        <v>11143011</v>
      </c>
      <c r="AR259" s="21" t="s">
        <v>2395</v>
      </c>
      <c r="AS259" s="68"/>
      <c r="AT259" s="68"/>
      <c r="AU259" s="68"/>
    </row>
    <row r="260" spans="1:47" x14ac:dyDescent="0.3">
      <c r="A260" s="19"/>
      <c r="B260" s="109">
        <v>11143003</v>
      </c>
      <c r="C260" s="99" t="str">
        <f t="shared" si="195"/>
        <v>1</v>
      </c>
      <c r="D260" s="121">
        <f>COUNTIFS($F$33:F260,F260, $G$33:G260,G260, $C$33:C260,C260, $L$33:L260,L260)</f>
        <v>3</v>
      </c>
      <c r="E260" s="20">
        <v>1</v>
      </c>
      <c r="F260" s="20">
        <v>3</v>
      </c>
      <c r="G260" s="20">
        <v>1</v>
      </c>
      <c r="H260" s="103" t="s">
        <v>962</v>
      </c>
      <c r="I260" s="20" t="s">
        <v>2007</v>
      </c>
      <c r="J260" s="104" t="str">
        <f t="shared" si="177"/>
        <v>Item_Name_11143003</v>
      </c>
      <c r="K260" s="20">
        <v>10101001</v>
      </c>
      <c r="L260" s="108">
        <f t="shared" si="183"/>
        <v>4</v>
      </c>
      <c r="M260" s="105">
        <f>IF(D260=0, 0, _xlfn.XLOOKUP($F260,'#무게관련'!$B:$B,'#무게관련'!$C:$C)*_xlfn.XLOOKUP($L260,'#무게관련'!$F:$F,'#무게관련'!$G:$G)*100)</f>
        <v>10000</v>
      </c>
      <c r="N260" s="20">
        <v>20400</v>
      </c>
      <c r="O260" s="20">
        <v>1</v>
      </c>
      <c r="P260" s="20">
        <v>15</v>
      </c>
      <c r="Q260" s="20">
        <v>1</v>
      </c>
      <c r="R260" s="20">
        <v>100</v>
      </c>
      <c r="S260" s="20">
        <v>1</v>
      </c>
      <c r="T260" s="20" t="s">
        <v>1867</v>
      </c>
      <c r="U260" s="104" t="str">
        <f t="shared" si="196"/>
        <v>item_bg_grade_04</v>
      </c>
      <c r="V260" s="20" t="s">
        <v>322</v>
      </c>
      <c r="W260" s="20" t="s">
        <v>400</v>
      </c>
      <c r="X260" s="104">
        <v>0</v>
      </c>
      <c r="Y260" s="104">
        <v>0</v>
      </c>
      <c r="Z260" s="104">
        <v>0</v>
      </c>
      <c r="AA260" s="104">
        <v>0</v>
      </c>
      <c r="AB260" s="104">
        <v>0</v>
      </c>
      <c r="AC260" s="104">
        <v>0</v>
      </c>
      <c r="AD260" s="142">
        <v>0</v>
      </c>
      <c r="AE260" s="112">
        <f t="shared" si="184"/>
        <v>40</v>
      </c>
      <c r="AF260" s="70">
        <v>1403030</v>
      </c>
      <c r="AG260" s="105" cm="1">
        <f t="array" ref="AG260">_xlfn.SWITCH(L260,3,1,
           4,1,
           5,1,
           6,1,0)</f>
        <v>1</v>
      </c>
      <c r="AH260" s="146">
        <f t="shared" si="197"/>
        <v>80101401</v>
      </c>
      <c r="AI260" s="90">
        <v>6002</v>
      </c>
      <c r="AJ260" s="90">
        <v>3005</v>
      </c>
      <c r="AK260" s="27">
        <v>4003</v>
      </c>
      <c r="AL260" s="123">
        <f>_xlfn.XLOOKUP(H260,'#각종 참고'!$B$11:$B$20,'#각종 참고'!$D$11:$D$20)</f>
        <v>0</v>
      </c>
      <c r="AM260" s="27">
        <v>1</v>
      </c>
      <c r="AN260" s="27">
        <v>1</v>
      </c>
      <c r="AO260" s="124">
        <f t="shared" si="170"/>
        <v>1</v>
      </c>
      <c r="AP260" s="27">
        <v>1</v>
      </c>
      <c r="AQ260" s="21">
        <v>11143021</v>
      </c>
      <c r="AR260" s="21" t="s">
        <v>2396</v>
      </c>
      <c r="AS260" s="68"/>
      <c r="AT260" s="68"/>
      <c r="AU260" s="68"/>
    </row>
    <row r="261" spans="1:47" x14ac:dyDescent="0.3">
      <c r="A261" s="19"/>
      <c r="B261" s="109">
        <v>11153001</v>
      </c>
      <c r="C261" s="99" t="str">
        <f t="shared" ref="C261:C264" si="198">IF(K261&gt;0,MID(K261,5, 1), 0)</f>
        <v>1</v>
      </c>
      <c r="D261" s="121">
        <f>COUNTIFS($F$33:F261,F261, $G$33:G261,G261, $C$33:C261,C261, $L$33:L261,L261)</f>
        <v>1</v>
      </c>
      <c r="E261" s="20">
        <v>1</v>
      </c>
      <c r="F261" s="20">
        <v>3</v>
      </c>
      <c r="G261" s="20">
        <v>1</v>
      </c>
      <c r="H261" s="103" t="s">
        <v>962</v>
      </c>
      <c r="I261" s="20" t="s">
        <v>1677</v>
      </c>
      <c r="J261" s="104" t="str">
        <f t="shared" si="177"/>
        <v>Item_Name_11153001</v>
      </c>
      <c r="K261" s="20">
        <v>10101001</v>
      </c>
      <c r="L261" s="108">
        <f t="shared" si="183"/>
        <v>5</v>
      </c>
      <c r="M261" s="105">
        <f>IF(D261=0, 0, _xlfn.XLOOKUP($F261,'#무게관련'!$B:$B,'#무게관련'!$C:$C)*_xlfn.XLOOKUP($L261,'#무게관련'!$F:$F,'#무게관련'!$G:$G)*100)</f>
        <v>10000</v>
      </c>
      <c r="N261" s="20">
        <v>20400</v>
      </c>
      <c r="O261" s="20">
        <v>1</v>
      </c>
      <c r="P261" s="20">
        <v>15</v>
      </c>
      <c r="Q261" s="20">
        <v>1</v>
      </c>
      <c r="R261" s="20">
        <v>100</v>
      </c>
      <c r="S261" s="20">
        <v>1</v>
      </c>
      <c r="T261" s="20" t="s">
        <v>1868</v>
      </c>
      <c r="U261" s="104" t="str">
        <f t="shared" si="117"/>
        <v>item_bg_grade_05</v>
      </c>
      <c r="V261" s="20" t="s">
        <v>322</v>
      </c>
      <c r="W261" s="20" t="s">
        <v>400</v>
      </c>
      <c r="X261" s="104">
        <v>0</v>
      </c>
      <c r="Y261" s="104">
        <v>0</v>
      </c>
      <c r="Z261" s="104">
        <v>0</v>
      </c>
      <c r="AA261" s="104">
        <v>0</v>
      </c>
      <c r="AB261" s="104">
        <v>0</v>
      </c>
      <c r="AC261" s="104">
        <v>0</v>
      </c>
      <c r="AD261" s="142">
        <v>0</v>
      </c>
      <c r="AE261" s="112">
        <f t="shared" si="184"/>
        <v>50</v>
      </c>
      <c r="AF261" s="70">
        <v>1503010</v>
      </c>
      <c r="AG261" s="105" cm="1">
        <f t="array" ref="AG261">_xlfn.SWITCH(L261,3,1,
           4,1,
           5,1,
           6,1,0)</f>
        <v>1</v>
      </c>
      <c r="AH261" s="146">
        <f t="shared" si="197"/>
        <v>80101501</v>
      </c>
      <c r="AI261" s="90">
        <v>6003</v>
      </c>
      <c r="AJ261" s="90">
        <v>3007</v>
      </c>
      <c r="AK261" s="27">
        <v>5003</v>
      </c>
      <c r="AL261" s="123">
        <f>_xlfn.XLOOKUP(H261,'#각종 참고'!$B$11:$B$20,'#각종 참고'!$D$11:$D$20)</f>
        <v>0</v>
      </c>
      <c r="AM261" s="27">
        <v>1</v>
      </c>
      <c r="AN261" s="27">
        <v>1</v>
      </c>
      <c r="AO261" s="124">
        <f t="shared" si="170"/>
        <v>1</v>
      </c>
      <c r="AP261" s="27">
        <v>1</v>
      </c>
      <c r="AQ261" s="21">
        <v>11153001</v>
      </c>
      <c r="AR261" s="21" t="s">
        <v>1677</v>
      </c>
      <c r="AS261" s="68"/>
      <c r="AT261" s="68"/>
      <c r="AU261" s="68"/>
    </row>
    <row r="262" spans="1:47" x14ac:dyDescent="0.3">
      <c r="A262" s="19"/>
      <c r="B262" s="109">
        <v>11153002</v>
      </c>
      <c r="C262" s="99" t="str">
        <f t="shared" ref="C262:C263" si="199">IF(K262&gt;0,MID(K262,5, 1), 0)</f>
        <v>1</v>
      </c>
      <c r="D262" s="121">
        <f>COUNTIFS($F$33:F262,F262, $G$33:G262,G262, $C$33:C262,C262, $L$33:L262,L262)</f>
        <v>2</v>
      </c>
      <c r="E262" s="20">
        <v>1</v>
      </c>
      <c r="F262" s="20">
        <v>3</v>
      </c>
      <c r="G262" s="20">
        <v>1</v>
      </c>
      <c r="H262" s="103" t="s">
        <v>962</v>
      </c>
      <c r="I262" s="20" t="s">
        <v>1678</v>
      </c>
      <c r="J262" s="104" t="str">
        <f t="shared" si="177"/>
        <v>Item_Name_11153002</v>
      </c>
      <c r="K262" s="20">
        <v>10101001</v>
      </c>
      <c r="L262" s="108">
        <f t="shared" si="183"/>
        <v>5</v>
      </c>
      <c r="M262" s="105">
        <f>IF(D262=0, 0, _xlfn.XLOOKUP($F262,'#무게관련'!$B:$B,'#무게관련'!$C:$C)*_xlfn.XLOOKUP($L262,'#무게관련'!$F:$F,'#무게관련'!$G:$G)*100)</f>
        <v>10000</v>
      </c>
      <c r="N262" s="20">
        <v>20400</v>
      </c>
      <c r="O262" s="20">
        <v>1</v>
      </c>
      <c r="P262" s="20">
        <v>15</v>
      </c>
      <c r="Q262" s="20">
        <v>1</v>
      </c>
      <c r="R262" s="20">
        <v>100</v>
      </c>
      <c r="S262" s="20">
        <v>1</v>
      </c>
      <c r="T262" s="20" t="s">
        <v>1868</v>
      </c>
      <c r="U262" s="104" t="str">
        <f t="shared" ref="U262:U263" si="200">"item_bg_grade_0"&amp;L262</f>
        <v>item_bg_grade_05</v>
      </c>
      <c r="V262" s="20" t="s">
        <v>322</v>
      </c>
      <c r="W262" s="20" t="s">
        <v>400</v>
      </c>
      <c r="X262" s="104">
        <v>0</v>
      </c>
      <c r="Y262" s="104">
        <v>0</v>
      </c>
      <c r="Z262" s="104">
        <v>0</v>
      </c>
      <c r="AA262" s="104">
        <v>0</v>
      </c>
      <c r="AB262" s="104">
        <v>0</v>
      </c>
      <c r="AC262" s="104">
        <v>0</v>
      </c>
      <c r="AD262" s="142">
        <v>0</v>
      </c>
      <c r="AE262" s="112">
        <f t="shared" si="184"/>
        <v>50</v>
      </c>
      <c r="AF262" s="70">
        <v>1503020</v>
      </c>
      <c r="AG262" s="105" cm="1">
        <f t="array" ref="AG262">_xlfn.SWITCH(L262,3,1,
           4,1,
           5,1,
           6,1,0)</f>
        <v>1</v>
      </c>
      <c r="AH262" s="146">
        <f t="shared" si="197"/>
        <v>80101501</v>
      </c>
      <c r="AI262" s="90">
        <v>6003</v>
      </c>
      <c r="AJ262" s="90">
        <v>3007</v>
      </c>
      <c r="AK262" s="27">
        <v>5003</v>
      </c>
      <c r="AL262" s="123">
        <f>_xlfn.XLOOKUP(H262,'#각종 참고'!$B$11:$B$20,'#각종 참고'!$D$11:$D$20)</f>
        <v>0</v>
      </c>
      <c r="AM262" s="27">
        <v>1</v>
      </c>
      <c r="AN262" s="27">
        <v>1</v>
      </c>
      <c r="AO262" s="124">
        <f t="shared" si="170"/>
        <v>1</v>
      </c>
      <c r="AP262" s="27">
        <v>1</v>
      </c>
      <c r="AQ262" s="21">
        <v>11153011</v>
      </c>
      <c r="AR262" s="21" t="s">
        <v>2397</v>
      </c>
      <c r="AS262" s="68"/>
      <c r="AT262" s="68"/>
      <c r="AU262" s="68"/>
    </row>
    <row r="263" spans="1:47" x14ac:dyDescent="0.3">
      <c r="A263" s="19"/>
      <c r="B263" s="109">
        <v>11153003</v>
      </c>
      <c r="C263" s="99" t="str">
        <f t="shared" si="199"/>
        <v>1</v>
      </c>
      <c r="D263" s="121">
        <f>COUNTIFS($F$33:F263,F263, $G$33:G263,G263, $C$33:C263,C263, $L$33:L263,L263)</f>
        <v>3</v>
      </c>
      <c r="E263" s="20">
        <v>1</v>
      </c>
      <c r="F263" s="20">
        <v>3</v>
      </c>
      <c r="G263" s="20">
        <v>1</v>
      </c>
      <c r="H263" s="103" t="s">
        <v>962</v>
      </c>
      <c r="I263" s="20" t="s">
        <v>1967</v>
      </c>
      <c r="J263" s="104" t="str">
        <f t="shared" si="177"/>
        <v>Item_Name_11153003</v>
      </c>
      <c r="K263" s="20">
        <v>10101001</v>
      </c>
      <c r="L263" s="108">
        <f t="shared" si="183"/>
        <v>5</v>
      </c>
      <c r="M263" s="105">
        <f>IF(D263=0, 0, _xlfn.XLOOKUP($F263,'#무게관련'!$B:$B,'#무게관련'!$C:$C)*_xlfn.XLOOKUP($L263,'#무게관련'!$F:$F,'#무게관련'!$G:$G)*100)</f>
        <v>10000</v>
      </c>
      <c r="N263" s="20">
        <v>20400</v>
      </c>
      <c r="O263" s="20">
        <v>1</v>
      </c>
      <c r="P263" s="20">
        <v>15</v>
      </c>
      <c r="Q263" s="20">
        <v>1</v>
      </c>
      <c r="R263" s="20">
        <v>100</v>
      </c>
      <c r="S263" s="20">
        <v>1</v>
      </c>
      <c r="T263" s="20" t="s">
        <v>1868</v>
      </c>
      <c r="U263" s="104" t="str">
        <f t="shared" si="200"/>
        <v>item_bg_grade_05</v>
      </c>
      <c r="V263" s="20" t="s">
        <v>322</v>
      </c>
      <c r="W263" s="20" t="s">
        <v>400</v>
      </c>
      <c r="X263" s="104">
        <v>0</v>
      </c>
      <c r="Y263" s="104">
        <v>0</v>
      </c>
      <c r="Z263" s="104">
        <v>0</v>
      </c>
      <c r="AA263" s="104">
        <v>0</v>
      </c>
      <c r="AB263" s="104">
        <v>0</v>
      </c>
      <c r="AC263" s="104">
        <v>0</v>
      </c>
      <c r="AD263" s="142">
        <v>0</v>
      </c>
      <c r="AE263" s="112">
        <f t="shared" si="184"/>
        <v>50</v>
      </c>
      <c r="AF263" s="70">
        <v>1503030</v>
      </c>
      <c r="AG263" s="105" cm="1">
        <f t="array" ref="AG263">_xlfn.SWITCH(L263,3,1,
           4,1,
           5,1,
           6,1,0)</f>
        <v>1</v>
      </c>
      <c r="AH263" s="146">
        <f t="shared" si="197"/>
        <v>80101501</v>
      </c>
      <c r="AI263" s="90">
        <v>6003</v>
      </c>
      <c r="AJ263" s="90">
        <v>3007</v>
      </c>
      <c r="AK263" s="27">
        <v>5003</v>
      </c>
      <c r="AL263" s="123">
        <f>_xlfn.XLOOKUP(H263,'#각종 참고'!$B$11:$B$20,'#각종 참고'!$D$11:$D$20)</f>
        <v>0</v>
      </c>
      <c r="AM263" s="27">
        <v>1</v>
      </c>
      <c r="AN263" s="27">
        <v>1</v>
      </c>
      <c r="AO263" s="124">
        <f t="shared" si="170"/>
        <v>1</v>
      </c>
      <c r="AP263" s="27">
        <v>1</v>
      </c>
      <c r="AQ263" s="21">
        <v>11153021</v>
      </c>
      <c r="AR263" s="21" t="s">
        <v>2398</v>
      </c>
      <c r="AS263" s="68"/>
      <c r="AT263" s="68"/>
      <c r="AU263" s="68"/>
    </row>
    <row r="264" spans="1:47" x14ac:dyDescent="0.3">
      <c r="A264" s="19"/>
      <c r="B264" s="109">
        <v>11163001</v>
      </c>
      <c r="C264" s="99" t="str">
        <f t="shared" si="198"/>
        <v>1</v>
      </c>
      <c r="D264" s="121">
        <f>COUNTIFS($F$33:F264,F264, $G$33:G264,G264, $C$33:C264,C264, $L$33:L264,L264)</f>
        <v>1</v>
      </c>
      <c r="E264" s="20">
        <v>1</v>
      </c>
      <c r="F264" s="20">
        <v>3</v>
      </c>
      <c r="G264" s="20">
        <v>1</v>
      </c>
      <c r="H264" s="103" t="s">
        <v>962</v>
      </c>
      <c r="I264" s="20" t="s">
        <v>1679</v>
      </c>
      <c r="J264" s="104" t="str">
        <f t="shared" si="177"/>
        <v>Item_Name_11163001</v>
      </c>
      <c r="K264" s="20">
        <v>10101001</v>
      </c>
      <c r="L264" s="108">
        <f t="shared" si="183"/>
        <v>6</v>
      </c>
      <c r="M264" s="105">
        <f>IF(D264=0, 0, _xlfn.XLOOKUP($F264,'#무게관련'!$B:$B,'#무게관련'!$C:$C)*_xlfn.XLOOKUP($L264,'#무게관련'!$F:$F,'#무게관련'!$G:$G)*100)</f>
        <v>10000</v>
      </c>
      <c r="N264" s="20">
        <v>20400</v>
      </c>
      <c r="O264" s="20">
        <v>1</v>
      </c>
      <c r="P264" s="20">
        <v>15</v>
      </c>
      <c r="Q264" s="20">
        <v>1</v>
      </c>
      <c r="R264" s="20">
        <v>100</v>
      </c>
      <c r="S264" s="20">
        <v>1</v>
      </c>
      <c r="T264" s="109" t="s">
        <v>1868</v>
      </c>
      <c r="U264" s="104" t="str">
        <f t="shared" si="117"/>
        <v>item_bg_grade_06</v>
      </c>
      <c r="V264" s="20" t="s">
        <v>322</v>
      </c>
      <c r="W264" s="20" t="s">
        <v>400</v>
      </c>
      <c r="X264" s="104">
        <v>0</v>
      </c>
      <c r="Y264" s="104">
        <v>0</v>
      </c>
      <c r="Z264" s="104">
        <v>0</v>
      </c>
      <c r="AA264" s="104">
        <v>0</v>
      </c>
      <c r="AB264" s="104">
        <v>0</v>
      </c>
      <c r="AC264" s="104">
        <v>0</v>
      </c>
      <c r="AD264" s="142">
        <v>0</v>
      </c>
      <c r="AE264" s="112">
        <f t="shared" si="184"/>
        <v>70</v>
      </c>
      <c r="AF264" s="70">
        <v>1603010</v>
      </c>
      <c r="AG264" s="105" cm="1">
        <f t="array" ref="AG264">_xlfn.SWITCH(L264,3,1,
           4,1,
           5,1,
           6,1,0)</f>
        <v>1</v>
      </c>
      <c r="AH264" s="146">
        <f t="shared" si="197"/>
        <v>0</v>
      </c>
      <c r="AI264" s="90">
        <v>6004</v>
      </c>
      <c r="AJ264" s="90">
        <v>3009</v>
      </c>
      <c r="AK264" s="27">
        <v>6003</v>
      </c>
      <c r="AL264" s="123">
        <f>_xlfn.XLOOKUP(H264,'#각종 참고'!$B$11:$B$20,'#각종 참고'!$D$11:$D$20)</f>
        <v>0</v>
      </c>
      <c r="AM264" s="27">
        <v>1</v>
      </c>
      <c r="AN264" s="27">
        <v>1</v>
      </c>
      <c r="AO264" s="124">
        <f t="shared" si="170"/>
        <v>1</v>
      </c>
      <c r="AP264" s="27">
        <v>1</v>
      </c>
      <c r="AQ264" s="21">
        <v>11163001</v>
      </c>
      <c r="AR264" s="21" t="s">
        <v>1679</v>
      </c>
      <c r="AS264" s="68"/>
      <c r="AT264" s="68"/>
      <c r="AU264" s="68"/>
    </row>
    <row r="265" spans="1:47" x14ac:dyDescent="0.3">
      <c r="A265" s="19" t="s">
        <v>513</v>
      </c>
      <c r="B265" s="109">
        <v>11163002</v>
      </c>
      <c r="C265" s="99" t="str">
        <f t="shared" ref="C265:C266" si="201">IF(K265&gt;0,MID(K265,5, 1), 0)</f>
        <v>1</v>
      </c>
      <c r="D265" s="121">
        <f>COUNTIFS($F$33:F265,F265, $G$33:G265,G265, $C$33:C265,C265, $L$33:L265,L265)</f>
        <v>2</v>
      </c>
      <c r="E265" s="20">
        <v>1</v>
      </c>
      <c r="F265" s="20">
        <v>3</v>
      </c>
      <c r="G265" s="20">
        <v>1</v>
      </c>
      <c r="H265" s="103" t="s">
        <v>962</v>
      </c>
      <c r="I265" s="20" t="s">
        <v>2114</v>
      </c>
      <c r="J265" s="104" t="str">
        <f t="shared" si="177"/>
        <v>Item_Name_11163002</v>
      </c>
      <c r="K265" s="20">
        <v>10101001</v>
      </c>
      <c r="L265" s="108">
        <f t="shared" si="183"/>
        <v>6</v>
      </c>
      <c r="M265" s="105">
        <f>IF(D265=0, 0, _xlfn.XLOOKUP($F265,'#무게관련'!$B:$B,'#무게관련'!$C:$C)*_xlfn.XLOOKUP($L265,'#무게관련'!$F:$F,'#무게관련'!$G:$G)*100)</f>
        <v>10000</v>
      </c>
      <c r="N265" s="20">
        <v>20400</v>
      </c>
      <c r="O265" s="20">
        <v>1</v>
      </c>
      <c r="P265" s="20">
        <v>15</v>
      </c>
      <c r="Q265" s="20">
        <v>1</v>
      </c>
      <c r="R265" s="20">
        <v>100</v>
      </c>
      <c r="S265" s="20">
        <v>1</v>
      </c>
      <c r="T265" s="109" t="s">
        <v>1868</v>
      </c>
      <c r="U265" s="104" t="str">
        <f t="shared" ref="U265:U266" si="202">"item_bg_grade_0"&amp;L265</f>
        <v>item_bg_grade_06</v>
      </c>
      <c r="V265" s="20" t="s">
        <v>322</v>
      </c>
      <c r="W265" s="20" t="s">
        <v>400</v>
      </c>
      <c r="X265" s="104">
        <v>0</v>
      </c>
      <c r="Y265" s="104">
        <v>0</v>
      </c>
      <c r="Z265" s="104">
        <v>0</v>
      </c>
      <c r="AA265" s="104">
        <v>0</v>
      </c>
      <c r="AB265" s="104">
        <v>0</v>
      </c>
      <c r="AC265" s="104">
        <v>0</v>
      </c>
      <c r="AD265" s="142">
        <v>0</v>
      </c>
      <c r="AE265" s="112">
        <f t="shared" si="184"/>
        <v>70</v>
      </c>
      <c r="AF265" s="70">
        <v>1603010</v>
      </c>
      <c r="AG265" s="105" cm="1">
        <f t="array" ref="AG265">_xlfn.SWITCH(L265,3,1,
           4,1,
           5,1,
           6,1,0)</f>
        <v>1</v>
      </c>
      <c r="AH265" s="146">
        <f t="shared" si="197"/>
        <v>0</v>
      </c>
      <c r="AI265" s="90">
        <v>6004</v>
      </c>
      <c r="AJ265" s="90">
        <v>3009</v>
      </c>
      <c r="AK265" s="27">
        <v>6003</v>
      </c>
      <c r="AL265" s="123">
        <f>_xlfn.XLOOKUP(H265,'#각종 참고'!$B$11:$B$20,'#각종 참고'!$D$11:$D$20)</f>
        <v>0</v>
      </c>
      <c r="AM265" s="27">
        <v>1</v>
      </c>
      <c r="AN265" s="27">
        <v>1</v>
      </c>
      <c r="AO265" s="124">
        <f t="shared" si="170"/>
        <v>1</v>
      </c>
      <c r="AP265" s="27">
        <v>1</v>
      </c>
      <c r="AQ265" s="21">
        <v>11163011</v>
      </c>
      <c r="AR265" s="21" t="s">
        <v>2399</v>
      </c>
      <c r="AS265" s="68"/>
      <c r="AT265" s="68"/>
      <c r="AU265" s="68"/>
    </row>
    <row r="266" spans="1:47" x14ac:dyDescent="0.3">
      <c r="A266" s="19" t="s">
        <v>513</v>
      </c>
      <c r="B266" s="109">
        <v>11163003</v>
      </c>
      <c r="C266" s="99" t="str">
        <f t="shared" si="201"/>
        <v>1</v>
      </c>
      <c r="D266" s="121">
        <f>COUNTIFS($F$33:F266,F266, $G$33:G266,G266, $C$33:C266,C266, $L$33:L266,L266)</f>
        <v>3</v>
      </c>
      <c r="E266" s="20">
        <v>1</v>
      </c>
      <c r="F266" s="20">
        <v>3</v>
      </c>
      <c r="G266" s="20">
        <v>1</v>
      </c>
      <c r="H266" s="103" t="s">
        <v>962</v>
      </c>
      <c r="I266" s="20" t="s">
        <v>2113</v>
      </c>
      <c r="J266" s="104" t="str">
        <f t="shared" si="177"/>
        <v>Item_Name_11163003</v>
      </c>
      <c r="K266" s="20">
        <v>10101001</v>
      </c>
      <c r="L266" s="108">
        <f t="shared" si="183"/>
        <v>6</v>
      </c>
      <c r="M266" s="105">
        <f>IF(D266=0, 0, _xlfn.XLOOKUP($F266,'#무게관련'!$B:$B,'#무게관련'!$C:$C)*_xlfn.XLOOKUP($L266,'#무게관련'!$F:$F,'#무게관련'!$G:$G)*100)</f>
        <v>10000</v>
      </c>
      <c r="N266" s="20">
        <v>20400</v>
      </c>
      <c r="O266" s="20">
        <v>1</v>
      </c>
      <c r="P266" s="20">
        <v>15</v>
      </c>
      <c r="Q266" s="20">
        <v>1</v>
      </c>
      <c r="R266" s="20">
        <v>100</v>
      </c>
      <c r="S266" s="20">
        <v>1</v>
      </c>
      <c r="T266" s="109" t="s">
        <v>1868</v>
      </c>
      <c r="U266" s="104" t="str">
        <f t="shared" si="202"/>
        <v>item_bg_grade_06</v>
      </c>
      <c r="V266" s="20" t="s">
        <v>322</v>
      </c>
      <c r="W266" s="20" t="s">
        <v>400</v>
      </c>
      <c r="X266" s="104">
        <v>0</v>
      </c>
      <c r="Y266" s="104">
        <v>0</v>
      </c>
      <c r="Z266" s="104">
        <v>0</v>
      </c>
      <c r="AA266" s="104">
        <v>0</v>
      </c>
      <c r="AB266" s="104">
        <v>0</v>
      </c>
      <c r="AC266" s="104">
        <v>0</v>
      </c>
      <c r="AD266" s="142">
        <v>0</v>
      </c>
      <c r="AE266" s="112">
        <f t="shared" si="184"/>
        <v>70</v>
      </c>
      <c r="AF266" s="70">
        <v>1603010</v>
      </c>
      <c r="AG266" s="105" cm="1">
        <f t="array" ref="AG266">_xlfn.SWITCH(L266,3,1,
           4,1,
           5,1,
           6,1,0)</f>
        <v>1</v>
      </c>
      <c r="AH266" s="146">
        <f t="shared" si="197"/>
        <v>0</v>
      </c>
      <c r="AI266" s="90">
        <v>6004</v>
      </c>
      <c r="AJ266" s="90">
        <v>3009</v>
      </c>
      <c r="AK266" s="27">
        <v>6003</v>
      </c>
      <c r="AL266" s="123">
        <f>_xlfn.XLOOKUP(H266,'#각종 참고'!$B$11:$B$20,'#각종 참고'!$D$11:$D$20)</f>
        <v>0</v>
      </c>
      <c r="AM266" s="27">
        <v>1</v>
      </c>
      <c r="AN266" s="27">
        <v>1</v>
      </c>
      <c r="AO266" s="124">
        <f t="shared" si="170"/>
        <v>1</v>
      </c>
      <c r="AP266" s="27">
        <v>1</v>
      </c>
      <c r="AQ266" s="21">
        <v>11163021</v>
      </c>
      <c r="AR266" s="21" t="s">
        <v>2400</v>
      </c>
      <c r="AS266" s="68"/>
      <c r="AT266" s="68"/>
      <c r="AU266" s="68"/>
    </row>
    <row r="267" spans="1:47" s="68" customFormat="1" x14ac:dyDescent="0.3">
      <c r="A267" s="65"/>
      <c r="B267" s="110">
        <v>12113001</v>
      </c>
      <c r="C267" s="99" t="str">
        <f t="shared" si="1"/>
        <v>2</v>
      </c>
      <c r="D267" s="120">
        <f>COUNTIFS($F$33:F267,F267, $G$33:G267,G267, $C$33:C267,C267, $L$33:L267,L267)</f>
        <v>1</v>
      </c>
      <c r="E267" s="20">
        <v>1</v>
      </c>
      <c r="F267" s="66">
        <v>3</v>
      </c>
      <c r="G267" s="66">
        <v>1</v>
      </c>
      <c r="H267" s="103" t="s">
        <v>962</v>
      </c>
      <c r="I267" s="66" t="s">
        <v>1680</v>
      </c>
      <c r="J267" s="104" t="str">
        <f t="shared" si="177"/>
        <v>Item_Name_12113001</v>
      </c>
      <c r="K267" s="66">
        <v>10102001</v>
      </c>
      <c r="L267" s="106">
        <f t="shared" si="183"/>
        <v>1</v>
      </c>
      <c r="M267" s="105">
        <f>IF(D267=0, 0, _xlfn.XLOOKUP($F267,'#무게관련'!$B:$B,'#무게관련'!$C:$C)*_xlfn.XLOOKUP($L267,'#무게관련'!$F:$F,'#무게관련'!$G:$G)*100)</f>
        <v>10000</v>
      </c>
      <c r="N267" s="20">
        <v>20400</v>
      </c>
      <c r="O267" s="20">
        <v>2</v>
      </c>
      <c r="P267" s="66">
        <v>15</v>
      </c>
      <c r="Q267" s="20">
        <v>1</v>
      </c>
      <c r="R267" s="66">
        <v>100</v>
      </c>
      <c r="S267" s="66">
        <v>1</v>
      </c>
      <c r="T267" s="66" t="s">
        <v>1864</v>
      </c>
      <c r="U267" s="104" t="str">
        <f t="shared" si="117"/>
        <v>item_bg_grade_01</v>
      </c>
      <c r="V267" s="66" t="s">
        <v>322</v>
      </c>
      <c r="W267" s="66" t="s">
        <v>400</v>
      </c>
      <c r="X267" s="104">
        <v>0</v>
      </c>
      <c r="Y267" s="104">
        <v>0</v>
      </c>
      <c r="Z267" s="104">
        <v>0</v>
      </c>
      <c r="AA267" s="104">
        <v>0</v>
      </c>
      <c r="AB267" s="104">
        <v>0</v>
      </c>
      <c r="AC267" s="104">
        <v>0</v>
      </c>
      <c r="AD267" s="142">
        <v>0</v>
      </c>
      <c r="AE267" s="111">
        <f t="shared" si="184"/>
        <v>10</v>
      </c>
      <c r="AF267" s="70">
        <v>2103010</v>
      </c>
      <c r="AG267" s="105" cm="1">
        <f t="array" ref="AG267">_xlfn.SWITCH(L267,3,1,
           4,1,
           5,1,
           6,1,0)</f>
        <v>0</v>
      </c>
      <c r="AH267" s="146">
        <f t="shared" si="197"/>
        <v>80101101</v>
      </c>
      <c r="AI267" s="90">
        <v>0</v>
      </c>
      <c r="AJ267" s="90">
        <v>0</v>
      </c>
      <c r="AK267" s="27">
        <v>0</v>
      </c>
      <c r="AL267" s="123">
        <f>_xlfn.XLOOKUP(H267,'#각종 참고'!$B$11:$B$20,'#각종 참고'!$D$11:$D$20)</f>
        <v>0</v>
      </c>
      <c r="AM267" s="27">
        <v>1</v>
      </c>
      <c r="AN267" s="27">
        <v>1</v>
      </c>
      <c r="AO267" s="124">
        <f t="shared" si="170"/>
        <v>1</v>
      </c>
      <c r="AP267" s="27">
        <v>1</v>
      </c>
      <c r="AQ267" s="21">
        <v>12113001</v>
      </c>
      <c r="AR267" s="68" t="s">
        <v>1680</v>
      </c>
    </row>
    <row r="268" spans="1:47" s="68" customFormat="1" x14ac:dyDescent="0.3">
      <c r="A268" s="65"/>
      <c r="B268" s="110">
        <v>12113002</v>
      </c>
      <c r="C268" s="99" t="str">
        <f t="shared" ref="C268:C269" si="203">IF(K268&gt;0,MID(K268,5, 1), 0)</f>
        <v>2</v>
      </c>
      <c r="D268" s="120">
        <f>COUNTIFS($F$33:F268,F268, $G$33:G268,G268, $C$33:C268,C268, $L$33:L268,L268)</f>
        <v>2</v>
      </c>
      <c r="E268" s="20">
        <v>1</v>
      </c>
      <c r="F268" s="66">
        <v>3</v>
      </c>
      <c r="G268" s="66">
        <v>1</v>
      </c>
      <c r="H268" s="103" t="s">
        <v>962</v>
      </c>
      <c r="I268" s="66" t="s">
        <v>2116</v>
      </c>
      <c r="J268" s="104" t="str">
        <f t="shared" si="177"/>
        <v>Item_Name_12113002</v>
      </c>
      <c r="K268" s="66">
        <v>10102001</v>
      </c>
      <c r="L268" s="106">
        <f t="shared" si="183"/>
        <v>1</v>
      </c>
      <c r="M268" s="105">
        <f>IF(D268=0, 0, _xlfn.XLOOKUP($F268,'#무게관련'!$B:$B,'#무게관련'!$C:$C)*_xlfn.XLOOKUP($L268,'#무게관련'!$F:$F,'#무게관련'!$G:$G)*100)</f>
        <v>10000</v>
      </c>
      <c r="N268" s="20">
        <v>20400</v>
      </c>
      <c r="O268" s="20">
        <v>2</v>
      </c>
      <c r="P268" s="66">
        <v>15</v>
      </c>
      <c r="Q268" s="20">
        <v>1</v>
      </c>
      <c r="R268" s="66">
        <v>100</v>
      </c>
      <c r="S268" s="66">
        <v>1</v>
      </c>
      <c r="T268" s="66" t="s">
        <v>1864</v>
      </c>
      <c r="U268" s="104" t="str">
        <f t="shared" ref="U268:U269" si="204">"item_bg_grade_0"&amp;L268</f>
        <v>item_bg_grade_01</v>
      </c>
      <c r="V268" s="66" t="s">
        <v>322</v>
      </c>
      <c r="W268" s="66" t="s">
        <v>400</v>
      </c>
      <c r="X268" s="104">
        <v>0</v>
      </c>
      <c r="Y268" s="104">
        <v>0</v>
      </c>
      <c r="Z268" s="104">
        <v>0</v>
      </c>
      <c r="AA268" s="104">
        <v>0</v>
      </c>
      <c r="AB268" s="104">
        <v>0</v>
      </c>
      <c r="AC268" s="104">
        <v>0</v>
      </c>
      <c r="AD268" s="142">
        <v>0</v>
      </c>
      <c r="AE268" s="111">
        <f t="shared" si="184"/>
        <v>10</v>
      </c>
      <c r="AF268" s="70">
        <v>2103020</v>
      </c>
      <c r="AG268" s="105" cm="1">
        <f t="array" ref="AG268">_xlfn.SWITCH(L268,3,1,
           4,1,
           5,1,
           6,1,0)</f>
        <v>0</v>
      </c>
      <c r="AH268" s="146">
        <f t="shared" si="197"/>
        <v>80101101</v>
      </c>
      <c r="AI268" s="90">
        <v>0</v>
      </c>
      <c r="AJ268" s="90">
        <v>0</v>
      </c>
      <c r="AK268" s="27">
        <v>0</v>
      </c>
      <c r="AL268" s="123">
        <f>_xlfn.XLOOKUP(H268,'#각종 참고'!$B$11:$B$20,'#각종 참고'!$D$11:$D$20)</f>
        <v>0</v>
      </c>
      <c r="AM268" s="27">
        <v>1</v>
      </c>
      <c r="AN268" s="27">
        <v>1</v>
      </c>
      <c r="AO268" s="124">
        <f t="shared" si="170"/>
        <v>1</v>
      </c>
      <c r="AP268" s="27">
        <v>1</v>
      </c>
      <c r="AQ268" s="21">
        <v>12113011</v>
      </c>
      <c r="AR268" s="68" t="s">
        <v>2401</v>
      </c>
    </row>
    <row r="269" spans="1:47" s="68" customFormat="1" x14ac:dyDescent="0.3">
      <c r="A269" s="65"/>
      <c r="B269" s="110">
        <v>12113003</v>
      </c>
      <c r="C269" s="99" t="str">
        <f t="shared" si="203"/>
        <v>2</v>
      </c>
      <c r="D269" s="120">
        <f>COUNTIFS($F$33:F269,F269, $G$33:G269,G269, $C$33:C269,C269, $L$33:L269,L269)</f>
        <v>3</v>
      </c>
      <c r="E269" s="20">
        <v>1</v>
      </c>
      <c r="F269" s="66">
        <v>3</v>
      </c>
      <c r="G269" s="66">
        <v>1</v>
      </c>
      <c r="H269" s="103" t="s">
        <v>962</v>
      </c>
      <c r="I269" s="66" t="s">
        <v>2115</v>
      </c>
      <c r="J269" s="104" t="str">
        <f t="shared" si="177"/>
        <v>Item_Name_12113003</v>
      </c>
      <c r="K269" s="66">
        <v>10102001</v>
      </c>
      <c r="L269" s="106">
        <f t="shared" si="183"/>
        <v>1</v>
      </c>
      <c r="M269" s="105">
        <f>IF(D269=0, 0, _xlfn.XLOOKUP($F269,'#무게관련'!$B:$B,'#무게관련'!$C:$C)*_xlfn.XLOOKUP($L269,'#무게관련'!$F:$F,'#무게관련'!$G:$G)*100)</f>
        <v>10000</v>
      </c>
      <c r="N269" s="20">
        <v>20400</v>
      </c>
      <c r="O269" s="20">
        <v>2</v>
      </c>
      <c r="P269" s="66">
        <v>15</v>
      </c>
      <c r="Q269" s="20">
        <v>1</v>
      </c>
      <c r="R269" s="66">
        <v>100</v>
      </c>
      <c r="S269" s="66">
        <v>1</v>
      </c>
      <c r="T269" s="66" t="s">
        <v>1864</v>
      </c>
      <c r="U269" s="104" t="str">
        <f t="shared" si="204"/>
        <v>item_bg_grade_01</v>
      </c>
      <c r="V269" s="66" t="s">
        <v>322</v>
      </c>
      <c r="W269" s="66" t="s">
        <v>400</v>
      </c>
      <c r="X269" s="104">
        <v>0</v>
      </c>
      <c r="Y269" s="104">
        <v>0</v>
      </c>
      <c r="Z269" s="104">
        <v>0</v>
      </c>
      <c r="AA269" s="104">
        <v>0</v>
      </c>
      <c r="AB269" s="104">
        <v>0</v>
      </c>
      <c r="AC269" s="104">
        <v>0</v>
      </c>
      <c r="AD269" s="142">
        <v>0</v>
      </c>
      <c r="AE269" s="111">
        <f t="shared" si="184"/>
        <v>10</v>
      </c>
      <c r="AF269" s="70">
        <v>2103030</v>
      </c>
      <c r="AG269" s="105" cm="1">
        <f t="array" ref="AG269">_xlfn.SWITCH(L269,3,1,
           4,1,
           5,1,
           6,1,0)</f>
        <v>0</v>
      </c>
      <c r="AH269" s="146">
        <f t="shared" si="197"/>
        <v>80101101</v>
      </c>
      <c r="AI269" s="90">
        <v>0</v>
      </c>
      <c r="AJ269" s="90">
        <v>0</v>
      </c>
      <c r="AK269" s="27">
        <v>0</v>
      </c>
      <c r="AL269" s="123">
        <f>_xlfn.XLOOKUP(H269,'#각종 참고'!$B$11:$B$20,'#각종 참고'!$D$11:$D$20)</f>
        <v>0</v>
      </c>
      <c r="AM269" s="27">
        <v>1</v>
      </c>
      <c r="AN269" s="27">
        <v>1</v>
      </c>
      <c r="AO269" s="124">
        <f t="shared" si="170"/>
        <v>1</v>
      </c>
      <c r="AP269" s="27">
        <v>1</v>
      </c>
      <c r="AQ269" s="21">
        <v>12113021</v>
      </c>
      <c r="AR269" s="68" t="s">
        <v>2402</v>
      </c>
    </row>
    <row r="270" spans="1:47" x14ac:dyDescent="0.3">
      <c r="A270" s="19"/>
      <c r="B270" s="109">
        <v>12123001</v>
      </c>
      <c r="C270" s="99" t="str">
        <f t="shared" si="1"/>
        <v>2</v>
      </c>
      <c r="D270" s="121">
        <f>COUNTIFS($F$33:F270,F270, $G$33:G270,G270, $C$33:C270,C270, $L$33:L270,L270)</f>
        <v>1</v>
      </c>
      <c r="E270" s="20">
        <v>1</v>
      </c>
      <c r="F270" s="20">
        <v>3</v>
      </c>
      <c r="G270" s="20">
        <v>1</v>
      </c>
      <c r="H270" s="103" t="s">
        <v>962</v>
      </c>
      <c r="I270" s="20" t="s">
        <v>1681</v>
      </c>
      <c r="J270" s="104" t="str">
        <f t="shared" si="177"/>
        <v>Item_Name_12123001</v>
      </c>
      <c r="K270" s="20">
        <v>10102001</v>
      </c>
      <c r="L270" s="107">
        <f t="shared" si="183"/>
        <v>2</v>
      </c>
      <c r="M270" s="105">
        <f>IF(D270=0, 0, _xlfn.XLOOKUP($F270,'#무게관련'!$B:$B,'#무게관련'!$C:$C)*_xlfn.XLOOKUP($L270,'#무게관련'!$F:$F,'#무게관련'!$G:$G)*100)</f>
        <v>10000</v>
      </c>
      <c r="N270" s="20">
        <v>20400</v>
      </c>
      <c r="O270" s="20">
        <v>2</v>
      </c>
      <c r="P270" s="20">
        <v>15</v>
      </c>
      <c r="Q270" s="20">
        <v>1</v>
      </c>
      <c r="R270" s="20">
        <v>100</v>
      </c>
      <c r="S270" s="20">
        <v>1</v>
      </c>
      <c r="T270" s="20" t="s">
        <v>1865</v>
      </c>
      <c r="U270" s="104" t="str">
        <f t="shared" si="117"/>
        <v>item_bg_grade_02</v>
      </c>
      <c r="V270" s="20" t="s">
        <v>322</v>
      </c>
      <c r="W270" s="20" t="s">
        <v>400</v>
      </c>
      <c r="X270" s="104">
        <v>0</v>
      </c>
      <c r="Y270" s="104">
        <v>0</v>
      </c>
      <c r="Z270" s="104">
        <v>0</v>
      </c>
      <c r="AA270" s="104">
        <v>0</v>
      </c>
      <c r="AB270" s="104">
        <v>0</v>
      </c>
      <c r="AC270" s="104">
        <v>0</v>
      </c>
      <c r="AD270" s="142">
        <v>0</v>
      </c>
      <c r="AE270" s="112">
        <f t="shared" si="184"/>
        <v>20</v>
      </c>
      <c r="AF270" s="70">
        <v>2203010</v>
      </c>
      <c r="AG270" s="105" cm="1">
        <f t="array" ref="AG270">_xlfn.SWITCH(L270,3,1,
           4,1,
           5,1,
           6,1,0)</f>
        <v>0</v>
      </c>
      <c r="AH270" s="146">
        <f t="shared" si="197"/>
        <v>80101201</v>
      </c>
      <c r="AI270" s="90">
        <v>6000</v>
      </c>
      <c r="AJ270" s="90">
        <v>3001</v>
      </c>
      <c r="AK270" s="27">
        <v>2003</v>
      </c>
      <c r="AL270" s="123">
        <f>_xlfn.XLOOKUP(H270,'#각종 참고'!$B$11:$B$20,'#각종 참고'!$D$11:$D$20)</f>
        <v>0</v>
      </c>
      <c r="AM270" s="27">
        <v>1</v>
      </c>
      <c r="AN270" s="27">
        <v>1</v>
      </c>
      <c r="AO270" s="124">
        <f t="shared" si="170"/>
        <v>1</v>
      </c>
      <c r="AP270" s="27">
        <v>1</v>
      </c>
      <c r="AQ270" s="21">
        <v>12123001</v>
      </c>
      <c r="AR270" s="21" t="s">
        <v>1681</v>
      </c>
      <c r="AS270" s="68"/>
      <c r="AT270" s="68"/>
      <c r="AU270" s="68"/>
    </row>
    <row r="271" spans="1:47" x14ac:dyDescent="0.3">
      <c r="A271" s="19"/>
      <c r="B271" s="109">
        <v>12123002</v>
      </c>
      <c r="C271" s="99" t="str">
        <f t="shared" ref="C271:C272" si="205">IF(K271&gt;0,MID(K271,5, 1), 0)</f>
        <v>2</v>
      </c>
      <c r="D271" s="121">
        <f>COUNTIFS($F$33:F271,F271, $G$33:G271,G271, $C$33:C271,C271, $L$33:L271,L271)</f>
        <v>2</v>
      </c>
      <c r="E271" s="20">
        <v>1</v>
      </c>
      <c r="F271" s="20">
        <v>3</v>
      </c>
      <c r="G271" s="20">
        <v>1</v>
      </c>
      <c r="H271" s="103" t="s">
        <v>962</v>
      </c>
      <c r="I271" s="20" t="s">
        <v>2117</v>
      </c>
      <c r="J271" s="104" t="str">
        <f t="shared" si="177"/>
        <v>Item_Name_12123002</v>
      </c>
      <c r="K271" s="20">
        <v>10102001</v>
      </c>
      <c r="L271" s="107">
        <f t="shared" si="183"/>
        <v>2</v>
      </c>
      <c r="M271" s="105">
        <f>IF(D271=0, 0, _xlfn.XLOOKUP($F271,'#무게관련'!$B:$B,'#무게관련'!$C:$C)*_xlfn.XLOOKUP($L271,'#무게관련'!$F:$F,'#무게관련'!$G:$G)*100)</f>
        <v>10000</v>
      </c>
      <c r="N271" s="20">
        <v>20400</v>
      </c>
      <c r="O271" s="20">
        <v>2</v>
      </c>
      <c r="P271" s="20">
        <v>15</v>
      </c>
      <c r="Q271" s="20">
        <v>1</v>
      </c>
      <c r="R271" s="20">
        <v>100</v>
      </c>
      <c r="S271" s="20">
        <v>1</v>
      </c>
      <c r="T271" s="20" t="s">
        <v>1865</v>
      </c>
      <c r="U271" s="104" t="str">
        <f t="shared" ref="U271:U272" si="206">"item_bg_grade_0"&amp;L271</f>
        <v>item_bg_grade_02</v>
      </c>
      <c r="V271" s="20" t="s">
        <v>322</v>
      </c>
      <c r="W271" s="20" t="s">
        <v>400</v>
      </c>
      <c r="X271" s="104">
        <v>0</v>
      </c>
      <c r="Y271" s="104">
        <v>0</v>
      </c>
      <c r="Z271" s="104">
        <v>0</v>
      </c>
      <c r="AA271" s="104">
        <v>0</v>
      </c>
      <c r="AB271" s="104">
        <v>0</v>
      </c>
      <c r="AC271" s="104">
        <v>0</v>
      </c>
      <c r="AD271" s="142">
        <v>0</v>
      </c>
      <c r="AE271" s="112">
        <f t="shared" si="184"/>
        <v>20</v>
      </c>
      <c r="AF271" s="70">
        <v>2203020</v>
      </c>
      <c r="AG271" s="105" cm="1">
        <f t="array" ref="AG271">_xlfn.SWITCH(L271,3,1,
           4,1,
           5,1,
           6,1,0)</f>
        <v>0</v>
      </c>
      <c r="AH271" s="146">
        <f t="shared" si="197"/>
        <v>80101201</v>
      </c>
      <c r="AI271" s="90">
        <v>6000</v>
      </c>
      <c r="AJ271" s="90">
        <v>3001</v>
      </c>
      <c r="AK271" s="27">
        <v>2003</v>
      </c>
      <c r="AL271" s="123">
        <f>_xlfn.XLOOKUP(H271,'#각종 참고'!$B$11:$B$20,'#각종 참고'!$D$11:$D$20)</f>
        <v>0</v>
      </c>
      <c r="AM271" s="27">
        <v>1</v>
      </c>
      <c r="AN271" s="27">
        <v>1</v>
      </c>
      <c r="AO271" s="124">
        <f t="shared" si="170"/>
        <v>1</v>
      </c>
      <c r="AP271" s="27">
        <v>1</v>
      </c>
      <c r="AQ271" s="21">
        <v>12123011</v>
      </c>
      <c r="AR271" s="21" t="s">
        <v>2403</v>
      </c>
      <c r="AS271" s="68"/>
      <c r="AT271" s="68"/>
      <c r="AU271" s="68"/>
    </row>
    <row r="272" spans="1:47" x14ac:dyDescent="0.3">
      <c r="A272" s="19"/>
      <c r="B272" s="109">
        <v>12123003</v>
      </c>
      <c r="C272" s="99" t="str">
        <f t="shared" si="205"/>
        <v>2</v>
      </c>
      <c r="D272" s="121">
        <f>COUNTIFS($F$33:F272,F272, $G$33:G272,G272, $C$33:C272,C272, $L$33:L272,L272)</f>
        <v>3</v>
      </c>
      <c r="E272" s="20">
        <v>1</v>
      </c>
      <c r="F272" s="20">
        <v>3</v>
      </c>
      <c r="G272" s="20">
        <v>1</v>
      </c>
      <c r="H272" s="103" t="s">
        <v>962</v>
      </c>
      <c r="I272" s="20" t="s">
        <v>1983</v>
      </c>
      <c r="J272" s="104" t="str">
        <f t="shared" si="177"/>
        <v>Item_Name_12123003</v>
      </c>
      <c r="K272" s="20">
        <v>10102001</v>
      </c>
      <c r="L272" s="107">
        <f t="shared" si="183"/>
        <v>2</v>
      </c>
      <c r="M272" s="105">
        <f>IF(D272=0, 0, _xlfn.XLOOKUP($F272,'#무게관련'!$B:$B,'#무게관련'!$C:$C)*_xlfn.XLOOKUP($L272,'#무게관련'!$F:$F,'#무게관련'!$G:$G)*100)</f>
        <v>10000</v>
      </c>
      <c r="N272" s="20">
        <v>20400</v>
      </c>
      <c r="O272" s="20">
        <v>2</v>
      </c>
      <c r="P272" s="20">
        <v>15</v>
      </c>
      <c r="Q272" s="20">
        <v>1</v>
      </c>
      <c r="R272" s="20">
        <v>100</v>
      </c>
      <c r="S272" s="20">
        <v>1</v>
      </c>
      <c r="T272" s="20" t="s">
        <v>1865</v>
      </c>
      <c r="U272" s="104" t="str">
        <f t="shared" si="206"/>
        <v>item_bg_grade_02</v>
      </c>
      <c r="V272" s="20" t="s">
        <v>322</v>
      </c>
      <c r="W272" s="20" t="s">
        <v>400</v>
      </c>
      <c r="X272" s="104">
        <v>0</v>
      </c>
      <c r="Y272" s="104">
        <v>0</v>
      </c>
      <c r="Z272" s="104">
        <v>0</v>
      </c>
      <c r="AA272" s="104">
        <v>0</v>
      </c>
      <c r="AB272" s="104">
        <v>0</v>
      </c>
      <c r="AC272" s="104">
        <v>0</v>
      </c>
      <c r="AD272" s="142">
        <v>0</v>
      </c>
      <c r="AE272" s="112">
        <f t="shared" si="184"/>
        <v>20</v>
      </c>
      <c r="AF272" s="70">
        <v>2203030</v>
      </c>
      <c r="AG272" s="105" cm="1">
        <f t="array" ref="AG272">_xlfn.SWITCH(L272,3,1,
           4,1,
           5,1,
           6,1,0)</f>
        <v>0</v>
      </c>
      <c r="AH272" s="146">
        <f t="shared" si="197"/>
        <v>80101201</v>
      </c>
      <c r="AI272" s="90">
        <v>6000</v>
      </c>
      <c r="AJ272" s="90">
        <v>3001</v>
      </c>
      <c r="AK272" s="27">
        <v>2003</v>
      </c>
      <c r="AL272" s="123">
        <f>_xlfn.XLOOKUP(H272,'#각종 참고'!$B$11:$B$20,'#각종 참고'!$D$11:$D$20)</f>
        <v>0</v>
      </c>
      <c r="AM272" s="27">
        <v>1</v>
      </c>
      <c r="AN272" s="27">
        <v>1</v>
      </c>
      <c r="AO272" s="124">
        <f t="shared" ref="AO272:AO314" si="207">IF(AM272=1,AM272,AL272)</f>
        <v>1</v>
      </c>
      <c r="AP272" s="27">
        <v>1</v>
      </c>
      <c r="AQ272" s="21">
        <v>12123021</v>
      </c>
      <c r="AR272" s="21" t="s">
        <v>2404</v>
      </c>
      <c r="AS272" s="68"/>
      <c r="AT272" s="68"/>
      <c r="AU272" s="68"/>
    </row>
    <row r="273" spans="1:47" x14ac:dyDescent="0.3">
      <c r="A273" s="19"/>
      <c r="B273" s="109">
        <v>12133001</v>
      </c>
      <c r="C273" s="99" t="str">
        <f t="shared" si="1"/>
        <v>2</v>
      </c>
      <c r="D273" s="121">
        <f>COUNTIFS($F$33:F273,F273, $G$33:G273,G273, $C$33:C273,C273, $L$33:L273,L273)</f>
        <v>1</v>
      </c>
      <c r="E273" s="20">
        <v>1</v>
      </c>
      <c r="F273" s="20">
        <v>3</v>
      </c>
      <c r="G273" s="20">
        <v>1</v>
      </c>
      <c r="H273" s="103" t="s">
        <v>962</v>
      </c>
      <c r="I273" s="20" t="s">
        <v>1557</v>
      </c>
      <c r="J273" s="104" t="str">
        <f t="shared" si="177"/>
        <v>Item_Name_12133001</v>
      </c>
      <c r="K273" s="20">
        <v>10102001</v>
      </c>
      <c r="L273" s="107">
        <f t="shared" si="183"/>
        <v>3</v>
      </c>
      <c r="M273" s="105">
        <f>IF(D273=0, 0, _xlfn.XLOOKUP($F273,'#무게관련'!$B:$B,'#무게관련'!$C:$C)*_xlfn.XLOOKUP($L273,'#무게관련'!$F:$F,'#무게관련'!$G:$G)*100)</f>
        <v>10000</v>
      </c>
      <c r="N273" s="20">
        <v>20400</v>
      </c>
      <c r="O273" s="20">
        <v>2</v>
      </c>
      <c r="P273" s="20">
        <v>15</v>
      </c>
      <c r="Q273" s="20">
        <v>1</v>
      </c>
      <c r="R273" s="20">
        <v>100</v>
      </c>
      <c r="S273" s="20">
        <v>1</v>
      </c>
      <c r="T273" s="20" t="s">
        <v>1866</v>
      </c>
      <c r="U273" s="104" t="str">
        <f t="shared" si="117"/>
        <v>item_bg_grade_03</v>
      </c>
      <c r="V273" s="20" t="s">
        <v>322</v>
      </c>
      <c r="W273" s="20" t="s">
        <v>400</v>
      </c>
      <c r="X273" s="104">
        <v>0</v>
      </c>
      <c r="Y273" s="104">
        <v>0</v>
      </c>
      <c r="Z273" s="104">
        <v>0</v>
      </c>
      <c r="AA273" s="104">
        <v>0</v>
      </c>
      <c r="AB273" s="104">
        <v>0</v>
      </c>
      <c r="AC273" s="104">
        <v>0</v>
      </c>
      <c r="AD273" s="142">
        <v>0</v>
      </c>
      <c r="AE273" s="112">
        <f t="shared" si="184"/>
        <v>30</v>
      </c>
      <c r="AF273" s="70">
        <v>2303010</v>
      </c>
      <c r="AG273" s="105" cm="1">
        <f t="array" ref="AG273">_xlfn.SWITCH(L273,3,1,
           4,1,
           5,1,
           6,1,0)</f>
        <v>1</v>
      </c>
      <c r="AH273" s="146">
        <f t="shared" si="197"/>
        <v>80101301</v>
      </c>
      <c r="AI273" s="90">
        <v>6001</v>
      </c>
      <c r="AJ273" s="90">
        <v>3003</v>
      </c>
      <c r="AK273" s="27">
        <v>3003</v>
      </c>
      <c r="AL273" s="123">
        <f>_xlfn.XLOOKUP(H273,'#각종 참고'!$B$11:$B$20,'#각종 참고'!$D$11:$D$20)</f>
        <v>0</v>
      </c>
      <c r="AM273" s="27">
        <v>1</v>
      </c>
      <c r="AN273" s="27">
        <v>1</v>
      </c>
      <c r="AO273" s="124">
        <f t="shared" si="207"/>
        <v>1</v>
      </c>
      <c r="AP273" s="27">
        <v>1</v>
      </c>
      <c r="AQ273" s="21">
        <v>12133001</v>
      </c>
      <c r="AR273" s="21" t="s">
        <v>1557</v>
      </c>
      <c r="AS273" s="68"/>
      <c r="AT273" s="68"/>
      <c r="AU273" s="68"/>
    </row>
    <row r="274" spans="1:47" x14ac:dyDescent="0.3">
      <c r="A274" s="19"/>
      <c r="B274" s="109">
        <v>12133002</v>
      </c>
      <c r="C274" s="99" t="str">
        <f t="shared" ref="C274:C275" si="208">IF(K274&gt;0,MID(K274,5, 1), 0)</f>
        <v>2</v>
      </c>
      <c r="D274" s="121">
        <f>COUNTIFS($F$33:F274,F274, $G$33:G274,G274, $C$33:C274,C274, $L$33:L274,L274)</f>
        <v>2</v>
      </c>
      <c r="E274" s="20">
        <v>1</v>
      </c>
      <c r="F274" s="20">
        <v>3</v>
      </c>
      <c r="G274" s="20">
        <v>1</v>
      </c>
      <c r="H274" s="103" t="s">
        <v>962</v>
      </c>
      <c r="I274" s="20" t="s">
        <v>1682</v>
      </c>
      <c r="J274" s="104" t="str">
        <f t="shared" si="177"/>
        <v>Item_Name_12133002</v>
      </c>
      <c r="K274" s="20">
        <v>10102001</v>
      </c>
      <c r="L274" s="107">
        <f t="shared" si="183"/>
        <v>3</v>
      </c>
      <c r="M274" s="105">
        <f>IF(D274=0, 0, _xlfn.XLOOKUP($F274,'#무게관련'!$B:$B,'#무게관련'!$C:$C)*_xlfn.XLOOKUP($L274,'#무게관련'!$F:$F,'#무게관련'!$G:$G)*100)</f>
        <v>10000</v>
      </c>
      <c r="N274" s="20">
        <v>20400</v>
      </c>
      <c r="O274" s="20">
        <v>2</v>
      </c>
      <c r="P274" s="20">
        <v>15</v>
      </c>
      <c r="Q274" s="20">
        <v>1</v>
      </c>
      <c r="R274" s="20">
        <v>100</v>
      </c>
      <c r="S274" s="20">
        <v>1</v>
      </c>
      <c r="T274" s="20" t="s">
        <v>1866</v>
      </c>
      <c r="U274" s="104" t="str">
        <f t="shared" ref="U274:U275" si="209">"item_bg_grade_0"&amp;L274</f>
        <v>item_bg_grade_03</v>
      </c>
      <c r="V274" s="20" t="s">
        <v>322</v>
      </c>
      <c r="W274" s="20" t="s">
        <v>400</v>
      </c>
      <c r="X274" s="104">
        <v>0</v>
      </c>
      <c r="Y274" s="104">
        <v>0</v>
      </c>
      <c r="Z274" s="104">
        <v>0</v>
      </c>
      <c r="AA274" s="104">
        <v>0</v>
      </c>
      <c r="AB274" s="104">
        <v>0</v>
      </c>
      <c r="AC274" s="104">
        <v>0</v>
      </c>
      <c r="AD274" s="142">
        <v>0</v>
      </c>
      <c r="AE274" s="112">
        <f t="shared" si="184"/>
        <v>30</v>
      </c>
      <c r="AF274" s="70">
        <v>2303020</v>
      </c>
      <c r="AG274" s="105" cm="1">
        <f t="array" ref="AG274">_xlfn.SWITCH(L274,3,1,
           4,1,
           5,1,
           6,1,0)</f>
        <v>1</v>
      </c>
      <c r="AH274" s="146">
        <f t="shared" si="197"/>
        <v>80101301</v>
      </c>
      <c r="AI274" s="90">
        <v>6001</v>
      </c>
      <c r="AJ274" s="90">
        <v>3003</v>
      </c>
      <c r="AK274" s="27">
        <v>3003</v>
      </c>
      <c r="AL274" s="123">
        <f>_xlfn.XLOOKUP(H274,'#각종 참고'!$B$11:$B$20,'#각종 참고'!$D$11:$D$20)</f>
        <v>0</v>
      </c>
      <c r="AM274" s="27">
        <v>1</v>
      </c>
      <c r="AN274" s="27">
        <v>1</v>
      </c>
      <c r="AO274" s="124">
        <f t="shared" si="207"/>
        <v>1</v>
      </c>
      <c r="AP274" s="27">
        <v>1</v>
      </c>
      <c r="AQ274" s="21">
        <v>12133011</v>
      </c>
      <c r="AR274" s="21" t="s">
        <v>2405</v>
      </c>
      <c r="AS274" s="68"/>
      <c r="AT274" s="68"/>
      <c r="AU274" s="68"/>
    </row>
    <row r="275" spans="1:47" x14ac:dyDescent="0.3">
      <c r="A275" s="19"/>
      <c r="B275" s="109">
        <v>12133003</v>
      </c>
      <c r="C275" s="99" t="str">
        <f t="shared" si="208"/>
        <v>2</v>
      </c>
      <c r="D275" s="121">
        <f>COUNTIFS($F$33:F275,F275, $G$33:G275,G275, $C$33:C275,C275, $L$33:L275,L275)</f>
        <v>3</v>
      </c>
      <c r="E275" s="20">
        <v>1</v>
      </c>
      <c r="F275" s="20">
        <v>3</v>
      </c>
      <c r="G275" s="20">
        <v>1</v>
      </c>
      <c r="H275" s="103" t="s">
        <v>962</v>
      </c>
      <c r="I275" s="20" t="s">
        <v>2118</v>
      </c>
      <c r="J275" s="104" t="str">
        <f t="shared" si="177"/>
        <v>Item_Name_12133003</v>
      </c>
      <c r="K275" s="20">
        <v>10102001</v>
      </c>
      <c r="L275" s="107">
        <f t="shared" si="183"/>
        <v>3</v>
      </c>
      <c r="M275" s="105">
        <f>IF(D275=0, 0, _xlfn.XLOOKUP($F275,'#무게관련'!$B:$B,'#무게관련'!$C:$C)*_xlfn.XLOOKUP($L275,'#무게관련'!$F:$F,'#무게관련'!$G:$G)*100)</f>
        <v>10000</v>
      </c>
      <c r="N275" s="20">
        <v>20400</v>
      </c>
      <c r="O275" s="20">
        <v>2</v>
      </c>
      <c r="P275" s="20">
        <v>15</v>
      </c>
      <c r="Q275" s="20">
        <v>1</v>
      </c>
      <c r="R275" s="20">
        <v>100</v>
      </c>
      <c r="S275" s="20">
        <v>1</v>
      </c>
      <c r="T275" s="20" t="s">
        <v>1866</v>
      </c>
      <c r="U275" s="104" t="str">
        <f t="shared" si="209"/>
        <v>item_bg_grade_03</v>
      </c>
      <c r="V275" s="20" t="s">
        <v>322</v>
      </c>
      <c r="W275" s="20" t="s">
        <v>400</v>
      </c>
      <c r="X275" s="104">
        <v>0</v>
      </c>
      <c r="Y275" s="104">
        <v>0</v>
      </c>
      <c r="Z275" s="104">
        <v>0</v>
      </c>
      <c r="AA275" s="104">
        <v>0</v>
      </c>
      <c r="AB275" s="104">
        <v>0</v>
      </c>
      <c r="AC275" s="104">
        <v>0</v>
      </c>
      <c r="AD275" s="142">
        <v>0</v>
      </c>
      <c r="AE275" s="112">
        <f t="shared" si="184"/>
        <v>30</v>
      </c>
      <c r="AF275" s="70">
        <v>2303030</v>
      </c>
      <c r="AG275" s="105" cm="1">
        <f t="array" ref="AG275">_xlfn.SWITCH(L275,3,1,
           4,1,
           5,1,
           6,1,0)</f>
        <v>1</v>
      </c>
      <c r="AH275" s="146">
        <f t="shared" si="197"/>
        <v>80101301</v>
      </c>
      <c r="AI275" s="90">
        <v>6001</v>
      </c>
      <c r="AJ275" s="90">
        <v>3003</v>
      </c>
      <c r="AK275" s="27">
        <v>3003</v>
      </c>
      <c r="AL275" s="123">
        <f>_xlfn.XLOOKUP(H275,'#각종 참고'!$B$11:$B$20,'#각종 참고'!$D$11:$D$20)</f>
        <v>0</v>
      </c>
      <c r="AM275" s="27">
        <v>1</v>
      </c>
      <c r="AN275" s="27">
        <v>1</v>
      </c>
      <c r="AO275" s="124">
        <f t="shared" si="207"/>
        <v>1</v>
      </c>
      <c r="AP275" s="27">
        <v>1</v>
      </c>
      <c r="AQ275" s="21">
        <v>12133021</v>
      </c>
      <c r="AR275" s="21" t="s">
        <v>2406</v>
      </c>
      <c r="AS275" s="68"/>
      <c r="AT275" s="68"/>
      <c r="AU275" s="68"/>
    </row>
    <row r="276" spans="1:47" x14ac:dyDescent="0.3">
      <c r="A276" s="19"/>
      <c r="B276" s="109">
        <v>12143001</v>
      </c>
      <c r="C276" s="99" t="str">
        <f t="shared" si="1"/>
        <v>2</v>
      </c>
      <c r="D276" s="121">
        <f>COUNTIFS($F$33:F276,F276, $G$33:G276,G276, $C$33:C276,C276, $L$33:L276,L276)</f>
        <v>1</v>
      </c>
      <c r="E276" s="20">
        <v>1</v>
      </c>
      <c r="F276" s="20">
        <v>3</v>
      </c>
      <c r="G276" s="20">
        <v>1</v>
      </c>
      <c r="H276" s="103" t="s">
        <v>962</v>
      </c>
      <c r="I276" s="20" t="s">
        <v>1558</v>
      </c>
      <c r="J276" s="104" t="str">
        <f t="shared" si="177"/>
        <v>Item_Name_12143001</v>
      </c>
      <c r="K276" s="20">
        <v>10102001</v>
      </c>
      <c r="L276" s="107">
        <f t="shared" si="183"/>
        <v>4</v>
      </c>
      <c r="M276" s="105">
        <f>IF(D276=0, 0, _xlfn.XLOOKUP($F276,'#무게관련'!$B:$B,'#무게관련'!$C:$C)*_xlfn.XLOOKUP($L276,'#무게관련'!$F:$F,'#무게관련'!$G:$G)*100)</f>
        <v>10000</v>
      </c>
      <c r="N276" s="20">
        <v>20400</v>
      </c>
      <c r="O276" s="20">
        <v>2</v>
      </c>
      <c r="P276" s="20">
        <v>15</v>
      </c>
      <c r="Q276" s="20">
        <v>1</v>
      </c>
      <c r="R276" s="20">
        <v>100</v>
      </c>
      <c r="S276" s="20">
        <v>1</v>
      </c>
      <c r="T276" s="20" t="s">
        <v>1867</v>
      </c>
      <c r="U276" s="104" t="str">
        <f t="shared" si="117"/>
        <v>item_bg_grade_04</v>
      </c>
      <c r="V276" s="20" t="s">
        <v>322</v>
      </c>
      <c r="W276" s="20" t="s">
        <v>400</v>
      </c>
      <c r="X276" s="104">
        <v>0</v>
      </c>
      <c r="Y276" s="104">
        <v>0</v>
      </c>
      <c r="Z276" s="104">
        <v>0</v>
      </c>
      <c r="AA276" s="104">
        <v>0</v>
      </c>
      <c r="AB276" s="104">
        <v>0</v>
      </c>
      <c r="AC276" s="104">
        <v>0</v>
      </c>
      <c r="AD276" s="142">
        <v>0</v>
      </c>
      <c r="AE276" s="112">
        <f t="shared" si="184"/>
        <v>40</v>
      </c>
      <c r="AF276" s="70">
        <v>2403010</v>
      </c>
      <c r="AG276" s="105" cm="1">
        <f t="array" ref="AG276">_xlfn.SWITCH(L276,3,1,
           4,1,
           5,1,
           6,1,0)</f>
        <v>1</v>
      </c>
      <c r="AH276" s="146">
        <f t="shared" si="197"/>
        <v>80101401</v>
      </c>
      <c r="AI276" s="90">
        <v>6002</v>
      </c>
      <c r="AJ276" s="90">
        <v>3005</v>
      </c>
      <c r="AK276" s="27">
        <v>4003</v>
      </c>
      <c r="AL276" s="123">
        <f>_xlfn.XLOOKUP(H276,'#각종 참고'!$B$11:$B$20,'#각종 참고'!$D$11:$D$20)</f>
        <v>0</v>
      </c>
      <c r="AM276" s="27">
        <v>1</v>
      </c>
      <c r="AN276" s="27">
        <v>1</v>
      </c>
      <c r="AO276" s="124">
        <f t="shared" si="207"/>
        <v>1</v>
      </c>
      <c r="AP276" s="27">
        <v>1</v>
      </c>
      <c r="AQ276" s="21">
        <v>12143001</v>
      </c>
      <c r="AR276" s="21" t="s">
        <v>1558</v>
      </c>
      <c r="AS276" s="68"/>
      <c r="AT276" s="68"/>
      <c r="AU276" s="68"/>
    </row>
    <row r="277" spans="1:47" x14ac:dyDescent="0.3">
      <c r="A277" s="19"/>
      <c r="B277" s="109">
        <v>12143002</v>
      </c>
      <c r="C277" s="99" t="str">
        <f t="shared" ref="C277:C278" si="210">IF(K277&gt;0,MID(K277,5, 1), 0)</f>
        <v>2</v>
      </c>
      <c r="D277" s="121">
        <f>COUNTIFS($F$33:F277,F277, $G$33:G277,G277, $C$33:C277,C277, $L$33:L277,L277)</f>
        <v>2</v>
      </c>
      <c r="E277" s="20">
        <v>1</v>
      </c>
      <c r="F277" s="20">
        <v>3</v>
      </c>
      <c r="G277" s="20">
        <v>1</v>
      </c>
      <c r="H277" s="103" t="s">
        <v>962</v>
      </c>
      <c r="I277" s="20" t="s">
        <v>1683</v>
      </c>
      <c r="J277" s="104" t="str">
        <f t="shared" si="177"/>
        <v>Item_Name_12143002</v>
      </c>
      <c r="K277" s="20">
        <v>10102001</v>
      </c>
      <c r="L277" s="107">
        <f t="shared" si="183"/>
        <v>4</v>
      </c>
      <c r="M277" s="105">
        <f>IF(D277=0, 0, _xlfn.XLOOKUP($F277,'#무게관련'!$B:$B,'#무게관련'!$C:$C)*_xlfn.XLOOKUP($L277,'#무게관련'!$F:$F,'#무게관련'!$G:$G)*100)</f>
        <v>10000</v>
      </c>
      <c r="N277" s="20">
        <v>20400</v>
      </c>
      <c r="O277" s="20">
        <v>2</v>
      </c>
      <c r="P277" s="20">
        <v>15</v>
      </c>
      <c r="Q277" s="20">
        <v>1</v>
      </c>
      <c r="R277" s="20">
        <v>100</v>
      </c>
      <c r="S277" s="20">
        <v>1</v>
      </c>
      <c r="T277" s="20" t="s">
        <v>1867</v>
      </c>
      <c r="U277" s="104" t="str">
        <f t="shared" ref="U277:U278" si="211">"item_bg_grade_0"&amp;L277</f>
        <v>item_bg_grade_04</v>
      </c>
      <c r="V277" s="20" t="s">
        <v>322</v>
      </c>
      <c r="W277" s="20" t="s">
        <v>400</v>
      </c>
      <c r="X277" s="104">
        <v>0</v>
      </c>
      <c r="Y277" s="104">
        <v>0</v>
      </c>
      <c r="Z277" s="104">
        <v>0</v>
      </c>
      <c r="AA277" s="104">
        <v>0</v>
      </c>
      <c r="AB277" s="104">
        <v>0</v>
      </c>
      <c r="AC277" s="104">
        <v>0</v>
      </c>
      <c r="AD277" s="142">
        <v>0</v>
      </c>
      <c r="AE277" s="112">
        <f t="shared" si="184"/>
        <v>40</v>
      </c>
      <c r="AF277" s="70">
        <v>2403020</v>
      </c>
      <c r="AG277" s="105" cm="1">
        <f t="array" ref="AG277">_xlfn.SWITCH(L277,3,1,
           4,1,
           5,1,
           6,1,0)</f>
        <v>1</v>
      </c>
      <c r="AH277" s="146">
        <f t="shared" si="197"/>
        <v>80101401</v>
      </c>
      <c r="AI277" s="90">
        <v>6002</v>
      </c>
      <c r="AJ277" s="90">
        <v>3005</v>
      </c>
      <c r="AK277" s="27">
        <v>4003</v>
      </c>
      <c r="AL277" s="123">
        <f>_xlfn.XLOOKUP(H277,'#각종 참고'!$B$11:$B$20,'#각종 참고'!$D$11:$D$20)</f>
        <v>0</v>
      </c>
      <c r="AM277" s="27">
        <v>1</v>
      </c>
      <c r="AN277" s="27">
        <v>1</v>
      </c>
      <c r="AO277" s="124">
        <f t="shared" si="207"/>
        <v>1</v>
      </c>
      <c r="AP277" s="27">
        <v>1</v>
      </c>
      <c r="AQ277" s="21">
        <v>12143011</v>
      </c>
      <c r="AR277" s="21" t="s">
        <v>2407</v>
      </c>
      <c r="AS277" s="68"/>
      <c r="AT277" s="68"/>
      <c r="AU277" s="68"/>
    </row>
    <row r="278" spans="1:47" x14ac:dyDescent="0.3">
      <c r="A278" s="19"/>
      <c r="B278" s="109">
        <v>12143003</v>
      </c>
      <c r="C278" s="99" t="str">
        <f t="shared" si="210"/>
        <v>2</v>
      </c>
      <c r="D278" s="121">
        <f>COUNTIFS($F$33:F278,F278, $G$33:G278,G278, $C$33:C278,C278, $L$33:L278,L278)</f>
        <v>3</v>
      </c>
      <c r="E278" s="20">
        <v>1</v>
      </c>
      <c r="F278" s="20">
        <v>3</v>
      </c>
      <c r="G278" s="20">
        <v>1</v>
      </c>
      <c r="H278" s="103" t="s">
        <v>962</v>
      </c>
      <c r="I278" s="20" t="s">
        <v>1999</v>
      </c>
      <c r="J278" s="104" t="str">
        <f t="shared" si="177"/>
        <v>Item_Name_12143003</v>
      </c>
      <c r="K278" s="20">
        <v>10102001</v>
      </c>
      <c r="L278" s="107">
        <f t="shared" si="183"/>
        <v>4</v>
      </c>
      <c r="M278" s="105">
        <f>IF(D278=0, 0, _xlfn.XLOOKUP($F278,'#무게관련'!$B:$B,'#무게관련'!$C:$C)*_xlfn.XLOOKUP($L278,'#무게관련'!$F:$F,'#무게관련'!$G:$G)*100)</f>
        <v>10000</v>
      </c>
      <c r="N278" s="20">
        <v>20400</v>
      </c>
      <c r="O278" s="20">
        <v>2</v>
      </c>
      <c r="P278" s="20">
        <v>15</v>
      </c>
      <c r="Q278" s="20">
        <v>1</v>
      </c>
      <c r="R278" s="20">
        <v>100</v>
      </c>
      <c r="S278" s="20">
        <v>1</v>
      </c>
      <c r="T278" s="20" t="s">
        <v>1867</v>
      </c>
      <c r="U278" s="104" t="str">
        <f t="shared" si="211"/>
        <v>item_bg_grade_04</v>
      </c>
      <c r="V278" s="20" t="s">
        <v>322</v>
      </c>
      <c r="W278" s="20" t="s">
        <v>400</v>
      </c>
      <c r="X278" s="104">
        <v>0</v>
      </c>
      <c r="Y278" s="104">
        <v>0</v>
      </c>
      <c r="Z278" s="104">
        <v>0</v>
      </c>
      <c r="AA278" s="104">
        <v>0</v>
      </c>
      <c r="AB278" s="104">
        <v>0</v>
      </c>
      <c r="AC278" s="104">
        <v>0</v>
      </c>
      <c r="AD278" s="142">
        <v>0</v>
      </c>
      <c r="AE278" s="112">
        <f t="shared" si="184"/>
        <v>40</v>
      </c>
      <c r="AF278" s="70">
        <v>2403030</v>
      </c>
      <c r="AG278" s="105" cm="1">
        <f t="array" ref="AG278">_xlfn.SWITCH(L278,3,1,
           4,1,
           5,1,
           6,1,0)</f>
        <v>1</v>
      </c>
      <c r="AH278" s="146">
        <f t="shared" si="197"/>
        <v>80101401</v>
      </c>
      <c r="AI278" s="90">
        <v>6002</v>
      </c>
      <c r="AJ278" s="90">
        <v>3005</v>
      </c>
      <c r="AK278" s="27">
        <v>4003</v>
      </c>
      <c r="AL278" s="123">
        <f>_xlfn.XLOOKUP(H278,'#각종 참고'!$B$11:$B$20,'#각종 참고'!$D$11:$D$20)</f>
        <v>0</v>
      </c>
      <c r="AM278" s="27">
        <v>1</v>
      </c>
      <c r="AN278" s="27">
        <v>1</v>
      </c>
      <c r="AO278" s="124">
        <f t="shared" si="207"/>
        <v>1</v>
      </c>
      <c r="AP278" s="27">
        <v>1</v>
      </c>
      <c r="AQ278" s="21">
        <v>12143021</v>
      </c>
      <c r="AR278" s="21" t="s">
        <v>2408</v>
      </c>
      <c r="AS278" s="68"/>
      <c r="AT278" s="68"/>
      <c r="AU278" s="68"/>
    </row>
    <row r="279" spans="1:47" x14ac:dyDescent="0.3">
      <c r="A279" s="19"/>
      <c r="B279" s="109">
        <v>12153001</v>
      </c>
      <c r="C279" s="99" t="str">
        <f t="shared" ref="C279:C282" si="212">IF(K279&gt;0,MID(K279,5, 1), 0)</f>
        <v>2</v>
      </c>
      <c r="D279" s="121">
        <f>COUNTIFS($F$33:F279,F279, $G$33:G279,G279, $C$33:C279,C279, $L$33:L279,L279)</f>
        <v>1</v>
      </c>
      <c r="E279" s="20">
        <v>1</v>
      </c>
      <c r="F279" s="20">
        <v>3</v>
      </c>
      <c r="G279" s="20">
        <v>1</v>
      </c>
      <c r="H279" s="103" t="s">
        <v>962</v>
      </c>
      <c r="I279" s="20" t="s">
        <v>1684</v>
      </c>
      <c r="J279" s="104" t="str">
        <f t="shared" si="177"/>
        <v>Item_Name_12153001</v>
      </c>
      <c r="K279" s="20">
        <v>10102001</v>
      </c>
      <c r="L279" s="107">
        <f t="shared" si="183"/>
        <v>5</v>
      </c>
      <c r="M279" s="105">
        <f>IF(D279=0, 0, _xlfn.XLOOKUP($F279,'#무게관련'!$B:$B,'#무게관련'!$C:$C)*_xlfn.XLOOKUP($L279,'#무게관련'!$F:$F,'#무게관련'!$G:$G)*100)</f>
        <v>10000</v>
      </c>
      <c r="N279" s="20">
        <v>20400</v>
      </c>
      <c r="O279" s="20">
        <v>2</v>
      </c>
      <c r="P279" s="20">
        <v>15</v>
      </c>
      <c r="Q279" s="20">
        <v>1</v>
      </c>
      <c r="R279" s="20">
        <v>100</v>
      </c>
      <c r="S279" s="20">
        <v>1</v>
      </c>
      <c r="T279" s="20" t="s">
        <v>1868</v>
      </c>
      <c r="U279" s="104" t="str">
        <f t="shared" si="117"/>
        <v>item_bg_grade_05</v>
      </c>
      <c r="V279" s="20" t="s">
        <v>322</v>
      </c>
      <c r="W279" s="20" t="s">
        <v>400</v>
      </c>
      <c r="X279" s="104">
        <v>0</v>
      </c>
      <c r="Y279" s="104">
        <v>0</v>
      </c>
      <c r="Z279" s="104">
        <v>0</v>
      </c>
      <c r="AA279" s="104">
        <v>0</v>
      </c>
      <c r="AB279" s="104">
        <v>0</v>
      </c>
      <c r="AC279" s="104">
        <v>0</v>
      </c>
      <c r="AD279" s="142">
        <v>0</v>
      </c>
      <c r="AE279" s="112">
        <f t="shared" si="184"/>
        <v>50</v>
      </c>
      <c r="AF279" s="70">
        <v>2503010</v>
      </c>
      <c r="AG279" s="105" cm="1">
        <f t="array" ref="AG279">_xlfn.SWITCH(L279,3,1,
           4,1,
           5,1,
           6,1,0)</f>
        <v>1</v>
      </c>
      <c r="AH279" s="146">
        <f t="shared" si="197"/>
        <v>80101501</v>
      </c>
      <c r="AI279" s="90">
        <v>6003</v>
      </c>
      <c r="AJ279" s="90">
        <v>3007</v>
      </c>
      <c r="AK279" s="27">
        <v>5003</v>
      </c>
      <c r="AL279" s="123">
        <f>_xlfn.XLOOKUP(H279,'#각종 참고'!$B$11:$B$20,'#각종 참고'!$D$11:$D$20)</f>
        <v>0</v>
      </c>
      <c r="AM279" s="27">
        <v>1</v>
      </c>
      <c r="AN279" s="27">
        <v>1</v>
      </c>
      <c r="AO279" s="124">
        <f t="shared" si="207"/>
        <v>1</v>
      </c>
      <c r="AP279" s="27">
        <v>1</v>
      </c>
      <c r="AQ279" s="21">
        <v>12153001</v>
      </c>
      <c r="AR279" s="21" t="s">
        <v>1684</v>
      </c>
      <c r="AS279" s="68"/>
      <c r="AT279" s="68"/>
      <c r="AU279" s="68"/>
    </row>
    <row r="280" spans="1:47" x14ac:dyDescent="0.3">
      <c r="A280" s="19"/>
      <c r="B280" s="109">
        <v>12153002</v>
      </c>
      <c r="C280" s="99" t="str">
        <f t="shared" ref="C280:C281" si="213">IF(K280&gt;0,MID(K280,5, 1), 0)</f>
        <v>2</v>
      </c>
      <c r="D280" s="121">
        <f>COUNTIFS($F$33:F280,F280, $G$33:G280,G280, $C$33:C280,C280, $L$33:L280,L280)</f>
        <v>2</v>
      </c>
      <c r="E280" s="20">
        <v>1</v>
      </c>
      <c r="F280" s="20">
        <v>3</v>
      </c>
      <c r="G280" s="20">
        <v>1</v>
      </c>
      <c r="H280" s="103" t="s">
        <v>962</v>
      </c>
      <c r="I280" s="20" t="s">
        <v>2119</v>
      </c>
      <c r="J280" s="104" t="str">
        <f t="shared" si="177"/>
        <v>Item_Name_12153002</v>
      </c>
      <c r="K280" s="20">
        <v>10102001</v>
      </c>
      <c r="L280" s="107">
        <f t="shared" si="183"/>
        <v>5</v>
      </c>
      <c r="M280" s="105">
        <f>IF(D280=0, 0, _xlfn.XLOOKUP($F280,'#무게관련'!$B:$B,'#무게관련'!$C:$C)*_xlfn.XLOOKUP($L280,'#무게관련'!$F:$F,'#무게관련'!$G:$G)*100)</f>
        <v>10000</v>
      </c>
      <c r="N280" s="20">
        <v>20400</v>
      </c>
      <c r="O280" s="20">
        <v>2</v>
      </c>
      <c r="P280" s="20">
        <v>15</v>
      </c>
      <c r="Q280" s="20">
        <v>1</v>
      </c>
      <c r="R280" s="20">
        <v>100</v>
      </c>
      <c r="S280" s="20">
        <v>1</v>
      </c>
      <c r="T280" s="20" t="s">
        <v>1868</v>
      </c>
      <c r="U280" s="104" t="str">
        <f t="shared" ref="U280:U281" si="214">"item_bg_grade_0"&amp;L280</f>
        <v>item_bg_grade_05</v>
      </c>
      <c r="V280" s="20" t="s">
        <v>322</v>
      </c>
      <c r="W280" s="20" t="s">
        <v>400</v>
      </c>
      <c r="X280" s="104">
        <v>0</v>
      </c>
      <c r="Y280" s="104">
        <v>0</v>
      </c>
      <c r="Z280" s="104">
        <v>0</v>
      </c>
      <c r="AA280" s="104">
        <v>0</v>
      </c>
      <c r="AB280" s="104">
        <v>0</v>
      </c>
      <c r="AC280" s="104">
        <v>0</v>
      </c>
      <c r="AD280" s="142">
        <v>0</v>
      </c>
      <c r="AE280" s="112">
        <f t="shared" si="184"/>
        <v>50</v>
      </c>
      <c r="AF280" s="70">
        <v>2503020</v>
      </c>
      <c r="AG280" s="105" cm="1">
        <f t="array" ref="AG280">_xlfn.SWITCH(L280,3,1,
           4,1,
           5,1,
           6,1,0)</f>
        <v>1</v>
      </c>
      <c r="AH280" s="146">
        <f t="shared" si="197"/>
        <v>80101501</v>
      </c>
      <c r="AI280" s="90">
        <v>6003</v>
      </c>
      <c r="AJ280" s="90">
        <v>3007</v>
      </c>
      <c r="AK280" s="27">
        <v>5003</v>
      </c>
      <c r="AL280" s="123">
        <f>_xlfn.XLOOKUP(H280,'#각종 참고'!$B$11:$B$20,'#각종 참고'!$D$11:$D$20)</f>
        <v>0</v>
      </c>
      <c r="AM280" s="27">
        <v>1</v>
      </c>
      <c r="AN280" s="27">
        <v>1</v>
      </c>
      <c r="AO280" s="124">
        <f t="shared" si="207"/>
        <v>1</v>
      </c>
      <c r="AP280" s="27">
        <v>1</v>
      </c>
      <c r="AQ280" s="21">
        <v>12153011</v>
      </c>
      <c r="AR280" s="21" t="s">
        <v>2409</v>
      </c>
      <c r="AS280" s="68"/>
      <c r="AT280" s="68"/>
      <c r="AU280" s="68"/>
    </row>
    <row r="281" spans="1:47" x14ac:dyDescent="0.3">
      <c r="A281" s="19"/>
      <c r="B281" s="109">
        <v>12153003</v>
      </c>
      <c r="C281" s="99" t="str">
        <f t="shared" si="213"/>
        <v>2</v>
      </c>
      <c r="D281" s="121">
        <f>COUNTIFS($F$33:F281,F281, $G$33:G281,G281, $C$33:C281,C281, $L$33:L281,L281)</f>
        <v>3</v>
      </c>
      <c r="E281" s="20">
        <v>1</v>
      </c>
      <c r="F281" s="20">
        <v>3</v>
      </c>
      <c r="G281" s="20">
        <v>1</v>
      </c>
      <c r="H281" s="103" t="s">
        <v>962</v>
      </c>
      <c r="I281" s="20" t="s">
        <v>1685</v>
      </c>
      <c r="J281" s="104" t="str">
        <f t="shared" si="177"/>
        <v>Item_Name_12153003</v>
      </c>
      <c r="K281" s="20">
        <v>10102001</v>
      </c>
      <c r="L281" s="107">
        <f t="shared" si="183"/>
        <v>5</v>
      </c>
      <c r="M281" s="105">
        <f>IF(D281=0, 0, _xlfn.XLOOKUP($F281,'#무게관련'!$B:$B,'#무게관련'!$C:$C)*_xlfn.XLOOKUP($L281,'#무게관련'!$F:$F,'#무게관련'!$G:$G)*100)</f>
        <v>10000</v>
      </c>
      <c r="N281" s="20">
        <v>20400</v>
      </c>
      <c r="O281" s="20">
        <v>2</v>
      </c>
      <c r="P281" s="20">
        <v>15</v>
      </c>
      <c r="Q281" s="20">
        <v>1</v>
      </c>
      <c r="R281" s="20">
        <v>100</v>
      </c>
      <c r="S281" s="20">
        <v>1</v>
      </c>
      <c r="T281" s="20" t="s">
        <v>1868</v>
      </c>
      <c r="U281" s="104" t="str">
        <f t="shared" si="214"/>
        <v>item_bg_grade_05</v>
      </c>
      <c r="V281" s="20" t="s">
        <v>322</v>
      </c>
      <c r="W281" s="20" t="s">
        <v>400</v>
      </c>
      <c r="X281" s="104">
        <v>0</v>
      </c>
      <c r="Y281" s="104">
        <v>0</v>
      </c>
      <c r="Z281" s="104">
        <v>0</v>
      </c>
      <c r="AA281" s="104">
        <v>0</v>
      </c>
      <c r="AB281" s="104">
        <v>0</v>
      </c>
      <c r="AC281" s="104">
        <v>0</v>
      </c>
      <c r="AD281" s="142">
        <v>0</v>
      </c>
      <c r="AE281" s="112">
        <f t="shared" si="184"/>
        <v>50</v>
      </c>
      <c r="AF281" s="70">
        <v>2503030</v>
      </c>
      <c r="AG281" s="105" cm="1">
        <f t="array" ref="AG281">_xlfn.SWITCH(L281,3,1,
           4,1,
           5,1,
           6,1,0)</f>
        <v>1</v>
      </c>
      <c r="AH281" s="146">
        <f t="shared" si="197"/>
        <v>80101501</v>
      </c>
      <c r="AI281" s="90">
        <v>6003</v>
      </c>
      <c r="AJ281" s="90">
        <v>3007</v>
      </c>
      <c r="AK281" s="27">
        <v>5003</v>
      </c>
      <c r="AL281" s="123">
        <f>_xlfn.XLOOKUP(H281,'#각종 참고'!$B$11:$B$20,'#각종 참고'!$D$11:$D$20)</f>
        <v>0</v>
      </c>
      <c r="AM281" s="27">
        <v>1</v>
      </c>
      <c r="AN281" s="27">
        <v>1</v>
      </c>
      <c r="AO281" s="124">
        <f t="shared" si="207"/>
        <v>1</v>
      </c>
      <c r="AP281" s="27">
        <v>1</v>
      </c>
      <c r="AQ281" s="21">
        <v>12153021</v>
      </c>
      <c r="AR281" s="21" t="s">
        <v>2410</v>
      </c>
      <c r="AS281" s="68"/>
      <c r="AT281" s="68"/>
      <c r="AU281" s="68"/>
    </row>
    <row r="282" spans="1:47" x14ac:dyDescent="0.3">
      <c r="A282" s="19"/>
      <c r="B282" s="109">
        <v>12163001</v>
      </c>
      <c r="C282" s="99" t="str">
        <f t="shared" si="212"/>
        <v>2</v>
      </c>
      <c r="D282" s="121">
        <f>COUNTIFS($F$33:F282,F282, $G$33:G282,G282, $C$33:C282,C282, $L$33:L282,L282)</f>
        <v>1</v>
      </c>
      <c r="E282" s="20">
        <v>1</v>
      </c>
      <c r="F282" s="20">
        <v>3</v>
      </c>
      <c r="G282" s="20">
        <v>1</v>
      </c>
      <c r="H282" s="103" t="s">
        <v>962</v>
      </c>
      <c r="I282" s="20" t="s">
        <v>1686</v>
      </c>
      <c r="J282" s="104" t="str">
        <f t="shared" si="177"/>
        <v>Item_Name_12163001</v>
      </c>
      <c r="K282" s="20">
        <v>10102001</v>
      </c>
      <c r="L282" s="107">
        <f t="shared" si="183"/>
        <v>6</v>
      </c>
      <c r="M282" s="105">
        <f>IF(D282=0, 0, _xlfn.XLOOKUP($F282,'#무게관련'!$B:$B,'#무게관련'!$C:$C)*_xlfn.XLOOKUP($L282,'#무게관련'!$F:$F,'#무게관련'!$G:$G)*100)</f>
        <v>10000</v>
      </c>
      <c r="N282" s="20">
        <v>20400</v>
      </c>
      <c r="O282" s="20">
        <v>2</v>
      </c>
      <c r="P282" s="20">
        <v>15</v>
      </c>
      <c r="Q282" s="20">
        <v>1</v>
      </c>
      <c r="R282" s="20">
        <v>100</v>
      </c>
      <c r="S282" s="20">
        <v>1</v>
      </c>
      <c r="T282" s="109" t="s">
        <v>1868</v>
      </c>
      <c r="U282" s="104" t="str">
        <f t="shared" si="117"/>
        <v>item_bg_grade_06</v>
      </c>
      <c r="V282" s="20" t="s">
        <v>322</v>
      </c>
      <c r="W282" s="20" t="s">
        <v>400</v>
      </c>
      <c r="X282" s="104">
        <v>0</v>
      </c>
      <c r="Y282" s="104">
        <v>0</v>
      </c>
      <c r="Z282" s="104">
        <v>0</v>
      </c>
      <c r="AA282" s="104">
        <v>0</v>
      </c>
      <c r="AB282" s="104">
        <v>0</v>
      </c>
      <c r="AC282" s="104">
        <v>0</v>
      </c>
      <c r="AD282" s="142">
        <v>0</v>
      </c>
      <c r="AE282" s="112">
        <f t="shared" si="184"/>
        <v>70</v>
      </c>
      <c r="AF282" s="70">
        <v>2603010</v>
      </c>
      <c r="AG282" s="105" cm="1">
        <f t="array" ref="AG282">_xlfn.SWITCH(L282,3,1,
           4,1,
           5,1,
           6,1,0)</f>
        <v>1</v>
      </c>
      <c r="AH282" s="146">
        <f t="shared" si="197"/>
        <v>0</v>
      </c>
      <c r="AI282" s="90">
        <v>6004</v>
      </c>
      <c r="AJ282" s="90">
        <v>3009</v>
      </c>
      <c r="AK282" s="27">
        <v>6003</v>
      </c>
      <c r="AL282" s="123">
        <f>_xlfn.XLOOKUP(H282,'#각종 참고'!$B$11:$B$20,'#각종 참고'!$D$11:$D$20)</f>
        <v>0</v>
      </c>
      <c r="AM282" s="27">
        <v>1</v>
      </c>
      <c r="AN282" s="27">
        <v>1</v>
      </c>
      <c r="AO282" s="124">
        <f t="shared" si="207"/>
        <v>1</v>
      </c>
      <c r="AP282" s="27">
        <v>1</v>
      </c>
      <c r="AQ282" s="21">
        <v>12163001</v>
      </c>
      <c r="AR282" s="21" t="s">
        <v>1686</v>
      </c>
      <c r="AS282" s="68"/>
      <c r="AT282" s="68"/>
      <c r="AU282" s="68"/>
    </row>
    <row r="283" spans="1:47" x14ac:dyDescent="0.3">
      <c r="A283" s="19" t="s">
        <v>513</v>
      </c>
      <c r="B283" s="109">
        <v>12163002</v>
      </c>
      <c r="C283" s="99" t="str">
        <f t="shared" ref="C283:C284" si="215">IF(K283&gt;0,MID(K283,5, 1), 0)</f>
        <v>2</v>
      </c>
      <c r="D283" s="121">
        <f>COUNTIFS($F$33:F283,F283, $G$33:G283,G283, $C$33:C283,C283, $L$33:L283,L283)</f>
        <v>2</v>
      </c>
      <c r="E283" s="20">
        <v>1</v>
      </c>
      <c r="F283" s="20">
        <v>3</v>
      </c>
      <c r="G283" s="20">
        <v>1</v>
      </c>
      <c r="H283" s="103" t="s">
        <v>962</v>
      </c>
      <c r="I283" s="20" t="s">
        <v>2121</v>
      </c>
      <c r="J283" s="104" t="str">
        <f t="shared" si="177"/>
        <v>Item_Name_12163002</v>
      </c>
      <c r="K283" s="20">
        <v>10102001</v>
      </c>
      <c r="L283" s="107">
        <f t="shared" si="183"/>
        <v>6</v>
      </c>
      <c r="M283" s="105">
        <f>IF(D283=0, 0, _xlfn.XLOOKUP($F283,'#무게관련'!$B:$B,'#무게관련'!$C:$C)*_xlfn.XLOOKUP($L283,'#무게관련'!$F:$F,'#무게관련'!$G:$G)*100)</f>
        <v>10000</v>
      </c>
      <c r="N283" s="20">
        <v>20400</v>
      </c>
      <c r="O283" s="20">
        <v>2</v>
      </c>
      <c r="P283" s="20">
        <v>15</v>
      </c>
      <c r="Q283" s="20">
        <v>1</v>
      </c>
      <c r="R283" s="20">
        <v>100</v>
      </c>
      <c r="S283" s="20">
        <v>1</v>
      </c>
      <c r="T283" s="109" t="s">
        <v>1868</v>
      </c>
      <c r="U283" s="104" t="str">
        <f t="shared" ref="U283:U284" si="216">"item_bg_grade_0"&amp;L283</f>
        <v>item_bg_grade_06</v>
      </c>
      <c r="V283" s="20" t="s">
        <v>322</v>
      </c>
      <c r="W283" s="20" t="s">
        <v>400</v>
      </c>
      <c r="X283" s="104">
        <v>0</v>
      </c>
      <c r="Y283" s="104">
        <v>0</v>
      </c>
      <c r="Z283" s="104">
        <v>0</v>
      </c>
      <c r="AA283" s="104">
        <v>0</v>
      </c>
      <c r="AB283" s="104">
        <v>0</v>
      </c>
      <c r="AC283" s="104">
        <v>0</v>
      </c>
      <c r="AD283" s="142">
        <v>0</v>
      </c>
      <c r="AE283" s="112">
        <f t="shared" si="184"/>
        <v>70</v>
      </c>
      <c r="AF283" s="70">
        <v>2603010</v>
      </c>
      <c r="AG283" s="105" cm="1">
        <f t="array" ref="AG283">_xlfn.SWITCH(L283,3,1,
           4,1,
           5,1,
           6,1,0)</f>
        <v>1</v>
      </c>
      <c r="AH283" s="146">
        <f t="shared" si="197"/>
        <v>0</v>
      </c>
      <c r="AI283" s="90">
        <v>6004</v>
      </c>
      <c r="AJ283" s="90">
        <v>3009</v>
      </c>
      <c r="AK283" s="27">
        <v>6003</v>
      </c>
      <c r="AL283" s="123">
        <f>_xlfn.XLOOKUP(H283,'#각종 참고'!$B$11:$B$20,'#각종 참고'!$D$11:$D$20)</f>
        <v>0</v>
      </c>
      <c r="AM283" s="27">
        <v>1</v>
      </c>
      <c r="AN283" s="27">
        <v>1</v>
      </c>
      <c r="AO283" s="124">
        <f t="shared" si="207"/>
        <v>1</v>
      </c>
      <c r="AP283" s="27">
        <v>1</v>
      </c>
      <c r="AQ283" s="21">
        <v>12163011</v>
      </c>
      <c r="AR283" s="21" t="s">
        <v>2411</v>
      </c>
      <c r="AS283" s="68"/>
      <c r="AT283" s="68"/>
      <c r="AU283" s="68"/>
    </row>
    <row r="284" spans="1:47" x14ac:dyDescent="0.3">
      <c r="A284" s="19" t="s">
        <v>513</v>
      </c>
      <c r="B284" s="109">
        <v>12163003</v>
      </c>
      <c r="C284" s="99" t="str">
        <f t="shared" si="215"/>
        <v>2</v>
      </c>
      <c r="D284" s="121">
        <f>COUNTIFS($F$33:F284,F284, $G$33:G284,G284, $C$33:C284,C284, $L$33:L284,L284)</f>
        <v>3</v>
      </c>
      <c r="E284" s="20">
        <v>1</v>
      </c>
      <c r="F284" s="20">
        <v>3</v>
      </c>
      <c r="G284" s="20">
        <v>1</v>
      </c>
      <c r="H284" s="103" t="s">
        <v>962</v>
      </c>
      <c r="I284" s="20" t="s">
        <v>2120</v>
      </c>
      <c r="J284" s="104" t="str">
        <f t="shared" si="177"/>
        <v>Item_Name_12163003</v>
      </c>
      <c r="K284" s="20">
        <v>10102001</v>
      </c>
      <c r="L284" s="107">
        <f t="shared" si="183"/>
        <v>6</v>
      </c>
      <c r="M284" s="105">
        <f>IF(D284=0, 0, _xlfn.XLOOKUP($F284,'#무게관련'!$B:$B,'#무게관련'!$C:$C)*_xlfn.XLOOKUP($L284,'#무게관련'!$F:$F,'#무게관련'!$G:$G)*100)</f>
        <v>10000</v>
      </c>
      <c r="N284" s="20">
        <v>20400</v>
      </c>
      <c r="O284" s="20">
        <v>2</v>
      </c>
      <c r="P284" s="20">
        <v>15</v>
      </c>
      <c r="Q284" s="20">
        <v>1</v>
      </c>
      <c r="R284" s="20">
        <v>100</v>
      </c>
      <c r="S284" s="20">
        <v>1</v>
      </c>
      <c r="T284" s="109" t="s">
        <v>1868</v>
      </c>
      <c r="U284" s="104" t="str">
        <f t="shared" si="216"/>
        <v>item_bg_grade_06</v>
      </c>
      <c r="V284" s="20" t="s">
        <v>322</v>
      </c>
      <c r="W284" s="20" t="s">
        <v>400</v>
      </c>
      <c r="X284" s="104">
        <v>0</v>
      </c>
      <c r="Y284" s="104">
        <v>0</v>
      </c>
      <c r="Z284" s="104">
        <v>0</v>
      </c>
      <c r="AA284" s="104">
        <v>0</v>
      </c>
      <c r="AB284" s="104">
        <v>0</v>
      </c>
      <c r="AC284" s="104">
        <v>0</v>
      </c>
      <c r="AD284" s="142">
        <v>0</v>
      </c>
      <c r="AE284" s="112">
        <f t="shared" si="184"/>
        <v>70</v>
      </c>
      <c r="AF284" s="70">
        <v>2603010</v>
      </c>
      <c r="AG284" s="105" cm="1">
        <f t="array" ref="AG284">_xlfn.SWITCH(L284,3,1,
           4,1,
           5,1,
           6,1,0)</f>
        <v>1</v>
      </c>
      <c r="AH284" s="146">
        <f t="shared" si="197"/>
        <v>0</v>
      </c>
      <c r="AI284" s="90">
        <v>6004</v>
      </c>
      <c r="AJ284" s="90">
        <v>3009</v>
      </c>
      <c r="AK284" s="27">
        <v>6003</v>
      </c>
      <c r="AL284" s="123">
        <f>_xlfn.XLOOKUP(H284,'#각종 참고'!$B$11:$B$20,'#각종 참고'!$D$11:$D$20)</f>
        <v>0</v>
      </c>
      <c r="AM284" s="27">
        <v>1</v>
      </c>
      <c r="AN284" s="27">
        <v>1</v>
      </c>
      <c r="AO284" s="124">
        <f t="shared" si="207"/>
        <v>1</v>
      </c>
      <c r="AP284" s="27">
        <v>1</v>
      </c>
      <c r="AQ284" s="21">
        <v>12163021</v>
      </c>
      <c r="AR284" s="21" t="s">
        <v>2412</v>
      </c>
      <c r="AS284" s="68"/>
      <c r="AT284" s="68"/>
      <c r="AU284" s="68"/>
    </row>
    <row r="285" spans="1:47" s="68" customFormat="1" x14ac:dyDescent="0.3">
      <c r="A285" s="65"/>
      <c r="B285" s="110">
        <v>13113001</v>
      </c>
      <c r="C285" s="99" t="str">
        <f t="shared" si="1"/>
        <v>3</v>
      </c>
      <c r="D285" s="120">
        <f>COUNTIFS($F$33:F285,F285, $G$33:G285,G285, $C$33:C285,C285, $L$33:L285,L285)</f>
        <v>1</v>
      </c>
      <c r="E285" s="20">
        <v>1</v>
      </c>
      <c r="F285" s="66">
        <v>3</v>
      </c>
      <c r="G285" s="66">
        <v>1</v>
      </c>
      <c r="H285" s="103" t="s">
        <v>962</v>
      </c>
      <c r="I285" s="66" t="s">
        <v>1687</v>
      </c>
      <c r="J285" s="104" t="str">
        <f t="shared" si="177"/>
        <v>Item_Name_13113001</v>
      </c>
      <c r="K285" s="66">
        <v>10103001</v>
      </c>
      <c r="L285" s="106">
        <f t="shared" si="183"/>
        <v>1</v>
      </c>
      <c r="M285" s="105">
        <f>IF(D285=0, 0, _xlfn.XLOOKUP($F285,'#무게관련'!$B:$B,'#무게관련'!$C:$C)*_xlfn.XLOOKUP($L285,'#무게관련'!$F:$F,'#무게관련'!$G:$G)*100)</f>
        <v>10000</v>
      </c>
      <c r="N285" s="20">
        <v>20400</v>
      </c>
      <c r="O285" s="20">
        <v>3</v>
      </c>
      <c r="P285" s="66">
        <v>15</v>
      </c>
      <c r="Q285" s="20">
        <v>1</v>
      </c>
      <c r="R285" s="66">
        <v>100</v>
      </c>
      <c r="S285" s="66">
        <v>1</v>
      </c>
      <c r="T285" s="66" t="s">
        <v>1864</v>
      </c>
      <c r="U285" s="104" t="str">
        <f t="shared" si="117"/>
        <v>item_bg_grade_01</v>
      </c>
      <c r="V285" s="66" t="s">
        <v>322</v>
      </c>
      <c r="W285" s="66" t="s">
        <v>400</v>
      </c>
      <c r="X285" s="104">
        <v>0</v>
      </c>
      <c r="Y285" s="104">
        <v>0</v>
      </c>
      <c r="Z285" s="104">
        <v>0</v>
      </c>
      <c r="AA285" s="104">
        <v>0</v>
      </c>
      <c r="AB285" s="104">
        <v>0</v>
      </c>
      <c r="AC285" s="104">
        <v>0</v>
      </c>
      <c r="AD285" s="142">
        <v>0</v>
      </c>
      <c r="AE285" s="111">
        <f t="shared" si="184"/>
        <v>10</v>
      </c>
      <c r="AF285" s="70">
        <v>3103010</v>
      </c>
      <c r="AG285" s="105" cm="1">
        <f t="array" ref="AG285">_xlfn.SWITCH(L285,3,1,
           4,1,
           5,1,
           6,1,0)</f>
        <v>0</v>
      </c>
      <c r="AH285" s="146">
        <f t="shared" si="197"/>
        <v>80101101</v>
      </c>
      <c r="AI285" s="90">
        <v>0</v>
      </c>
      <c r="AJ285" s="90">
        <v>0</v>
      </c>
      <c r="AK285" s="27">
        <v>0</v>
      </c>
      <c r="AL285" s="123">
        <f>_xlfn.XLOOKUP(H285,'#각종 참고'!$B$11:$B$20,'#각종 참고'!$D$11:$D$20)</f>
        <v>0</v>
      </c>
      <c r="AM285" s="27">
        <v>1</v>
      </c>
      <c r="AN285" s="27">
        <v>1</v>
      </c>
      <c r="AO285" s="124">
        <f t="shared" si="207"/>
        <v>1</v>
      </c>
      <c r="AP285" s="27">
        <v>1</v>
      </c>
      <c r="AQ285" s="21">
        <v>13113001</v>
      </c>
      <c r="AR285" s="68" t="s">
        <v>1687</v>
      </c>
    </row>
    <row r="286" spans="1:47" s="68" customFormat="1" x14ac:dyDescent="0.3">
      <c r="A286" s="65"/>
      <c r="B286" s="110">
        <v>13113002</v>
      </c>
      <c r="C286" s="99" t="str">
        <f t="shared" ref="C286:C287" si="217">IF(K286&gt;0,MID(K286,5, 1), 0)</f>
        <v>3</v>
      </c>
      <c r="D286" s="120">
        <f>COUNTIFS($F$33:F286,F286, $G$33:G286,G286, $C$33:C286,C286, $L$33:L286,L286)</f>
        <v>2</v>
      </c>
      <c r="E286" s="20">
        <v>1</v>
      </c>
      <c r="F286" s="66">
        <v>3</v>
      </c>
      <c r="G286" s="66">
        <v>1</v>
      </c>
      <c r="H286" s="103" t="s">
        <v>962</v>
      </c>
      <c r="I286" s="66" t="s">
        <v>2123</v>
      </c>
      <c r="J286" s="104" t="str">
        <f t="shared" si="177"/>
        <v>Item_Name_13113002</v>
      </c>
      <c r="K286" s="66">
        <v>10103001</v>
      </c>
      <c r="L286" s="106">
        <f t="shared" si="183"/>
        <v>1</v>
      </c>
      <c r="M286" s="105">
        <f>IF(D286=0, 0, _xlfn.XLOOKUP($F286,'#무게관련'!$B:$B,'#무게관련'!$C:$C)*_xlfn.XLOOKUP($L286,'#무게관련'!$F:$F,'#무게관련'!$G:$G)*100)</f>
        <v>10000</v>
      </c>
      <c r="N286" s="20">
        <v>20400</v>
      </c>
      <c r="O286" s="20">
        <v>3</v>
      </c>
      <c r="P286" s="66">
        <v>15</v>
      </c>
      <c r="Q286" s="20">
        <v>1</v>
      </c>
      <c r="R286" s="66">
        <v>100</v>
      </c>
      <c r="S286" s="66">
        <v>1</v>
      </c>
      <c r="T286" s="66" t="s">
        <v>1864</v>
      </c>
      <c r="U286" s="104" t="str">
        <f t="shared" ref="U286:U287" si="218">"item_bg_grade_0"&amp;L286</f>
        <v>item_bg_grade_01</v>
      </c>
      <c r="V286" s="66" t="s">
        <v>322</v>
      </c>
      <c r="W286" s="66" t="s">
        <v>400</v>
      </c>
      <c r="X286" s="104">
        <v>0</v>
      </c>
      <c r="Y286" s="104">
        <v>0</v>
      </c>
      <c r="Z286" s="104">
        <v>0</v>
      </c>
      <c r="AA286" s="104">
        <v>0</v>
      </c>
      <c r="AB286" s="104">
        <v>0</v>
      </c>
      <c r="AC286" s="104">
        <v>0</v>
      </c>
      <c r="AD286" s="142">
        <v>0</v>
      </c>
      <c r="AE286" s="111">
        <f t="shared" si="184"/>
        <v>10</v>
      </c>
      <c r="AF286" s="70">
        <v>3103020</v>
      </c>
      <c r="AG286" s="105" cm="1">
        <f t="array" ref="AG286">_xlfn.SWITCH(L286,3,1,
           4,1,
           5,1,
           6,1,0)</f>
        <v>0</v>
      </c>
      <c r="AH286" s="146">
        <f t="shared" si="197"/>
        <v>80101101</v>
      </c>
      <c r="AI286" s="90">
        <v>0</v>
      </c>
      <c r="AJ286" s="90">
        <v>0</v>
      </c>
      <c r="AK286" s="27">
        <v>0</v>
      </c>
      <c r="AL286" s="123">
        <f>_xlfn.XLOOKUP(H286,'#각종 참고'!$B$11:$B$20,'#각종 참고'!$D$11:$D$20)</f>
        <v>0</v>
      </c>
      <c r="AM286" s="27">
        <v>1</v>
      </c>
      <c r="AN286" s="27">
        <v>1</v>
      </c>
      <c r="AO286" s="124">
        <f t="shared" si="207"/>
        <v>1</v>
      </c>
      <c r="AP286" s="27">
        <v>1</v>
      </c>
      <c r="AQ286" s="21">
        <v>13113011</v>
      </c>
      <c r="AR286" s="68" t="s">
        <v>2413</v>
      </c>
    </row>
    <row r="287" spans="1:47" s="68" customFormat="1" x14ac:dyDescent="0.3">
      <c r="A287" s="65"/>
      <c r="B287" s="110">
        <v>13113003</v>
      </c>
      <c r="C287" s="99" t="str">
        <f t="shared" si="217"/>
        <v>3</v>
      </c>
      <c r="D287" s="120">
        <f>COUNTIFS($F$33:F287,F287, $G$33:G287,G287, $C$33:C287,C287, $L$33:L287,L287)</f>
        <v>3</v>
      </c>
      <c r="E287" s="20">
        <v>1</v>
      </c>
      <c r="F287" s="66">
        <v>3</v>
      </c>
      <c r="G287" s="66">
        <v>1</v>
      </c>
      <c r="H287" s="103" t="s">
        <v>962</v>
      </c>
      <c r="I287" s="66" t="s">
        <v>2122</v>
      </c>
      <c r="J287" s="104" t="str">
        <f t="shared" si="177"/>
        <v>Item_Name_13113003</v>
      </c>
      <c r="K287" s="66">
        <v>10103001</v>
      </c>
      <c r="L287" s="106">
        <f t="shared" si="183"/>
        <v>1</v>
      </c>
      <c r="M287" s="105">
        <f>IF(D287=0, 0, _xlfn.XLOOKUP($F287,'#무게관련'!$B:$B,'#무게관련'!$C:$C)*_xlfn.XLOOKUP($L287,'#무게관련'!$F:$F,'#무게관련'!$G:$G)*100)</f>
        <v>10000</v>
      </c>
      <c r="N287" s="20">
        <v>20400</v>
      </c>
      <c r="O287" s="20">
        <v>3</v>
      </c>
      <c r="P287" s="66">
        <v>15</v>
      </c>
      <c r="Q287" s="20">
        <v>1</v>
      </c>
      <c r="R287" s="66">
        <v>100</v>
      </c>
      <c r="S287" s="66">
        <v>1</v>
      </c>
      <c r="T287" s="66" t="s">
        <v>1864</v>
      </c>
      <c r="U287" s="104" t="str">
        <f t="shared" si="218"/>
        <v>item_bg_grade_01</v>
      </c>
      <c r="V287" s="66" t="s">
        <v>322</v>
      </c>
      <c r="W287" s="66" t="s">
        <v>400</v>
      </c>
      <c r="X287" s="104">
        <v>0</v>
      </c>
      <c r="Y287" s="104">
        <v>0</v>
      </c>
      <c r="Z287" s="104">
        <v>0</v>
      </c>
      <c r="AA287" s="104">
        <v>0</v>
      </c>
      <c r="AB287" s="104">
        <v>0</v>
      </c>
      <c r="AC287" s="104">
        <v>0</v>
      </c>
      <c r="AD287" s="142">
        <v>0</v>
      </c>
      <c r="AE287" s="111">
        <f t="shared" si="184"/>
        <v>10</v>
      </c>
      <c r="AF287" s="70">
        <v>3103030</v>
      </c>
      <c r="AG287" s="105" cm="1">
        <f t="array" ref="AG287">_xlfn.SWITCH(L287,3,1,
           4,1,
           5,1,
           6,1,0)</f>
        <v>0</v>
      </c>
      <c r="AH287" s="146">
        <f t="shared" si="197"/>
        <v>80101101</v>
      </c>
      <c r="AI287" s="90">
        <v>0</v>
      </c>
      <c r="AJ287" s="90">
        <v>0</v>
      </c>
      <c r="AK287" s="27">
        <v>0</v>
      </c>
      <c r="AL287" s="123">
        <f>_xlfn.XLOOKUP(H287,'#각종 참고'!$B$11:$B$20,'#각종 참고'!$D$11:$D$20)</f>
        <v>0</v>
      </c>
      <c r="AM287" s="27">
        <v>1</v>
      </c>
      <c r="AN287" s="27">
        <v>1</v>
      </c>
      <c r="AO287" s="124">
        <f t="shared" si="207"/>
        <v>1</v>
      </c>
      <c r="AP287" s="27">
        <v>1</v>
      </c>
      <c r="AQ287" s="21">
        <v>13113021</v>
      </c>
      <c r="AR287" s="68" t="s">
        <v>2414</v>
      </c>
    </row>
    <row r="288" spans="1:47" x14ac:dyDescent="0.3">
      <c r="A288" s="19"/>
      <c r="B288" s="109">
        <v>13123001</v>
      </c>
      <c r="C288" s="99" t="str">
        <f t="shared" si="1"/>
        <v>3</v>
      </c>
      <c r="D288" s="121">
        <f>COUNTIFS($F$33:F288,F288, $G$33:G288,G288, $C$33:C288,C288, $L$33:L288,L288)</f>
        <v>1</v>
      </c>
      <c r="E288" s="20">
        <v>1</v>
      </c>
      <c r="F288" s="20">
        <v>3</v>
      </c>
      <c r="G288" s="20">
        <v>1</v>
      </c>
      <c r="H288" s="103" t="s">
        <v>962</v>
      </c>
      <c r="I288" s="20" t="s">
        <v>1688</v>
      </c>
      <c r="J288" s="104" t="str">
        <f t="shared" si="177"/>
        <v>Item_Name_13123001</v>
      </c>
      <c r="K288" s="20">
        <v>10103001</v>
      </c>
      <c r="L288" s="108">
        <f t="shared" si="183"/>
        <v>2</v>
      </c>
      <c r="M288" s="105">
        <f>IF(D288=0, 0, _xlfn.XLOOKUP($F288,'#무게관련'!$B:$B,'#무게관련'!$C:$C)*_xlfn.XLOOKUP($L288,'#무게관련'!$F:$F,'#무게관련'!$G:$G)*100)</f>
        <v>10000</v>
      </c>
      <c r="N288" s="20">
        <v>20400</v>
      </c>
      <c r="O288" s="20">
        <v>3</v>
      </c>
      <c r="P288" s="20">
        <v>15</v>
      </c>
      <c r="Q288" s="20">
        <v>1</v>
      </c>
      <c r="R288" s="20">
        <v>100</v>
      </c>
      <c r="S288" s="20">
        <v>1</v>
      </c>
      <c r="T288" s="20" t="s">
        <v>1865</v>
      </c>
      <c r="U288" s="104" t="str">
        <f t="shared" si="117"/>
        <v>item_bg_grade_02</v>
      </c>
      <c r="V288" s="20" t="s">
        <v>322</v>
      </c>
      <c r="W288" s="20" t="s">
        <v>400</v>
      </c>
      <c r="X288" s="104">
        <v>0</v>
      </c>
      <c r="Y288" s="104">
        <v>0</v>
      </c>
      <c r="Z288" s="104">
        <v>0</v>
      </c>
      <c r="AA288" s="104">
        <v>0</v>
      </c>
      <c r="AB288" s="104">
        <v>0</v>
      </c>
      <c r="AC288" s="104">
        <v>0</v>
      </c>
      <c r="AD288" s="142">
        <v>0</v>
      </c>
      <c r="AE288" s="112">
        <f t="shared" si="184"/>
        <v>20</v>
      </c>
      <c r="AF288" s="70">
        <v>3203010</v>
      </c>
      <c r="AG288" s="105" cm="1">
        <f t="array" ref="AG288">_xlfn.SWITCH(L288,3,1,
           4,1,
           5,1,
           6,1,0)</f>
        <v>0</v>
      </c>
      <c r="AH288" s="146">
        <f t="shared" si="197"/>
        <v>80101201</v>
      </c>
      <c r="AI288" s="90">
        <v>6000</v>
      </c>
      <c r="AJ288" s="90">
        <v>3001</v>
      </c>
      <c r="AK288" s="27">
        <v>2003</v>
      </c>
      <c r="AL288" s="123">
        <f>_xlfn.XLOOKUP(H288,'#각종 참고'!$B$11:$B$20,'#각종 참고'!$D$11:$D$20)</f>
        <v>0</v>
      </c>
      <c r="AM288" s="27">
        <v>1</v>
      </c>
      <c r="AN288" s="27">
        <v>1</v>
      </c>
      <c r="AO288" s="124">
        <f t="shared" si="207"/>
        <v>1</v>
      </c>
      <c r="AP288" s="27">
        <v>1</v>
      </c>
      <c r="AQ288" s="21">
        <v>13123001</v>
      </c>
      <c r="AR288" s="21" t="s">
        <v>1688</v>
      </c>
      <c r="AS288" s="68"/>
      <c r="AT288" s="68"/>
      <c r="AU288" s="68"/>
    </row>
    <row r="289" spans="1:47" x14ac:dyDescent="0.3">
      <c r="A289" s="19"/>
      <c r="B289" s="109">
        <v>13123002</v>
      </c>
      <c r="C289" s="99" t="str">
        <f t="shared" ref="C289:C290" si="219">IF(K289&gt;0,MID(K289,5, 1), 0)</f>
        <v>3</v>
      </c>
      <c r="D289" s="121">
        <f>COUNTIFS($F$33:F289,F289, $G$33:G289,G289, $C$33:C289,C289, $L$33:L289,L289)</f>
        <v>2</v>
      </c>
      <c r="E289" s="20">
        <v>1</v>
      </c>
      <c r="F289" s="20">
        <v>3</v>
      </c>
      <c r="G289" s="20">
        <v>1</v>
      </c>
      <c r="H289" s="103" t="s">
        <v>962</v>
      </c>
      <c r="I289" s="20" t="s">
        <v>1690</v>
      </c>
      <c r="J289" s="104" t="str">
        <f t="shared" si="177"/>
        <v>Item_Name_13123002</v>
      </c>
      <c r="K289" s="20">
        <v>10103001</v>
      </c>
      <c r="L289" s="108">
        <f t="shared" si="183"/>
        <v>2</v>
      </c>
      <c r="M289" s="105">
        <f>IF(D289=0, 0, _xlfn.XLOOKUP($F289,'#무게관련'!$B:$B,'#무게관련'!$C:$C)*_xlfn.XLOOKUP($L289,'#무게관련'!$F:$F,'#무게관련'!$G:$G)*100)</f>
        <v>10000</v>
      </c>
      <c r="N289" s="20">
        <v>20400</v>
      </c>
      <c r="O289" s="20">
        <v>3</v>
      </c>
      <c r="P289" s="20">
        <v>15</v>
      </c>
      <c r="Q289" s="20">
        <v>1</v>
      </c>
      <c r="R289" s="20">
        <v>100</v>
      </c>
      <c r="S289" s="20">
        <v>1</v>
      </c>
      <c r="T289" s="20" t="s">
        <v>1865</v>
      </c>
      <c r="U289" s="104" t="str">
        <f t="shared" ref="U289:U290" si="220">"item_bg_grade_0"&amp;L289</f>
        <v>item_bg_grade_02</v>
      </c>
      <c r="V289" s="20" t="s">
        <v>322</v>
      </c>
      <c r="W289" s="20" t="s">
        <v>400</v>
      </c>
      <c r="X289" s="104">
        <v>0</v>
      </c>
      <c r="Y289" s="104">
        <v>0</v>
      </c>
      <c r="Z289" s="104">
        <v>0</v>
      </c>
      <c r="AA289" s="104">
        <v>0</v>
      </c>
      <c r="AB289" s="104">
        <v>0</v>
      </c>
      <c r="AC289" s="104">
        <v>0</v>
      </c>
      <c r="AD289" s="142">
        <v>0</v>
      </c>
      <c r="AE289" s="112">
        <f t="shared" si="184"/>
        <v>20</v>
      </c>
      <c r="AF289" s="70">
        <v>3203020</v>
      </c>
      <c r="AG289" s="105" cm="1">
        <f t="array" ref="AG289">_xlfn.SWITCH(L289,3,1,
           4,1,
           5,1,
           6,1,0)</f>
        <v>0</v>
      </c>
      <c r="AH289" s="146">
        <f t="shared" si="197"/>
        <v>80101201</v>
      </c>
      <c r="AI289" s="90">
        <v>6000</v>
      </c>
      <c r="AJ289" s="90">
        <v>3001</v>
      </c>
      <c r="AK289" s="27">
        <v>2003</v>
      </c>
      <c r="AL289" s="123">
        <f>_xlfn.XLOOKUP(H289,'#각종 참고'!$B$11:$B$20,'#각종 참고'!$D$11:$D$20)</f>
        <v>0</v>
      </c>
      <c r="AM289" s="27">
        <v>1</v>
      </c>
      <c r="AN289" s="27">
        <v>1</v>
      </c>
      <c r="AO289" s="124">
        <f t="shared" si="207"/>
        <v>1</v>
      </c>
      <c r="AP289" s="27">
        <v>1</v>
      </c>
      <c r="AQ289" s="21">
        <v>13123011</v>
      </c>
      <c r="AR289" s="21" t="s">
        <v>2415</v>
      </c>
      <c r="AS289" s="68"/>
      <c r="AT289" s="68"/>
      <c r="AU289" s="68"/>
    </row>
    <row r="290" spans="1:47" x14ac:dyDescent="0.3">
      <c r="A290" s="19"/>
      <c r="B290" s="109">
        <v>13123003</v>
      </c>
      <c r="C290" s="99" t="str">
        <f t="shared" si="219"/>
        <v>3</v>
      </c>
      <c r="D290" s="121">
        <f>COUNTIFS($F$33:F290,F290, $G$33:G290,G290, $C$33:C290,C290, $L$33:L290,L290)</f>
        <v>3</v>
      </c>
      <c r="E290" s="20">
        <v>1</v>
      </c>
      <c r="F290" s="20">
        <v>3</v>
      </c>
      <c r="G290" s="20">
        <v>1</v>
      </c>
      <c r="H290" s="103" t="s">
        <v>962</v>
      </c>
      <c r="I290" s="20" t="s">
        <v>2015</v>
      </c>
      <c r="J290" s="104" t="str">
        <f t="shared" si="177"/>
        <v>Item_Name_13123003</v>
      </c>
      <c r="K290" s="20">
        <v>10103001</v>
      </c>
      <c r="L290" s="108">
        <f t="shared" si="183"/>
        <v>2</v>
      </c>
      <c r="M290" s="105">
        <f>IF(D290=0, 0, _xlfn.XLOOKUP($F290,'#무게관련'!$B:$B,'#무게관련'!$C:$C)*_xlfn.XLOOKUP($L290,'#무게관련'!$F:$F,'#무게관련'!$G:$G)*100)</f>
        <v>10000</v>
      </c>
      <c r="N290" s="20">
        <v>20400</v>
      </c>
      <c r="O290" s="20">
        <v>3</v>
      </c>
      <c r="P290" s="20">
        <v>15</v>
      </c>
      <c r="Q290" s="20">
        <v>1</v>
      </c>
      <c r="R290" s="20">
        <v>100</v>
      </c>
      <c r="S290" s="20">
        <v>1</v>
      </c>
      <c r="T290" s="20" t="s">
        <v>1865</v>
      </c>
      <c r="U290" s="104" t="str">
        <f t="shared" si="220"/>
        <v>item_bg_grade_02</v>
      </c>
      <c r="V290" s="20" t="s">
        <v>322</v>
      </c>
      <c r="W290" s="20" t="s">
        <v>400</v>
      </c>
      <c r="X290" s="104">
        <v>0</v>
      </c>
      <c r="Y290" s="104">
        <v>0</v>
      </c>
      <c r="Z290" s="104">
        <v>0</v>
      </c>
      <c r="AA290" s="104">
        <v>0</v>
      </c>
      <c r="AB290" s="104">
        <v>0</v>
      </c>
      <c r="AC290" s="104">
        <v>0</v>
      </c>
      <c r="AD290" s="142">
        <v>0</v>
      </c>
      <c r="AE290" s="112">
        <f t="shared" si="184"/>
        <v>20</v>
      </c>
      <c r="AF290" s="70">
        <v>3203030</v>
      </c>
      <c r="AG290" s="105" cm="1">
        <f t="array" ref="AG290">_xlfn.SWITCH(L290,3,1,
           4,1,
           5,1,
           6,1,0)</f>
        <v>0</v>
      </c>
      <c r="AH290" s="146">
        <f t="shared" si="197"/>
        <v>80101201</v>
      </c>
      <c r="AI290" s="90">
        <v>6000</v>
      </c>
      <c r="AJ290" s="90">
        <v>3001</v>
      </c>
      <c r="AK290" s="27">
        <v>2003</v>
      </c>
      <c r="AL290" s="123">
        <f>_xlfn.XLOOKUP(H290,'#각종 참고'!$B$11:$B$20,'#각종 참고'!$D$11:$D$20)</f>
        <v>0</v>
      </c>
      <c r="AM290" s="27">
        <v>1</v>
      </c>
      <c r="AN290" s="27">
        <v>1</v>
      </c>
      <c r="AO290" s="124">
        <f t="shared" si="207"/>
        <v>1</v>
      </c>
      <c r="AP290" s="27">
        <v>1</v>
      </c>
      <c r="AQ290" s="21">
        <v>13123021</v>
      </c>
      <c r="AR290" s="21" t="s">
        <v>2416</v>
      </c>
      <c r="AS290" s="68"/>
      <c r="AT290" s="68"/>
      <c r="AU290" s="68"/>
    </row>
    <row r="291" spans="1:47" x14ac:dyDescent="0.3">
      <c r="A291" s="19"/>
      <c r="B291" s="109">
        <v>13133001</v>
      </c>
      <c r="C291" s="99" t="str">
        <f t="shared" si="1"/>
        <v>3</v>
      </c>
      <c r="D291" s="121">
        <f>COUNTIFS($F$33:F291,F291, $G$33:G291,G291, $C$33:C291,C291, $L$33:L291,L291)</f>
        <v>1</v>
      </c>
      <c r="E291" s="20">
        <v>1</v>
      </c>
      <c r="F291" s="20">
        <v>3</v>
      </c>
      <c r="G291" s="20">
        <v>1</v>
      </c>
      <c r="H291" s="103" t="s">
        <v>962</v>
      </c>
      <c r="I291" s="20" t="s">
        <v>1689</v>
      </c>
      <c r="J291" s="104" t="str">
        <f t="shared" si="177"/>
        <v>Item_Name_13133001</v>
      </c>
      <c r="K291" s="20">
        <v>10103001</v>
      </c>
      <c r="L291" s="108">
        <f t="shared" si="183"/>
        <v>3</v>
      </c>
      <c r="M291" s="105">
        <f>IF(D291=0, 0, _xlfn.XLOOKUP($F291,'#무게관련'!$B:$B,'#무게관련'!$C:$C)*_xlfn.XLOOKUP($L291,'#무게관련'!$F:$F,'#무게관련'!$G:$G)*100)</f>
        <v>10000</v>
      </c>
      <c r="N291" s="20">
        <v>20400</v>
      </c>
      <c r="O291" s="20">
        <v>3</v>
      </c>
      <c r="P291" s="20">
        <v>15</v>
      </c>
      <c r="Q291" s="20">
        <v>1</v>
      </c>
      <c r="R291" s="20">
        <v>100</v>
      </c>
      <c r="S291" s="20">
        <v>1</v>
      </c>
      <c r="T291" s="20" t="s">
        <v>1866</v>
      </c>
      <c r="U291" s="104" t="str">
        <f t="shared" si="117"/>
        <v>item_bg_grade_03</v>
      </c>
      <c r="V291" s="20" t="s">
        <v>322</v>
      </c>
      <c r="W291" s="20" t="s">
        <v>400</v>
      </c>
      <c r="X291" s="104">
        <v>0</v>
      </c>
      <c r="Y291" s="104">
        <v>0</v>
      </c>
      <c r="Z291" s="104">
        <v>0</v>
      </c>
      <c r="AA291" s="104">
        <v>0</v>
      </c>
      <c r="AB291" s="104">
        <v>0</v>
      </c>
      <c r="AC291" s="104">
        <v>0</v>
      </c>
      <c r="AD291" s="142">
        <v>0</v>
      </c>
      <c r="AE291" s="112">
        <f t="shared" si="184"/>
        <v>30</v>
      </c>
      <c r="AF291" s="70">
        <v>3303010</v>
      </c>
      <c r="AG291" s="105" cm="1">
        <f t="array" ref="AG291">_xlfn.SWITCH(L291,3,1,
           4,1,
           5,1,
           6,1,0)</f>
        <v>1</v>
      </c>
      <c r="AH291" s="146">
        <f t="shared" ref="AH291:AH320" si="221">AH273</f>
        <v>80101301</v>
      </c>
      <c r="AI291" s="90">
        <v>6001</v>
      </c>
      <c r="AJ291" s="90">
        <v>3003</v>
      </c>
      <c r="AK291" s="27">
        <v>3003</v>
      </c>
      <c r="AL291" s="123">
        <f>_xlfn.XLOOKUP(H291,'#각종 참고'!$B$11:$B$20,'#각종 참고'!$D$11:$D$20)</f>
        <v>0</v>
      </c>
      <c r="AM291" s="27">
        <v>1</v>
      </c>
      <c r="AN291" s="27">
        <v>1</v>
      </c>
      <c r="AO291" s="124">
        <f t="shared" si="207"/>
        <v>1</v>
      </c>
      <c r="AP291" s="27">
        <v>1</v>
      </c>
      <c r="AQ291" s="21">
        <v>13133001</v>
      </c>
      <c r="AR291" s="21" t="s">
        <v>1689</v>
      </c>
      <c r="AS291" s="68"/>
      <c r="AT291" s="68"/>
      <c r="AU291" s="68"/>
    </row>
    <row r="292" spans="1:47" x14ac:dyDescent="0.3">
      <c r="A292" s="19"/>
      <c r="B292" s="109">
        <v>13133002</v>
      </c>
      <c r="C292" s="99" t="str">
        <f t="shared" ref="C292:C293" si="222">IF(K292&gt;0,MID(K292,5, 1), 0)</f>
        <v>3</v>
      </c>
      <c r="D292" s="121">
        <f>COUNTIFS($F$33:F292,F292, $G$33:G292,G292, $C$33:C292,C292, $L$33:L292,L292)</f>
        <v>2</v>
      </c>
      <c r="E292" s="20">
        <v>1</v>
      </c>
      <c r="F292" s="20">
        <v>3</v>
      </c>
      <c r="G292" s="20">
        <v>1</v>
      </c>
      <c r="H292" s="103" t="s">
        <v>962</v>
      </c>
      <c r="I292" s="20" t="s">
        <v>1694</v>
      </c>
      <c r="J292" s="104" t="str">
        <f t="shared" si="177"/>
        <v>Item_Name_13133002</v>
      </c>
      <c r="K292" s="20">
        <v>10103001</v>
      </c>
      <c r="L292" s="108">
        <f t="shared" si="183"/>
        <v>3</v>
      </c>
      <c r="M292" s="105">
        <f>IF(D292=0, 0, _xlfn.XLOOKUP($F292,'#무게관련'!$B:$B,'#무게관련'!$C:$C)*_xlfn.XLOOKUP($L292,'#무게관련'!$F:$F,'#무게관련'!$G:$G)*100)</f>
        <v>10000</v>
      </c>
      <c r="N292" s="20">
        <v>20400</v>
      </c>
      <c r="O292" s="20">
        <v>3</v>
      </c>
      <c r="P292" s="20">
        <v>15</v>
      </c>
      <c r="Q292" s="20">
        <v>1</v>
      </c>
      <c r="R292" s="20">
        <v>100</v>
      </c>
      <c r="S292" s="20">
        <v>1</v>
      </c>
      <c r="T292" s="20" t="s">
        <v>1866</v>
      </c>
      <c r="U292" s="104" t="str">
        <f t="shared" ref="U292:U293" si="223">"item_bg_grade_0"&amp;L292</f>
        <v>item_bg_grade_03</v>
      </c>
      <c r="V292" s="20" t="s">
        <v>322</v>
      </c>
      <c r="W292" s="20" t="s">
        <v>400</v>
      </c>
      <c r="X292" s="104">
        <v>0</v>
      </c>
      <c r="Y292" s="104">
        <v>0</v>
      </c>
      <c r="Z292" s="104">
        <v>0</v>
      </c>
      <c r="AA292" s="104">
        <v>0</v>
      </c>
      <c r="AB292" s="104">
        <v>0</v>
      </c>
      <c r="AC292" s="104">
        <v>0</v>
      </c>
      <c r="AD292" s="142">
        <v>0</v>
      </c>
      <c r="AE292" s="112">
        <f t="shared" si="184"/>
        <v>30</v>
      </c>
      <c r="AF292" s="70">
        <v>3303020</v>
      </c>
      <c r="AG292" s="105" cm="1">
        <f t="array" ref="AG292">_xlfn.SWITCH(L292,3,1,
           4,1,
           5,1,
           6,1,0)</f>
        <v>1</v>
      </c>
      <c r="AH292" s="146">
        <f t="shared" si="221"/>
        <v>80101301</v>
      </c>
      <c r="AI292" s="90">
        <v>6001</v>
      </c>
      <c r="AJ292" s="90">
        <v>3003</v>
      </c>
      <c r="AK292" s="27">
        <v>3003</v>
      </c>
      <c r="AL292" s="123">
        <f>_xlfn.XLOOKUP(H292,'#각종 참고'!$B$11:$B$20,'#각종 참고'!$D$11:$D$20)</f>
        <v>0</v>
      </c>
      <c r="AM292" s="27">
        <v>1</v>
      </c>
      <c r="AN292" s="27">
        <v>1</v>
      </c>
      <c r="AO292" s="124">
        <f t="shared" si="207"/>
        <v>1</v>
      </c>
      <c r="AP292" s="27">
        <v>1</v>
      </c>
      <c r="AQ292" s="21">
        <v>13133011</v>
      </c>
      <c r="AR292" s="21" t="s">
        <v>2417</v>
      </c>
      <c r="AS292" s="68"/>
      <c r="AT292" s="68"/>
      <c r="AU292" s="68"/>
    </row>
    <row r="293" spans="1:47" x14ac:dyDescent="0.3">
      <c r="A293" s="19"/>
      <c r="B293" s="109">
        <v>13133003</v>
      </c>
      <c r="C293" s="99" t="str">
        <f t="shared" si="222"/>
        <v>3</v>
      </c>
      <c r="D293" s="121">
        <f>COUNTIFS($F$33:F293,F293, $G$33:G293,G293, $C$33:C293,C293, $L$33:L293,L293)</f>
        <v>3</v>
      </c>
      <c r="E293" s="20">
        <v>1</v>
      </c>
      <c r="F293" s="20">
        <v>3</v>
      </c>
      <c r="G293" s="20">
        <v>1</v>
      </c>
      <c r="H293" s="103" t="s">
        <v>962</v>
      </c>
      <c r="I293" s="20" t="s">
        <v>1692</v>
      </c>
      <c r="J293" s="104" t="str">
        <f t="shared" si="177"/>
        <v>Item_Name_13133003</v>
      </c>
      <c r="K293" s="20">
        <v>10103001</v>
      </c>
      <c r="L293" s="108">
        <f t="shared" si="183"/>
        <v>3</v>
      </c>
      <c r="M293" s="105">
        <f>IF(D293=0, 0, _xlfn.XLOOKUP($F293,'#무게관련'!$B:$B,'#무게관련'!$C:$C)*_xlfn.XLOOKUP($L293,'#무게관련'!$F:$F,'#무게관련'!$G:$G)*100)</f>
        <v>10000</v>
      </c>
      <c r="N293" s="20">
        <v>20400</v>
      </c>
      <c r="O293" s="20">
        <v>3</v>
      </c>
      <c r="P293" s="20">
        <v>15</v>
      </c>
      <c r="Q293" s="20">
        <v>1</v>
      </c>
      <c r="R293" s="20">
        <v>100</v>
      </c>
      <c r="S293" s="20">
        <v>1</v>
      </c>
      <c r="T293" s="20" t="s">
        <v>1866</v>
      </c>
      <c r="U293" s="104" t="str">
        <f t="shared" si="223"/>
        <v>item_bg_grade_03</v>
      </c>
      <c r="V293" s="20" t="s">
        <v>322</v>
      </c>
      <c r="W293" s="20" t="s">
        <v>400</v>
      </c>
      <c r="X293" s="104">
        <v>0</v>
      </c>
      <c r="Y293" s="104">
        <v>0</v>
      </c>
      <c r="Z293" s="104">
        <v>0</v>
      </c>
      <c r="AA293" s="104">
        <v>0</v>
      </c>
      <c r="AB293" s="104">
        <v>0</v>
      </c>
      <c r="AC293" s="104">
        <v>0</v>
      </c>
      <c r="AD293" s="142">
        <v>0</v>
      </c>
      <c r="AE293" s="112">
        <f t="shared" si="184"/>
        <v>30</v>
      </c>
      <c r="AF293" s="70">
        <v>3303030</v>
      </c>
      <c r="AG293" s="105" cm="1">
        <f t="array" ref="AG293">_xlfn.SWITCH(L293,3,1,
           4,1,
           5,1,
           6,1,0)</f>
        <v>1</v>
      </c>
      <c r="AH293" s="146">
        <f t="shared" si="221"/>
        <v>80101301</v>
      </c>
      <c r="AI293" s="90">
        <v>6001</v>
      </c>
      <c r="AJ293" s="90">
        <v>3003</v>
      </c>
      <c r="AK293" s="27">
        <v>3003</v>
      </c>
      <c r="AL293" s="123">
        <f>_xlfn.XLOOKUP(H293,'#각종 참고'!$B$11:$B$20,'#각종 참고'!$D$11:$D$20)</f>
        <v>0</v>
      </c>
      <c r="AM293" s="27">
        <v>1</v>
      </c>
      <c r="AN293" s="27">
        <v>1</v>
      </c>
      <c r="AO293" s="124">
        <f t="shared" si="207"/>
        <v>1</v>
      </c>
      <c r="AP293" s="27">
        <v>1</v>
      </c>
      <c r="AQ293" s="21">
        <v>13133021</v>
      </c>
      <c r="AR293" s="21" t="s">
        <v>2418</v>
      </c>
      <c r="AS293" s="68"/>
      <c r="AT293" s="68"/>
      <c r="AU293" s="68"/>
    </row>
    <row r="294" spans="1:47" x14ac:dyDescent="0.3">
      <c r="A294" s="19"/>
      <c r="B294" s="109">
        <v>13143001</v>
      </c>
      <c r="C294" s="99" t="str">
        <f t="shared" si="1"/>
        <v>3</v>
      </c>
      <c r="D294" s="121">
        <f>COUNTIFS($F$33:F294,F294, $G$33:G294,G294, $C$33:C294,C294, $L$33:L294,L294)</f>
        <v>1</v>
      </c>
      <c r="E294" s="20">
        <v>1</v>
      </c>
      <c r="F294" s="20">
        <v>3</v>
      </c>
      <c r="G294" s="20">
        <v>1</v>
      </c>
      <c r="H294" s="103" t="s">
        <v>962</v>
      </c>
      <c r="I294" s="20" t="s">
        <v>1691</v>
      </c>
      <c r="J294" s="104" t="str">
        <f t="shared" si="177"/>
        <v>Item_Name_13143001</v>
      </c>
      <c r="K294" s="20">
        <v>10103001</v>
      </c>
      <c r="L294" s="108">
        <f t="shared" si="183"/>
        <v>4</v>
      </c>
      <c r="M294" s="105">
        <f>IF(D294=0, 0, _xlfn.XLOOKUP($F294,'#무게관련'!$B:$B,'#무게관련'!$C:$C)*_xlfn.XLOOKUP($L294,'#무게관련'!$F:$F,'#무게관련'!$G:$G)*100)</f>
        <v>10000</v>
      </c>
      <c r="N294" s="20">
        <v>20400</v>
      </c>
      <c r="O294" s="20">
        <v>3</v>
      </c>
      <c r="P294" s="20">
        <v>15</v>
      </c>
      <c r="Q294" s="20">
        <v>1</v>
      </c>
      <c r="R294" s="20">
        <v>100</v>
      </c>
      <c r="S294" s="20">
        <v>1</v>
      </c>
      <c r="T294" s="20" t="s">
        <v>1867</v>
      </c>
      <c r="U294" s="104" t="str">
        <f t="shared" ref="U294:U417" si="224">"item_bg_grade_0"&amp;L294</f>
        <v>item_bg_grade_04</v>
      </c>
      <c r="V294" s="20" t="s">
        <v>322</v>
      </c>
      <c r="W294" s="20" t="s">
        <v>400</v>
      </c>
      <c r="X294" s="104">
        <v>0</v>
      </c>
      <c r="Y294" s="104">
        <v>0</v>
      </c>
      <c r="Z294" s="104">
        <v>0</v>
      </c>
      <c r="AA294" s="104">
        <v>0</v>
      </c>
      <c r="AB294" s="104">
        <v>0</v>
      </c>
      <c r="AC294" s="104">
        <v>0</v>
      </c>
      <c r="AD294" s="142">
        <v>0</v>
      </c>
      <c r="AE294" s="112">
        <f t="shared" si="184"/>
        <v>40</v>
      </c>
      <c r="AF294" s="70">
        <v>3403010</v>
      </c>
      <c r="AG294" s="105" cm="1">
        <f t="array" ref="AG294">_xlfn.SWITCH(L294,3,1,
           4,1,
           5,1,
           6,1,0)</f>
        <v>1</v>
      </c>
      <c r="AH294" s="146">
        <f t="shared" si="221"/>
        <v>80101401</v>
      </c>
      <c r="AI294" s="90">
        <v>6002</v>
      </c>
      <c r="AJ294" s="90">
        <v>3005</v>
      </c>
      <c r="AK294" s="27">
        <v>4003</v>
      </c>
      <c r="AL294" s="123">
        <f>_xlfn.XLOOKUP(H294,'#각종 참고'!$B$11:$B$20,'#각종 참고'!$D$11:$D$20)</f>
        <v>0</v>
      </c>
      <c r="AM294" s="27">
        <v>1</v>
      </c>
      <c r="AN294" s="27">
        <v>1</v>
      </c>
      <c r="AO294" s="124">
        <f t="shared" si="207"/>
        <v>1</v>
      </c>
      <c r="AP294" s="27">
        <v>1</v>
      </c>
      <c r="AQ294" s="21">
        <v>13143001</v>
      </c>
      <c r="AR294" s="21" t="s">
        <v>1691</v>
      </c>
      <c r="AS294" s="68"/>
      <c r="AT294" s="68"/>
      <c r="AU294" s="68"/>
    </row>
    <row r="295" spans="1:47" x14ac:dyDescent="0.3">
      <c r="A295" s="19"/>
      <c r="B295" s="109">
        <v>13143002</v>
      </c>
      <c r="C295" s="99" t="str">
        <f t="shared" ref="C295:C296" si="225">IF(K295&gt;0,MID(K295,5, 1), 0)</f>
        <v>3</v>
      </c>
      <c r="D295" s="121">
        <f>COUNTIFS($F$33:F295,F295, $G$33:G295,G295, $C$33:C295,C295, $L$33:L295,L295)</f>
        <v>2</v>
      </c>
      <c r="E295" s="20">
        <v>1</v>
      </c>
      <c r="F295" s="20">
        <v>3</v>
      </c>
      <c r="G295" s="20">
        <v>1</v>
      </c>
      <c r="H295" s="103" t="s">
        <v>962</v>
      </c>
      <c r="I295" s="20" t="s">
        <v>2124</v>
      </c>
      <c r="J295" s="104" t="str">
        <f t="shared" si="177"/>
        <v>Item_Name_13143002</v>
      </c>
      <c r="K295" s="20">
        <v>10103001</v>
      </c>
      <c r="L295" s="108">
        <f t="shared" si="183"/>
        <v>4</v>
      </c>
      <c r="M295" s="105">
        <f>IF(D295=0, 0, _xlfn.XLOOKUP($F295,'#무게관련'!$B:$B,'#무게관련'!$C:$C)*_xlfn.XLOOKUP($L295,'#무게관련'!$F:$F,'#무게관련'!$G:$G)*100)</f>
        <v>10000</v>
      </c>
      <c r="N295" s="20">
        <v>20400</v>
      </c>
      <c r="O295" s="20">
        <v>3</v>
      </c>
      <c r="P295" s="20">
        <v>15</v>
      </c>
      <c r="Q295" s="20">
        <v>1</v>
      </c>
      <c r="R295" s="20">
        <v>100</v>
      </c>
      <c r="S295" s="20">
        <v>1</v>
      </c>
      <c r="T295" s="20" t="s">
        <v>1867</v>
      </c>
      <c r="U295" s="104" t="str">
        <f t="shared" ref="U295:U296" si="226">"item_bg_grade_0"&amp;L295</f>
        <v>item_bg_grade_04</v>
      </c>
      <c r="V295" s="20" t="s">
        <v>322</v>
      </c>
      <c r="W295" s="20" t="s">
        <v>400</v>
      </c>
      <c r="X295" s="104">
        <v>0</v>
      </c>
      <c r="Y295" s="104">
        <v>0</v>
      </c>
      <c r="Z295" s="104">
        <v>0</v>
      </c>
      <c r="AA295" s="104">
        <v>0</v>
      </c>
      <c r="AB295" s="104">
        <v>0</v>
      </c>
      <c r="AC295" s="104">
        <v>0</v>
      </c>
      <c r="AD295" s="142">
        <v>0</v>
      </c>
      <c r="AE295" s="112">
        <f t="shared" si="184"/>
        <v>40</v>
      </c>
      <c r="AF295" s="70">
        <v>3403020</v>
      </c>
      <c r="AG295" s="105" cm="1">
        <f t="array" ref="AG295">_xlfn.SWITCH(L295,3,1,
           4,1,
           5,1,
           6,1,0)</f>
        <v>1</v>
      </c>
      <c r="AH295" s="146">
        <f t="shared" si="221"/>
        <v>80101401</v>
      </c>
      <c r="AI295" s="90">
        <v>6002</v>
      </c>
      <c r="AJ295" s="90">
        <v>3005</v>
      </c>
      <c r="AK295" s="27">
        <v>4003</v>
      </c>
      <c r="AL295" s="123">
        <f>_xlfn.XLOOKUP(H295,'#각종 참고'!$B$11:$B$20,'#각종 참고'!$D$11:$D$20)</f>
        <v>0</v>
      </c>
      <c r="AM295" s="27">
        <v>1</v>
      </c>
      <c r="AN295" s="27">
        <v>1</v>
      </c>
      <c r="AO295" s="124">
        <f t="shared" si="207"/>
        <v>1</v>
      </c>
      <c r="AP295" s="27">
        <v>1</v>
      </c>
      <c r="AQ295" s="21">
        <v>13143011</v>
      </c>
      <c r="AR295" s="21" t="s">
        <v>2419</v>
      </c>
      <c r="AS295" s="68"/>
      <c r="AT295" s="68"/>
      <c r="AU295" s="68"/>
    </row>
    <row r="296" spans="1:47" x14ac:dyDescent="0.3">
      <c r="A296" s="19"/>
      <c r="B296" s="109">
        <v>13143003</v>
      </c>
      <c r="C296" s="99" t="str">
        <f t="shared" si="225"/>
        <v>3</v>
      </c>
      <c r="D296" s="121">
        <f>COUNTIFS($F$33:F296,F296, $G$33:G296,G296, $C$33:C296,C296, $L$33:L296,L296)</f>
        <v>3</v>
      </c>
      <c r="E296" s="20">
        <v>1</v>
      </c>
      <c r="F296" s="20">
        <v>3</v>
      </c>
      <c r="G296" s="20">
        <v>1</v>
      </c>
      <c r="H296" s="103" t="s">
        <v>962</v>
      </c>
      <c r="I296" s="20" t="s">
        <v>1991</v>
      </c>
      <c r="J296" s="104" t="str">
        <f t="shared" si="177"/>
        <v>Item_Name_13143003</v>
      </c>
      <c r="K296" s="20">
        <v>10103001</v>
      </c>
      <c r="L296" s="108">
        <f t="shared" si="183"/>
        <v>4</v>
      </c>
      <c r="M296" s="105">
        <f>IF(D296=0, 0, _xlfn.XLOOKUP($F296,'#무게관련'!$B:$B,'#무게관련'!$C:$C)*_xlfn.XLOOKUP($L296,'#무게관련'!$F:$F,'#무게관련'!$G:$G)*100)</f>
        <v>10000</v>
      </c>
      <c r="N296" s="20">
        <v>20400</v>
      </c>
      <c r="O296" s="20">
        <v>3</v>
      </c>
      <c r="P296" s="20">
        <v>15</v>
      </c>
      <c r="Q296" s="20">
        <v>1</v>
      </c>
      <c r="R296" s="20">
        <v>100</v>
      </c>
      <c r="S296" s="20">
        <v>1</v>
      </c>
      <c r="T296" s="20" t="s">
        <v>1867</v>
      </c>
      <c r="U296" s="104" t="str">
        <f t="shared" si="226"/>
        <v>item_bg_grade_04</v>
      </c>
      <c r="V296" s="20" t="s">
        <v>322</v>
      </c>
      <c r="W296" s="20" t="s">
        <v>400</v>
      </c>
      <c r="X296" s="104">
        <v>0</v>
      </c>
      <c r="Y296" s="104">
        <v>0</v>
      </c>
      <c r="Z296" s="104">
        <v>0</v>
      </c>
      <c r="AA296" s="104">
        <v>0</v>
      </c>
      <c r="AB296" s="104">
        <v>0</v>
      </c>
      <c r="AC296" s="104">
        <v>0</v>
      </c>
      <c r="AD296" s="142">
        <v>0</v>
      </c>
      <c r="AE296" s="112">
        <f t="shared" si="184"/>
        <v>40</v>
      </c>
      <c r="AF296" s="70">
        <v>3403030</v>
      </c>
      <c r="AG296" s="105" cm="1">
        <f t="array" ref="AG296">_xlfn.SWITCH(L296,3,1,
           4,1,
           5,1,
           6,1,0)</f>
        <v>1</v>
      </c>
      <c r="AH296" s="146">
        <f t="shared" si="221"/>
        <v>80101401</v>
      </c>
      <c r="AI296" s="90">
        <v>6002</v>
      </c>
      <c r="AJ296" s="90">
        <v>3005</v>
      </c>
      <c r="AK296" s="27">
        <v>4003</v>
      </c>
      <c r="AL296" s="123">
        <f>_xlfn.XLOOKUP(H296,'#각종 참고'!$B$11:$B$20,'#각종 참고'!$D$11:$D$20)</f>
        <v>0</v>
      </c>
      <c r="AM296" s="27">
        <v>1</v>
      </c>
      <c r="AN296" s="27">
        <v>1</v>
      </c>
      <c r="AO296" s="124">
        <f t="shared" si="207"/>
        <v>1</v>
      </c>
      <c r="AP296" s="27">
        <v>1</v>
      </c>
      <c r="AQ296" s="21">
        <v>13143021</v>
      </c>
      <c r="AR296" s="21" t="s">
        <v>2420</v>
      </c>
      <c r="AS296" s="68"/>
      <c r="AT296" s="68"/>
      <c r="AU296" s="68"/>
    </row>
    <row r="297" spans="1:47" x14ac:dyDescent="0.3">
      <c r="A297" s="19"/>
      <c r="B297" s="109">
        <v>13153001</v>
      </c>
      <c r="C297" s="99" t="str">
        <f t="shared" ref="C297:C300" si="227">IF(K297&gt;0,MID(K297,5, 1), 0)</f>
        <v>3</v>
      </c>
      <c r="D297" s="121">
        <f>COUNTIFS($F$33:F297,F297, $G$33:G297,G297, $C$33:C297,C297, $L$33:L297,L297)</f>
        <v>1</v>
      </c>
      <c r="E297" s="20">
        <v>1</v>
      </c>
      <c r="F297" s="20">
        <v>3</v>
      </c>
      <c r="G297" s="20">
        <v>1</v>
      </c>
      <c r="H297" s="103" t="s">
        <v>962</v>
      </c>
      <c r="I297" s="20" t="s">
        <v>1693</v>
      </c>
      <c r="J297" s="104" t="str">
        <f t="shared" si="177"/>
        <v>Item_Name_13153001</v>
      </c>
      <c r="K297" s="20">
        <v>10103001</v>
      </c>
      <c r="L297" s="108">
        <f t="shared" si="183"/>
        <v>5</v>
      </c>
      <c r="M297" s="105">
        <f>IF(D297=0, 0, _xlfn.XLOOKUP($F297,'#무게관련'!$B:$B,'#무게관련'!$C:$C)*_xlfn.XLOOKUP($L297,'#무게관련'!$F:$F,'#무게관련'!$G:$G)*100)</f>
        <v>10000</v>
      </c>
      <c r="N297" s="20">
        <v>20400</v>
      </c>
      <c r="O297" s="20">
        <v>3</v>
      </c>
      <c r="P297" s="20">
        <v>15</v>
      </c>
      <c r="Q297" s="20">
        <v>1</v>
      </c>
      <c r="R297" s="20">
        <v>100</v>
      </c>
      <c r="S297" s="20">
        <v>1</v>
      </c>
      <c r="T297" s="20" t="s">
        <v>1868</v>
      </c>
      <c r="U297" s="104" t="str">
        <f t="shared" si="224"/>
        <v>item_bg_grade_05</v>
      </c>
      <c r="V297" s="20" t="s">
        <v>322</v>
      </c>
      <c r="W297" s="20" t="s">
        <v>400</v>
      </c>
      <c r="X297" s="104">
        <v>0</v>
      </c>
      <c r="Y297" s="104">
        <v>0</v>
      </c>
      <c r="Z297" s="104">
        <v>0</v>
      </c>
      <c r="AA297" s="104">
        <v>0</v>
      </c>
      <c r="AB297" s="104">
        <v>0</v>
      </c>
      <c r="AC297" s="104">
        <v>0</v>
      </c>
      <c r="AD297" s="142">
        <v>0</v>
      </c>
      <c r="AE297" s="112">
        <f t="shared" si="184"/>
        <v>50</v>
      </c>
      <c r="AF297" s="70">
        <v>3503010</v>
      </c>
      <c r="AG297" s="105" cm="1">
        <f t="array" ref="AG297">_xlfn.SWITCH(L297,3,1,
           4,1,
           5,1,
           6,1,0)</f>
        <v>1</v>
      </c>
      <c r="AH297" s="146">
        <f t="shared" si="221"/>
        <v>80101501</v>
      </c>
      <c r="AI297" s="90">
        <v>6003</v>
      </c>
      <c r="AJ297" s="90">
        <v>3007</v>
      </c>
      <c r="AK297" s="27">
        <v>5003</v>
      </c>
      <c r="AL297" s="123">
        <f>_xlfn.XLOOKUP(H297,'#각종 참고'!$B$11:$B$20,'#각종 참고'!$D$11:$D$20)</f>
        <v>0</v>
      </c>
      <c r="AM297" s="27">
        <v>1</v>
      </c>
      <c r="AN297" s="27">
        <v>1</v>
      </c>
      <c r="AO297" s="124">
        <f t="shared" si="207"/>
        <v>1</v>
      </c>
      <c r="AP297" s="27">
        <v>1</v>
      </c>
      <c r="AQ297" s="21">
        <v>13153001</v>
      </c>
      <c r="AR297" s="21" t="s">
        <v>1693</v>
      </c>
      <c r="AS297" s="68"/>
      <c r="AT297" s="68"/>
      <c r="AU297" s="68"/>
    </row>
    <row r="298" spans="1:47" x14ac:dyDescent="0.3">
      <c r="A298" s="19"/>
      <c r="B298" s="109">
        <v>13153002</v>
      </c>
      <c r="C298" s="99" t="str">
        <f t="shared" ref="C298:C299" si="228">IF(K298&gt;0,MID(K298,5, 1), 0)</f>
        <v>3</v>
      </c>
      <c r="D298" s="121">
        <f>COUNTIFS($F$33:F298,F298, $G$33:G298,G298, $C$33:C298,C298, $L$33:L298,L298)</f>
        <v>2</v>
      </c>
      <c r="E298" s="20">
        <v>1</v>
      </c>
      <c r="F298" s="20">
        <v>3</v>
      </c>
      <c r="G298" s="20">
        <v>1</v>
      </c>
      <c r="H298" s="103" t="s">
        <v>962</v>
      </c>
      <c r="I298" s="20" t="s">
        <v>2125</v>
      </c>
      <c r="J298" s="104" t="str">
        <f t="shared" si="177"/>
        <v>Item_Name_13153002</v>
      </c>
      <c r="K298" s="20">
        <v>10103001</v>
      </c>
      <c r="L298" s="108">
        <f t="shared" si="183"/>
        <v>5</v>
      </c>
      <c r="M298" s="105">
        <f>IF(D298=0, 0, _xlfn.XLOOKUP($F298,'#무게관련'!$B:$B,'#무게관련'!$C:$C)*_xlfn.XLOOKUP($L298,'#무게관련'!$F:$F,'#무게관련'!$G:$G)*100)</f>
        <v>10000</v>
      </c>
      <c r="N298" s="20">
        <v>20400</v>
      </c>
      <c r="O298" s="20">
        <v>3</v>
      </c>
      <c r="P298" s="20">
        <v>15</v>
      </c>
      <c r="Q298" s="20">
        <v>1</v>
      </c>
      <c r="R298" s="20">
        <v>100</v>
      </c>
      <c r="S298" s="20">
        <v>1</v>
      </c>
      <c r="T298" s="20" t="s">
        <v>1868</v>
      </c>
      <c r="U298" s="104" t="str">
        <f t="shared" ref="U298:U299" si="229">"item_bg_grade_0"&amp;L298</f>
        <v>item_bg_grade_05</v>
      </c>
      <c r="V298" s="20" t="s">
        <v>322</v>
      </c>
      <c r="W298" s="20" t="s">
        <v>400</v>
      </c>
      <c r="X298" s="104">
        <v>0</v>
      </c>
      <c r="Y298" s="104">
        <v>0</v>
      </c>
      <c r="Z298" s="104">
        <v>0</v>
      </c>
      <c r="AA298" s="104">
        <v>0</v>
      </c>
      <c r="AB298" s="104">
        <v>0</v>
      </c>
      <c r="AC298" s="104">
        <v>0</v>
      </c>
      <c r="AD298" s="142">
        <v>0</v>
      </c>
      <c r="AE298" s="112">
        <f t="shared" si="184"/>
        <v>50</v>
      </c>
      <c r="AF298" s="70">
        <v>3503020</v>
      </c>
      <c r="AG298" s="105" cm="1">
        <f t="array" ref="AG298">_xlfn.SWITCH(L298,3,1,
           4,1,
           5,1,
           6,1,0)</f>
        <v>1</v>
      </c>
      <c r="AH298" s="146">
        <f t="shared" si="221"/>
        <v>80101501</v>
      </c>
      <c r="AI298" s="90">
        <v>6003</v>
      </c>
      <c r="AJ298" s="90">
        <v>3007</v>
      </c>
      <c r="AK298" s="27">
        <v>5003</v>
      </c>
      <c r="AL298" s="123">
        <f>_xlfn.XLOOKUP(H298,'#각종 참고'!$B$11:$B$20,'#각종 참고'!$D$11:$D$20)</f>
        <v>0</v>
      </c>
      <c r="AM298" s="27">
        <v>1</v>
      </c>
      <c r="AN298" s="27">
        <v>1</v>
      </c>
      <c r="AO298" s="124">
        <f t="shared" si="207"/>
        <v>1</v>
      </c>
      <c r="AP298" s="27">
        <v>1</v>
      </c>
      <c r="AQ298" s="21">
        <v>13153011</v>
      </c>
      <c r="AR298" s="21" t="s">
        <v>2421</v>
      </c>
      <c r="AS298" s="68"/>
      <c r="AT298" s="68"/>
      <c r="AU298" s="68"/>
    </row>
    <row r="299" spans="1:47" x14ac:dyDescent="0.3">
      <c r="A299" s="19"/>
      <c r="B299" s="109">
        <v>13153003</v>
      </c>
      <c r="C299" s="99" t="str">
        <f t="shared" si="228"/>
        <v>3</v>
      </c>
      <c r="D299" s="121">
        <f>COUNTIFS($F$33:F299,F299, $G$33:G299,G299, $C$33:C299,C299, $L$33:L299,L299)</f>
        <v>3</v>
      </c>
      <c r="E299" s="20">
        <v>1</v>
      </c>
      <c r="F299" s="20">
        <v>3</v>
      </c>
      <c r="G299" s="20">
        <v>1</v>
      </c>
      <c r="H299" s="103" t="s">
        <v>962</v>
      </c>
      <c r="I299" s="20" t="s">
        <v>1959</v>
      </c>
      <c r="J299" s="104" t="str">
        <f t="shared" si="177"/>
        <v>Item_Name_13153003</v>
      </c>
      <c r="K299" s="20">
        <v>10103001</v>
      </c>
      <c r="L299" s="108">
        <f t="shared" si="183"/>
        <v>5</v>
      </c>
      <c r="M299" s="105">
        <f>IF(D299=0, 0, _xlfn.XLOOKUP($F299,'#무게관련'!$B:$B,'#무게관련'!$C:$C)*_xlfn.XLOOKUP($L299,'#무게관련'!$F:$F,'#무게관련'!$G:$G)*100)</f>
        <v>10000</v>
      </c>
      <c r="N299" s="20">
        <v>20400</v>
      </c>
      <c r="O299" s="20">
        <v>3</v>
      </c>
      <c r="P299" s="20">
        <v>15</v>
      </c>
      <c r="Q299" s="20">
        <v>1</v>
      </c>
      <c r="R299" s="20">
        <v>100</v>
      </c>
      <c r="S299" s="20">
        <v>1</v>
      </c>
      <c r="T299" s="20" t="s">
        <v>1868</v>
      </c>
      <c r="U299" s="104" t="str">
        <f t="shared" si="229"/>
        <v>item_bg_grade_05</v>
      </c>
      <c r="V299" s="20" t="s">
        <v>322</v>
      </c>
      <c r="W299" s="20" t="s">
        <v>400</v>
      </c>
      <c r="X299" s="104">
        <v>0</v>
      </c>
      <c r="Y299" s="104">
        <v>0</v>
      </c>
      <c r="Z299" s="104">
        <v>0</v>
      </c>
      <c r="AA299" s="104">
        <v>0</v>
      </c>
      <c r="AB299" s="104">
        <v>0</v>
      </c>
      <c r="AC299" s="104">
        <v>0</v>
      </c>
      <c r="AD299" s="142">
        <v>0</v>
      </c>
      <c r="AE299" s="112">
        <f t="shared" si="184"/>
        <v>50</v>
      </c>
      <c r="AF299" s="70">
        <v>3503030</v>
      </c>
      <c r="AG299" s="105" cm="1">
        <f t="array" ref="AG299">_xlfn.SWITCH(L299,3,1,
           4,1,
           5,1,
           6,1,0)</f>
        <v>1</v>
      </c>
      <c r="AH299" s="146">
        <f t="shared" si="221"/>
        <v>80101501</v>
      </c>
      <c r="AI299" s="90">
        <v>6003</v>
      </c>
      <c r="AJ299" s="90">
        <v>3007</v>
      </c>
      <c r="AK299" s="27">
        <v>5003</v>
      </c>
      <c r="AL299" s="123">
        <f>_xlfn.XLOOKUP(H299,'#각종 참고'!$B$11:$B$20,'#각종 참고'!$D$11:$D$20)</f>
        <v>0</v>
      </c>
      <c r="AM299" s="27">
        <v>1</v>
      </c>
      <c r="AN299" s="27">
        <v>1</v>
      </c>
      <c r="AO299" s="124">
        <f t="shared" si="207"/>
        <v>1</v>
      </c>
      <c r="AP299" s="27">
        <v>1</v>
      </c>
      <c r="AQ299" s="21">
        <v>13153021</v>
      </c>
      <c r="AR299" s="21" t="s">
        <v>2422</v>
      </c>
      <c r="AS299" s="68"/>
      <c r="AT299" s="68"/>
      <c r="AU299" s="68"/>
    </row>
    <row r="300" spans="1:47" x14ac:dyDescent="0.3">
      <c r="A300" s="19"/>
      <c r="B300" s="109">
        <v>13163001</v>
      </c>
      <c r="C300" s="99" t="str">
        <f t="shared" si="227"/>
        <v>3</v>
      </c>
      <c r="D300" s="121">
        <f>COUNTIFS($F$33:F300,F300, $G$33:G300,G300, $C$33:C300,C300, $L$33:L300,L300)</f>
        <v>1</v>
      </c>
      <c r="E300" s="20">
        <v>1</v>
      </c>
      <c r="F300" s="20">
        <v>3</v>
      </c>
      <c r="G300" s="20">
        <v>1</v>
      </c>
      <c r="H300" s="103" t="s">
        <v>962</v>
      </c>
      <c r="I300" s="20" t="s">
        <v>1695</v>
      </c>
      <c r="J300" s="104" t="str">
        <f t="shared" si="177"/>
        <v>Item_Name_13163001</v>
      </c>
      <c r="K300" s="20">
        <v>10103001</v>
      </c>
      <c r="L300" s="108">
        <f t="shared" si="183"/>
        <v>6</v>
      </c>
      <c r="M300" s="105">
        <f>IF(D300=0, 0, _xlfn.XLOOKUP($F300,'#무게관련'!$B:$B,'#무게관련'!$C:$C)*_xlfn.XLOOKUP($L300,'#무게관련'!$F:$F,'#무게관련'!$G:$G)*100)</f>
        <v>10000</v>
      </c>
      <c r="N300" s="20">
        <v>20400</v>
      </c>
      <c r="O300" s="20">
        <v>3</v>
      </c>
      <c r="P300" s="20">
        <v>15</v>
      </c>
      <c r="Q300" s="20">
        <v>1</v>
      </c>
      <c r="R300" s="20">
        <v>100</v>
      </c>
      <c r="S300" s="20">
        <v>1</v>
      </c>
      <c r="T300" s="109" t="s">
        <v>1868</v>
      </c>
      <c r="U300" s="104" t="str">
        <f t="shared" si="224"/>
        <v>item_bg_grade_06</v>
      </c>
      <c r="V300" s="20" t="s">
        <v>322</v>
      </c>
      <c r="W300" s="20" t="s">
        <v>400</v>
      </c>
      <c r="X300" s="104">
        <v>0</v>
      </c>
      <c r="Y300" s="104">
        <v>0</v>
      </c>
      <c r="Z300" s="104">
        <v>0</v>
      </c>
      <c r="AA300" s="104">
        <v>0</v>
      </c>
      <c r="AB300" s="104">
        <v>0</v>
      </c>
      <c r="AC300" s="104">
        <v>0</v>
      </c>
      <c r="AD300" s="142">
        <v>0</v>
      </c>
      <c r="AE300" s="112">
        <f t="shared" si="184"/>
        <v>70</v>
      </c>
      <c r="AF300" s="70">
        <v>3603010</v>
      </c>
      <c r="AG300" s="105" cm="1">
        <f t="array" ref="AG300">_xlfn.SWITCH(L300,3,1,
           4,1,
           5,1,
           6,1,0)</f>
        <v>1</v>
      </c>
      <c r="AH300" s="146">
        <f t="shared" si="221"/>
        <v>0</v>
      </c>
      <c r="AI300" s="90">
        <v>6004</v>
      </c>
      <c r="AJ300" s="90">
        <v>3009</v>
      </c>
      <c r="AK300" s="27">
        <v>6003</v>
      </c>
      <c r="AL300" s="123">
        <f>_xlfn.XLOOKUP(H300,'#각종 참고'!$B$11:$B$20,'#각종 참고'!$D$11:$D$20)</f>
        <v>0</v>
      </c>
      <c r="AM300" s="27">
        <v>1</v>
      </c>
      <c r="AN300" s="27">
        <v>1</v>
      </c>
      <c r="AO300" s="124">
        <f t="shared" si="207"/>
        <v>1</v>
      </c>
      <c r="AP300" s="27">
        <v>1</v>
      </c>
      <c r="AQ300" s="21">
        <v>13163001</v>
      </c>
      <c r="AR300" s="21" t="s">
        <v>1695</v>
      </c>
      <c r="AS300" s="68"/>
      <c r="AT300" s="68"/>
      <c r="AU300" s="68"/>
    </row>
    <row r="301" spans="1:47" x14ac:dyDescent="0.3">
      <c r="A301" s="19" t="s">
        <v>513</v>
      </c>
      <c r="B301" s="109">
        <v>13163002</v>
      </c>
      <c r="C301" s="99" t="str">
        <f t="shared" ref="C301:C302" si="230">IF(K301&gt;0,MID(K301,5, 1), 0)</f>
        <v>3</v>
      </c>
      <c r="D301" s="121">
        <f>COUNTIFS($F$33:F301,F301, $G$33:G301,G301, $C$33:C301,C301, $L$33:L301,L301)</f>
        <v>2</v>
      </c>
      <c r="E301" s="20">
        <v>1</v>
      </c>
      <c r="F301" s="20">
        <v>3</v>
      </c>
      <c r="G301" s="20">
        <v>1</v>
      </c>
      <c r="H301" s="103" t="s">
        <v>962</v>
      </c>
      <c r="I301" s="20" t="s">
        <v>2127</v>
      </c>
      <c r="J301" s="104" t="str">
        <f t="shared" ref="J301:J364" si="231">"Item_Name_"&amp;$B301</f>
        <v>Item_Name_13163002</v>
      </c>
      <c r="K301" s="20">
        <v>10103001</v>
      </c>
      <c r="L301" s="108">
        <f t="shared" si="183"/>
        <v>6</v>
      </c>
      <c r="M301" s="105">
        <f>IF(D301=0, 0, _xlfn.XLOOKUP($F301,'#무게관련'!$B:$B,'#무게관련'!$C:$C)*_xlfn.XLOOKUP($L301,'#무게관련'!$F:$F,'#무게관련'!$G:$G)*100)</f>
        <v>10000</v>
      </c>
      <c r="N301" s="20">
        <v>20400</v>
      </c>
      <c r="O301" s="20">
        <v>3</v>
      </c>
      <c r="P301" s="20">
        <v>15</v>
      </c>
      <c r="Q301" s="20">
        <v>1</v>
      </c>
      <c r="R301" s="20">
        <v>100</v>
      </c>
      <c r="S301" s="20">
        <v>1</v>
      </c>
      <c r="T301" s="109" t="s">
        <v>1868</v>
      </c>
      <c r="U301" s="104" t="str">
        <f t="shared" ref="U301:U302" si="232">"item_bg_grade_0"&amp;L301</f>
        <v>item_bg_grade_06</v>
      </c>
      <c r="V301" s="20" t="s">
        <v>322</v>
      </c>
      <c r="W301" s="20" t="s">
        <v>400</v>
      </c>
      <c r="X301" s="104">
        <v>0</v>
      </c>
      <c r="Y301" s="104">
        <v>0</v>
      </c>
      <c r="Z301" s="104">
        <v>0</v>
      </c>
      <c r="AA301" s="104">
        <v>0</v>
      </c>
      <c r="AB301" s="104">
        <v>0</v>
      </c>
      <c r="AC301" s="104">
        <v>0</v>
      </c>
      <c r="AD301" s="142">
        <v>0</v>
      </c>
      <c r="AE301" s="112">
        <f t="shared" si="184"/>
        <v>70</v>
      </c>
      <c r="AF301" s="70">
        <v>3603010</v>
      </c>
      <c r="AG301" s="105" cm="1">
        <f t="array" ref="AG301">_xlfn.SWITCH(L301,3,1,
           4,1,
           5,1,
           6,1,0)</f>
        <v>1</v>
      </c>
      <c r="AH301" s="146">
        <f t="shared" si="221"/>
        <v>0</v>
      </c>
      <c r="AI301" s="90">
        <v>6004</v>
      </c>
      <c r="AJ301" s="90">
        <v>3009</v>
      </c>
      <c r="AK301" s="27">
        <v>6003</v>
      </c>
      <c r="AL301" s="123">
        <f>_xlfn.XLOOKUP(H301,'#각종 참고'!$B$11:$B$20,'#각종 참고'!$D$11:$D$20)</f>
        <v>0</v>
      </c>
      <c r="AM301" s="27">
        <v>1</v>
      </c>
      <c r="AN301" s="27">
        <v>1</v>
      </c>
      <c r="AO301" s="124">
        <f t="shared" si="207"/>
        <v>1</v>
      </c>
      <c r="AP301" s="27">
        <v>1</v>
      </c>
      <c r="AQ301" s="21">
        <v>13163011</v>
      </c>
      <c r="AR301" s="21" t="s">
        <v>2423</v>
      </c>
      <c r="AS301" s="68"/>
      <c r="AT301" s="68"/>
      <c r="AU301" s="68"/>
    </row>
    <row r="302" spans="1:47" x14ac:dyDescent="0.3">
      <c r="A302" s="19" t="s">
        <v>513</v>
      </c>
      <c r="B302" s="109">
        <v>13163003</v>
      </c>
      <c r="C302" s="99" t="str">
        <f t="shared" si="230"/>
        <v>3</v>
      </c>
      <c r="D302" s="121">
        <f>COUNTIFS($F$33:F302,F302, $G$33:G302,G302, $C$33:C302,C302, $L$33:L302,L302)</f>
        <v>3</v>
      </c>
      <c r="E302" s="20">
        <v>1</v>
      </c>
      <c r="F302" s="20">
        <v>3</v>
      </c>
      <c r="G302" s="20">
        <v>1</v>
      </c>
      <c r="H302" s="103" t="s">
        <v>962</v>
      </c>
      <c r="I302" s="20" t="s">
        <v>2126</v>
      </c>
      <c r="J302" s="104" t="str">
        <f t="shared" si="231"/>
        <v>Item_Name_13163003</v>
      </c>
      <c r="K302" s="20">
        <v>10103001</v>
      </c>
      <c r="L302" s="108">
        <f t="shared" si="183"/>
        <v>6</v>
      </c>
      <c r="M302" s="105">
        <f>IF(D302=0, 0, _xlfn.XLOOKUP($F302,'#무게관련'!$B:$B,'#무게관련'!$C:$C)*_xlfn.XLOOKUP($L302,'#무게관련'!$F:$F,'#무게관련'!$G:$G)*100)</f>
        <v>10000</v>
      </c>
      <c r="N302" s="20">
        <v>20400</v>
      </c>
      <c r="O302" s="20">
        <v>3</v>
      </c>
      <c r="P302" s="20">
        <v>15</v>
      </c>
      <c r="Q302" s="20">
        <v>1</v>
      </c>
      <c r="R302" s="20">
        <v>100</v>
      </c>
      <c r="S302" s="20">
        <v>1</v>
      </c>
      <c r="T302" s="109" t="s">
        <v>1868</v>
      </c>
      <c r="U302" s="104" t="str">
        <f t="shared" si="232"/>
        <v>item_bg_grade_06</v>
      </c>
      <c r="V302" s="20" t="s">
        <v>322</v>
      </c>
      <c r="W302" s="20" t="s">
        <v>400</v>
      </c>
      <c r="X302" s="104">
        <v>0</v>
      </c>
      <c r="Y302" s="104">
        <v>0</v>
      </c>
      <c r="Z302" s="104">
        <v>0</v>
      </c>
      <c r="AA302" s="104">
        <v>0</v>
      </c>
      <c r="AB302" s="104">
        <v>0</v>
      </c>
      <c r="AC302" s="104">
        <v>0</v>
      </c>
      <c r="AD302" s="142">
        <v>0</v>
      </c>
      <c r="AE302" s="112">
        <f t="shared" si="184"/>
        <v>70</v>
      </c>
      <c r="AF302" s="70">
        <v>3603010</v>
      </c>
      <c r="AG302" s="105" cm="1">
        <f t="array" ref="AG302">_xlfn.SWITCH(L302,3,1,
           4,1,
           5,1,
           6,1,0)</f>
        <v>1</v>
      </c>
      <c r="AH302" s="146">
        <f t="shared" si="221"/>
        <v>0</v>
      </c>
      <c r="AI302" s="90">
        <v>6004</v>
      </c>
      <c r="AJ302" s="90">
        <v>3009</v>
      </c>
      <c r="AK302" s="27">
        <v>6003</v>
      </c>
      <c r="AL302" s="123">
        <f>_xlfn.XLOOKUP(H302,'#각종 참고'!$B$11:$B$20,'#각종 참고'!$D$11:$D$20)</f>
        <v>0</v>
      </c>
      <c r="AM302" s="27">
        <v>1</v>
      </c>
      <c r="AN302" s="27">
        <v>1</v>
      </c>
      <c r="AO302" s="124">
        <f t="shared" si="207"/>
        <v>1</v>
      </c>
      <c r="AP302" s="27">
        <v>1</v>
      </c>
      <c r="AQ302" s="21">
        <v>13163021</v>
      </c>
      <c r="AR302" s="21" t="s">
        <v>2424</v>
      </c>
      <c r="AS302" s="68"/>
      <c r="AT302" s="68"/>
      <c r="AU302" s="68"/>
    </row>
    <row r="303" spans="1:47" s="68" customFormat="1" x14ac:dyDescent="0.3">
      <c r="A303" s="65"/>
      <c r="B303" s="110">
        <v>14113001</v>
      </c>
      <c r="C303" s="99" t="str">
        <f t="shared" si="1"/>
        <v>4</v>
      </c>
      <c r="D303" s="120">
        <f>COUNTIFS($F$33:F303,F303, $G$33:G303,G303, $C$33:C303,C303, $L$33:L303,L303)</f>
        <v>1</v>
      </c>
      <c r="E303" s="20">
        <v>1</v>
      </c>
      <c r="F303" s="66">
        <v>3</v>
      </c>
      <c r="G303" s="66">
        <v>1</v>
      </c>
      <c r="H303" s="103" t="s">
        <v>962</v>
      </c>
      <c r="I303" s="66" t="s">
        <v>1696</v>
      </c>
      <c r="J303" s="104" t="str">
        <f t="shared" si="231"/>
        <v>Item_Name_14113001</v>
      </c>
      <c r="K303" s="66">
        <v>10104001</v>
      </c>
      <c r="L303" s="106">
        <f t="shared" si="183"/>
        <v>1</v>
      </c>
      <c r="M303" s="105">
        <f>IF(D303=0, 0, _xlfn.XLOOKUP($F303,'#무게관련'!$B:$B,'#무게관련'!$C:$C)*_xlfn.XLOOKUP($L303,'#무게관련'!$F:$F,'#무게관련'!$G:$G)*100)</f>
        <v>10000</v>
      </c>
      <c r="N303" s="20">
        <v>20400</v>
      </c>
      <c r="O303" s="20">
        <v>4</v>
      </c>
      <c r="P303" s="66">
        <v>15</v>
      </c>
      <c r="Q303" s="20">
        <v>1</v>
      </c>
      <c r="R303" s="66">
        <v>100</v>
      </c>
      <c r="S303" s="66">
        <v>1</v>
      </c>
      <c r="T303" s="66" t="s">
        <v>1864</v>
      </c>
      <c r="U303" s="104" t="str">
        <f t="shared" si="224"/>
        <v>item_bg_grade_01</v>
      </c>
      <c r="V303" s="66" t="s">
        <v>322</v>
      </c>
      <c r="W303" s="66" t="s">
        <v>400</v>
      </c>
      <c r="X303" s="104">
        <v>0</v>
      </c>
      <c r="Y303" s="104">
        <v>0</v>
      </c>
      <c r="Z303" s="104">
        <v>0</v>
      </c>
      <c r="AA303" s="104">
        <v>0</v>
      </c>
      <c r="AB303" s="104">
        <v>0</v>
      </c>
      <c r="AC303" s="104">
        <v>0</v>
      </c>
      <c r="AD303" s="142">
        <v>0</v>
      </c>
      <c r="AE303" s="111">
        <f t="shared" si="184"/>
        <v>10</v>
      </c>
      <c r="AF303" s="70">
        <v>4103010</v>
      </c>
      <c r="AG303" s="105" cm="1">
        <f t="array" ref="AG303">_xlfn.SWITCH(L303,3,1,
           4,1,
           5,1,
           6,1,0)</f>
        <v>0</v>
      </c>
      <c r="AH303" s="146">
        <f t="shared" si="221"/>
        <v>80101101</v>
      </c>
      <c r="AI303" s="90">
        <v>0</v>
      </c>
      <c r="AJ303" s="90">
        <v>0</v>
      </c>
      <c r="AK303" s="27">
        <v>0</v>
      </c>
      <c r="AL303" s="123">
        <f>_xlfn.XLOOKUP(H303,'#각종 참고'!$B$11:$B$20,'#각종 참고'!$D$11:$D$20)</f>
        <v>0</v>
      </c>
      <c r="AM303" s="27">
        <v>1</v>
      </c>
      <c r="AN303" s="27">
        <v>1</v>
      </c>
      <c r="AO303" s="124">
        <f t="shared" si="207"/>
        <v>1</v>
      </c>
      <c r="AP303" s="27">
        <v>1</v>
      </c>
      <c r="AQ303" s="21">
        <v>14113001</v>
      </c>
      <c r="AR303" s="68" t="s">
        <v>1696</v>
      </c>
    </row>
    <row r="304" spans="1:47" s="68" customFormat="1" x14ac:dyDescent="0.3">
      <c r="A304" s="65"/>
      <c r="B304" s="110">
        <v>14113002</v>
      </c>
      <c r="C304" s="99" t="str">
        <f t="shared" ref="C304:C305" si="233">IF(K304&gt;0,MID(K304,5, 1), 0)</f>
        <v>4</v>
      </c>
      <c r="D304" s="120">
        <f>COUNTIFS($F$33:F304,F304, $G$33:G304,G304, $C$33:C304,C304, $L$33:L304,L304)</f>
        <v>2</v>
      </c>
      <c r="E304" s="20">
        <v>1</v>
      </c>
      <c r="F304" s="66">
        <v>3</v>
      </c>
      <c r="G304" s="66">
        <v>1</v>
      </c>
      <c r="H304" s="103" t="s">
        <v>962</v>
      </c>
      <c r="I304" s="66" t="s">
        <v>2129</v>
      </c>
      <c r="J304" s="104" t="str">
        <f t="shared" si="231"/>
        <v>Item_Name_14113002</v>
      </c>
      <c r="K304" s="66">
        <v>10104001</v>
      </c>
      <c r="L304" s="106">
        <f t="shared" si="183"/>
        <v>1</v>
      </c>
      <c r="M304" s="105">
        <f>IF(D304=0, 0, _xlfn.XLOOKUP($F304,'#무게관련'!$B:$B,'#무게관련'!$C:$C)*_xlfn.XLOOKUP($L304,'#무게관련'!$F:$F,'#무게관련'!$G:$G)*100)</f>
        <v>10000</v>
      </c>
      <c r="N304" s="20">
        <v>20400</v>
      </c>
      <c r="O304" s="20">
        <v>4</v>
      </c>
      <c r="P304" s="66">
        <v>15</v>
      </c>
      <c r="Q304" s="20">
        <v>1</v>
      </c>
      <c r="R304" s="66">
        <v>100</v>
      </c>
      <c r="S304" s="66">
        <v>1</v>
      </c>
      <c r="T304" s="66" t="s">
        <v>1864</v>
      </c>
      <c r="U304" s="104" t="str">
        <f t="shared" ref="U304:U305" si="234">"item_bg_grade_0"&amp;L304</f>
        <v>item_bg_grade_01</v>
      </c>
      <c r="V304" s="66" t="s">
        <v>322</v>
      </c>
      <c r="W304" s="66" t="s">
        <v>400</v>
      </c>
      <c r="X304" s="104">
        <v>0</v>
      </c>
      <c r="Y304" s="104">
        <v>0</v>
      </c>
      <c r="Z304" s="104">
        <v>0</v>
      </c>
      <c r="AA304" s="104">
        <v>0</v>
      </c>
      <c r="AB304" s="104">
        <v>0</v>
      </c>
      <c r="AC304" s="104">
        <v>0</v>
      </c>
      <c r="AD304" s="142">
        <v>0</v>
      </c>
      <c r="AE304" s="111">
        <f t="shared" si="184"/>
        <v>10</v>
      </c>
      <c r="AF304" s="70">
        <v>4103020</v>
      </c>
      <c r="AG304" s="105" cm="1">
        <f t="array" ref="AG304">_xlfn.SWITCH(L304,3,1,
           4,1,
           5,1,
           6,1,0)</f>
        <v>0</v>
      </c>
      <c r="AH304" s="146">
        <f t="shared" si="221"/>
        <v>80101101</v>
      </c>
      <c r="AI304" s="90">
        <v>0</v>
      </c>
      <c r="AJ304" s="90">
        <v>0</v>
      </c>
      <c r="AK304" s="27">
        <v>0</v>
      </c>
      <c r="AL304" s="123">
        <f>_xlfn.XLOOKUP(H304,'#각종 참고'!$B$11:$B$20,'#각종 참고'!$D$11:$D$20)</f>
        <v>0</v>
      </c>
      <c r="AM304" s="27">
        <v>1</v>
      </c>
      <c r="AN304" s="27">
        <v>1</v>
      </c>
      <c r="AO304" s="124">
        <f t="shared" si="207"/>
        <v>1</v>
      </c>
      <c r="AP304" s="27">
        <v>1</v>
      </c>
      <c r="AQ304" s="21">
        <v>14113011</v>
      </c>
      <c r="AR304" s="68" t="s">
        <v>2425</v>
      </c>
    </row>
    <row r="305" spans="1:47" s="68" customFormat="1" x14ac:dyDescent="0.3">
      <c r="A305" s="65"/>
      <c r="B305" s="110">
        <v>14113003</v>
      </c>
      <c r="C305" s="99" t="str">
        <f t="shared" si="233"/>
        <v>4</v>
      </c>
      <c r="D305" s="120">
        <f>COUNTIFS($F$33:F305,F305, $G$33:G305,G305, $C$33:C305,C305, $L$33:L305,L305)</f>
        <v>3</v>
      </c>
      <c r="E305" s="20">
        <v>1</v>
      </c>
      <c r="F305" s="66">
        <v>3</v>
      </c>
      <c r="G305" s="66">
        <v>1</v>
      </c>
      <c r="H305" s="103" t="s">
        <v>962</v>
      </c>
      <c r="I305" s="66" t="s">
        <v>2128</v>
      </c>
      <c r="J305" s="104" t="str">
        <f t="shared" si="231"/>
        <v>Item_Name_14113003</v>
      </c>
      <c r="K305" s="66">
        <v>10104001</v>
      </c>
      <c r="L305" s="106">
        <f t="shared" si="183"/>
        <v>1</v>
      </c>
      <c r="M305" s="105">
        <f>IF(D305=0, 0, _xlfn.XLOOKUP($F305,'#무게관련'!$B:$B,'#무게관련'!$C:$C)*_xlfn.XLOOKUP($L305,'#무게관련'!$F:$F,'#무게관련'!$G:$G)*100)</f>
        <v>10000</v>
      </c>
      <c r="N305" s="20">
        <v>20400</v>
      </c>
      <c r="O305" s="20">
        <v>4</v>
      </c>
      <c r="P305" s="66">
        <v>15</v>
      </c>
      <c r="Q305" s="20">
        <v>1</v>
      </c>
      <c r="R305" s="66">
        <v>100</v>
      </c>
      <c r="S305" s="66">
        <v>1</v>
      </c>
      <c r="T305" s="66" t="s">
        <v>1864</v>
      </c>
      <c r="U305" s="104" t="str">
        <f t="shared" si="234"/>
        <v>item_bg_grade_01</v>
      </c>
      <c r="V305" s="66" t="s">
        <v>322</v>
      </c>
      <c r="W305" s="66" t="s">
        <v>400</v>
      </c>
      <c r="X305" s="104">
        <v>0</v>
      </c>
      <c r="Y305" s="104">
        <v>0</v>
      </c>
      <c r="Z305" s="104">
        <v>0</v>
      </c>
      <c r="AA305" s="104">
        <v>0</v>
      </c>
      <c r="AB305" s="104">
        <v>0</v>
      </c>
      <c r="AC305" s="104">
        <v>0</v>
      </c>
      <c r="AD305" s="142">
        <v>0</v>
      </c>
      <c r="AE305" s="111">
        <f t="shared" si="184"/>
        <v>10</v>
      </c>
      <c r="AF305" s="70">
        <v>4103030</v>
      </c>
      <c r="AG305" s="105" cm="1">
        <f t="array" ref="AG305">_xlfn.SWITCH(L305,3,1,
           4,1,
           5,1,
           6,1,0)</f>
        <v>0</v>
      </c>
      <c r="AH305" s="146">
        <f t="shared" si="221"/>
        <v>80101101</v>
      </c>
      <c r="AI305" s="90">
        <v>0</v>
      </c>
      <c r="AJ305" s="90">
        <v>0</v>
      </c>
      <c r="AK305" s="27">
        <v>0</v>
      </c>
      <c r="AL305" s="123">
        <f>_xlfn.XLOOKUP(H305,'#각종 참고'!$B$11:$B$20,'#각종 참고'!$D$11:$D$20)</f>
        <v>0</v>
      </c>
      <c r="AM305" s="27">
        <v>1</v>
      </c>
      <c r="AN305" s="27">
        <v>1</v>
      </c>
      <c r="AO305" s="124">
        <f t="shared" si="207"/>
        <v>1</v>
      </c>
      <c r="AP305" s="27">
        <v>1</v>
      </c>
      <c r="AQ305" s="21">
        <v>14113021</v>
      </c>
      <c r="AR305" s="68" t="s">
        <v>2426</v>
      </c>
    </row>
    <row r="306" spans="1:47" x14ac:dyDescent="0.3">
      <c r="A306" s="19"/>
      <c r="B306" s="109">
        <v>14123001</v>
      </c>
      <c r="C306" s="99" t="str">
        <f t="shared" si="1"/>
        <v>4</v>
      </c>
      <c r="D306" s="121">
        <f>COUNTIFS($F$33:F306,F306, $G$33:G306,G306, $C$33:C306,C306, $L$33:L306,L306)</f>
        <v>1</v>
      </c>
      <c r="E306" s="20">
        <v>1</v>
      </c>
      <c r="F306" s="20">
        <v>3</v>
      </c>
      <c r="G306" s="20">
        <v>1</v>
      </c>
      <c r="H306" s="103" t="s">
        <v>962</v>
      </c>
      <c r="I306" s="20" t="s">
        <v>1697</v>
      </c>
      <c r="J306" s="104" t="str">
        <f t="shared" si="231"/>
        <v>Item_Name_14123001</v>
      </c>
      <c r="K306" s="20">
        <v>10104001</v>
      </c>
      <c r="L306" s="107">
        <f t="shared" si="183"/>
        <v>2</v>
      </c>
      <c r="M306" s="105">
        <f>IF(D306=0, 0, _xlfn.XLOOKUP($F306,'#무게관련'!$B:$B,'#무게관련'!$C:$C)*_xlfn.XLOOKUP($L306,'#무게관련'!$F:$F,'#무게관련'!$G:$G)*100)</f>
        <v>10000</v>
      </c>
      <c r="N306" s="20">
        <v>20400</v>
      </c>
      <c r="O306" s="20">
        <v>4</v>
      </c>
      <c r="P306" s="20">
        <v>15</v>
      </c>
      <c r="Q306" s="20">
        <v>1</v>
      </c>
      <c r="R306" s="20">
        <v>100</v>
      </c>
      <c r="S306" s="20">
        <v>1</v>
      </c>
      <c r="T306" s="20" t="s">
        <v>1865</v>
      </c>
      <c r="U306" s="104" t="str">
        <f t="shared" si="224"/>
        <v>item_bg_grade_02</v>
      </c>
      <c r="V306" s="20" t="s">
        <v>322</v>
      </c>
      <c r="W306" s="20" t="s">
        <v>400</v>
      </c>
      <c r="X306" s="104">
        <v>0</v>
      </c>
      <c r="Y306" s="104">
        <v>0</v>
      </c>
      <c r="Z306" s="104">
        <v>0</v>
      </c>
      <c r="AA306" s="104">
        <v>0</v>
      </c>
      <c r="AB306" s="104">
        <v>0</v>
      </c>
      <c r="AC306" s="104">
        <v>0</v>
      </c>
      <c r="AD306" s="142">
        <v>0</v>
      </c>
      <c r="AE306" s="112">
        <f t="shared" si="184"/>
        <v>20</v>
      </c>
      <c r="AF306" s="70">
        <v>4203010</v>
      </c>
      <c r="AG306" s="105" cm="1">
        <f t="array" ref="AG306">_xlfn.SWITCH(L306,3,1,
           4,1,
           5,1,
           6,1,0)</f>
        <v>0</v>
      </c>
      <c r="AH306" s="146">
        <f t="shared" si="221"/>
        <v>80101201</v>
      </c>
      <c r="AI306" s="90">
        <v>6000</v>
      </c>
      <c r="AJ306" s="90">
        <v>3001</v>
      </c>
      <c r="AK306" s="27">
        <v>2003</v>
      </c>
      <c r="AL306" s="123">
        <f>_xlfn.XLOOKUP(H306,'#각종 참고'!$B$11:$B$20,'#각종 참고'!$D$11:$D$20)</f>
        <v>0</v>
      </c>
      <c r="AM306" s="27">
        <v>1</v>
      </c>
      <c r="AN306" s="27">
        <v>1</v>
      </c>
      <c r="AO306" s="124">
        <f t="shared" si="207"/>
        <v>1</v>
      </c>
      <c r="AP306" s="27">
        <v>1</v>
      </c>
      <c r="AQ306" s="21">
        <v>14123001</v>
      </c>
      <c r="AR306" s="21" t="s">
        <v>1697</v>
      </c>
      <c r="AS306" s="68"/>
      <c r="AT306" s="68"/>
      <c r="AU306" s="68"/>
    </row>
    <row r="307" spans="1:47" x14ac:dyDescent="0.3">
      <c r="A307" s="19"/>
      <c r="B307" s="109">
        <v>14123002</v>
      </c>
      <c r="C307" s="99" t="str">
        <f t="shared" ref="C307:C308" si="235">IF(K307&gt;0,MID(K307,5, 1), 0)</f>
        <v>4</v>
      </c>
      <c r="D307" s="121">
        <f>COUNTIFS($F$33:F307,F307, $G$33:G307,G307, $C$33:C307,C307, $L$33:L307,L307)</f>
        <v>2</v>
      </c>
      <c r="E307" s="20">
        <v>1</v>
      </c>
      <c r="F307" s="20">
        <v>3</v>
      </c>
      <c r="G307" s="20">
        <v>1</v>
      </c>
      <c r="H307" s="103" t="s">
        <v>962</v>
      </c>
      <c r="I307" s="20" t="s">
        <v>2130</v>
      </c>
      <c r="J307" s="104" t="str">
        <f t="shared" si="231"/>
        <v>Item_Name_14123002</v>
      </c>
      <c r="K307" s="20">
        <v>10104001</v>
      </c>
      <c r="L307" s="107">
        <f t="shared" ref="L307:L370" si="236">L289</f>
        <v>2</v>
      </c>
      <c r="M307" s="105">
        <f>IF(D307=0, 0, _xlfn.XLOOKUP($F307,'#무게관련'!$B:$B,'#무게관련'!$C:$C)*_xlfn.XLOOKUP($L307,'#무게관련'!$F:$F,'#무게관련'!$G:$G)*100)</f>
        <v>10000</v>
      </c>
      <c r="N307" s="20">
        <v>20400</v>
      </c>
      <c r="O307" s="20">
        <v>4</v>
      </c>
      <c r="P307" s="20">
        <v>15</v>
      </c>
      <c r="Q307" s="20">
        <v>1</v>
      </c>
      <c r="R307" s="20">
        <v>100</v>
      </c>
      <c r="S307" s="20">
        <v>1</v>
      </c>
      <c r="T307" s="20" t="s">
        <v>1865</v>
      </c>
      <c r="U307" s="104" t="str">
        <f t="shared" ref="U307:U308" si="237">"item_bg_grade_0"&amp;L307</f>
        <v>item_bg_grade_02</v>
      </c>
      <c r="V307" s="20" t="s">
        <v>322</v>
      </c>
      <c r="W307" s="20" t="s">
        <v>400</v>
      </c>
      <c r="X307" s="104">
        <v>0</v>
      </c>
      <c r="Y307" s="104">
        <v>0</v>
      </c>
      <c r="Z307" s="104">
        <v>0</v>
      </c>
      <c r="AA307" s="104">
        <v>0</v>
      </c>
      <c r="AB307" s="104">
        <v>0</v>
      </c>
      <c r="AC307" s="104">
        <v>0</v>
      </c>
      <c r="AD307" s="142">
        <v>0</v>
      </c>
      <c r="AE307" s="112">
        <f t="shared" ref="AE307:AE370" si="238">AE289</f>
        <v>20</v>
      </c>
      <c r="AF307" s="70">
        <v>4203020</v>
      </c>
      <c r="AG307" s="105" cm="1">
        <f t="array" ref="AG307">_xlfn.SWITCH(L307,3,1,
           4,1,
           5,1,
           6,1,0)</f>
        <v>0</v>
      </c>
      <c r="AH307" s="146">
        <f t="shared" si="221"/>
        <v>80101201</v>
      </c>
      <c r="AI307" s="90">
        <v>6000</v>
      </c>
      <c r="AJ307" s="90">
        <v>3001</v>
      </c>
      <c r="AK307" s="27">
        <v>2003</v>
      </c>
      <c r="AL307" s="123">
        <f>_xlfn.XLOOKUP(H307,'#각종 참고'!$B$11:$B$20,'#각종 참고'!$D$11:$D$20)</f>
        <v>0</v>
      </c>
      <c r="AM307" s="27">
        <v>1</v>
      </c>
      <c r="AN307" s="27">
        <v>1</v>
      </c>
      <c r="AO307" s="124">
        <f t="shared" si="207"/>
        <v>1</v>
      </c>
      <c r="AP307" s="27">
        <v>1</v>
      </c>
      <c r="AQ307" s="21">
        <v>14123011</v>
      </c>
      <c r="AR307" s="21" t="s">
        <v>2427</v>
      </c>
      <c r="AS307" s="68"/>
      <c r="AT307" s="68"/>
      <c r="AU307" s="68"/>
    </row>
    <row r="308" spans="1:47" x14ac:dyDescent="0.3">
      <c r="A308" s="19"/>
      <c r="B308" s="109">
        <v>14123003</v>
      </c>
      <c r="C308" s="99" t="str">
        <f t="shared" si="235"/>
        <v>4</v>
      </c>
      <c r="D308" s="121">
        <f>COUNTIFS($F$33:F308,F308, $G$33:G308,G308, $C$33:C308,C308, $L$33:L308,L308)</f>
        <v>3</v>
      </c>
      <c r="E308" s="20">
        <v>1</v>
      </c>
      <c r="F308" s="20">
        <v>3</v>
      </c>
      <c r="G308" s="20">
        <v>1</v>
      </c>
      <c r="H308" s="103" t="s">
        <v>962</v>
      </c>
      <c r="I308" s="20" t="s">
        <v>2022</v>
      </c>
      <c r="J308" s="104" t="str">
        <f t="shared" si="231"/>
        <v>Item_Name_14123003</v>
      </c>
      <c r="K308" s="20">
        <v>10104001</v>
      </c>
      <c r="L308" s="107">
        <f t="shared" si="236"/>
        <v>2</v>
      </c>
      <c r="M308" s="105">
        <f>IF(D308=0, 0, _xlfn.XLOOKUP($F308,'#무게관련'!$B:$B,'#무게관련'!$C:$C)*_xlfn.XLOOKUP($L308,'#무게관련'!$F:$F,'#무게관련'!$G:$G)*100)</f>
        <v>10000</v>
      </c>
      <c r="N308" s="20">
        <v>20400</v>
      </c>
      <c r="O308" s="20">
        <v>4</v>
      </c>
      <c r="P308" s="20">
        <v>15</v>
      </c>
      <c r="Q308" s="20">
        <v>1</v>
      </c>
      <c r="R308" s="20">
        <v>100</v>
      </c>
      <c r="S308" s="20">
        <v>1</v>
      </c>
      <c r="T308" s="20" t="s">
        <v>1865</v>
      </c>
      <c r="U308" s="104" t="str">
        <f t="shared" si="237"/>
        <v>item_bg_grade_02</v>
      </c>
      <c r="V308" s="20" t="s">
        <v>322</v>
      </c>
      <c r="W308" s="20" t="s">
        <v>400</v>
      </c>
      <c r="X308" s="104">
        <v>0</v>
      </c>
      <c r="Y308" s="104">
        <v>0</v>
      </c>
      <c r="Z308" s="104">
        <v>0</v>
      </c>
      <c r="AA308" s="104">
        <v>0</v>
      </c>
      <c r="AB308" s="104">
        <v>0</v>
      </c>
      <c r="AC308" s="104">
        <v>0</v>
      </c>
      <c r="AD308" s="142">
        <v>0</v>
      </c>
      <c r="AE308" s="112">
        <f t="shared" si="238"/>
        <v>20</v>
      </c>
      <c r="AF308" s="70">
        <v>4203030</v>
      </c>
      <c r="AG308" s="105" cm="1">
        <f t="array" ref="AG308">_xlfn.SWITCH(L308,3,1,
           4,1,
           5,1,
           6,1,0)</f>
        <v>0</v>
      </c>
      <c r="AH308" s="146">
        <f t="shared" si="221"/>
        <v>80101201</v>
      </c>
      <c r="AI308" s="90">
        <v>6000</v>
      </c>
      <c r="AJ308" s="90">
        <v>3001</v>
      </c>
      <c r="AK308" s="27">
        <v>2003</v>
      </c>
      <c r="AL308" s="123">
        <f>_xlfn.XLOOKUP(H308,'#각종 참고'!$B$11:$B$20,'#각종 참고'!$D$11:$D$20)</f>
        <v>0</v>
      </c>
      <c r="AM308" s="27">
        <v>1</v>
      </c>
      <c r="AN308" s="27">
        <v>1</v>
      </c>
      <c r="AO308" s="124">
        <f t="shared" si="207"/>
        <v>1</v>
      </c>
      <c r="AP308" s="27">
        <v>1</v>
      </c>
      <c r="AQ308" s="21">
        <v>14123021</v>
      </c>
      <c r="AR308" s="21" t="s">
        <v>2428</v>
      </c>
      <c r="AS308" s="68"/>
      <c r="AT308" s="68"/>
      <c r="AU308" s="68"/>
    </row>
    <row r="309" spans="1:47" x14ac:dyDescent="0.3">
      <c r="A309" s="19"/>
      <c r="B309" s="109">
        <v>14133001</v>
      </c>
      <c r="C309" s="99" t="str">
        <f t="shared" si="1"/>
        <v>4</v>
      </c>
      <c r="D309" s="121">
        <f>COUNTIFS($F$33:F309,F309, $G$33:G309,G309, $C$33:C309,C309, $L$33:L309,L309)</f>
        <v>1</v>
      </c>
      <c r="E309" s="20">
        <v>1</v>
      </c>
      <c r="F309" s="20">
        <v>3</v>
      </c>
      <c r="G309" s="20">
        <v>1</v>
      </c>
      <c r="H309" s="103" t="s">
        <v>962</v>
      </c>
      <c r="I309" s="20" t="s">
        <v>1698</v>
      </c>
      <c r="J309" s="104" t="str">
        <f t="shared" si="231"/>
        <v>Item_Name_14133001</v>
      </c>
      <c r="K309" s="20">
        <v>10104001</v>
      </c>
      <c r="L309" s="107">
        <f t="shared" si="236"/>
        <v>3</v>
      </c>
      <c r="M309" s="105">
        <f>IF(D309=0, 0, _xlfn.XLOOKUP($F309,'#무게관련'!$B:$B,'#무게관련'!$C:$C)*_xlfn.XLOOKUP($L309,'#무게관련'!$F:$F,'#무게관련'!$G:$G)*100)</f>
        <v>10000</v>
      </c>
      <c r="N309" s="20">
        <v>20400</v>
      </c>
      <c r="O309" s="20">
        <v>4</v>
      </c>
      <c r="P309" s="20">
        <v>15</v>
      </c>
      <c r="Q309" s="20">
        <v>1</v>
      </c>
      <c r="R309" s="20">
        <v>100</v>
      </c>
      <c r="S309" s="20">
        <v>1</v>
      </c>
      <c r="T309" s="20" t="s">
        <v>1866</v>
      </c>
      <c r="U309" s="104" t="str">
        <f t="shared" si="224"/>
        <v>item_bg_grade_03</v>
      </c>
      <c r="V309" s="20" t="s">
        <v>322</v>
      </c>
      <c r="W309" s="20" t="s">
        <v>400</v>
      </c>
      <c r="X309" s="104">
        <v>0</v>
      </c>
      <c r="Y309" s="104">
        <v>0</v>
      </c>
      <c r="Z309" s="104">
        <v>0</v>
      </c>
      <c r="AA309" s="104">
        <v>0</v>
      </c>
      <c r="AB309" s="104">
        <v>0</v>
      </c>
      <c r="AC309" s="104">
        <v>0</v>
      </c>
      <c r="AD309" s="142">
        <v>0</v>
      </c>
      <c r="AE309" s="112">
        <f t="shared" si="238"/>
        <v>30</v>
      </c>
      <c r="AF309" s="70">
        <v>4303010</v>
      </c>
      <c r="AG309" s="105" cm="1">
        <f t="array" ref="AG309">_xlfn.SWITCH(L309,3,1,
           4,1,
           5,1,
           6,1,0)</f>
        <v>1</v>
      </c>
      <c r="AH309" s="146">
        <f t="shared" si="221"/>
        <v>80101301</v>
      </c>
      <c r="AI309" s="90">
        <v>6001</v>
      </c>
      <c r="AJ309" s="90">
        <v>3003</v>
      </c>
      <c r="AK309" s="27">
        <v>3003</v>
      </c>
      <c r="AL309" s="123">
        <f>_xlfn.XLOOKUP(H309,'#각종 참고'!$B$11:$B$20,'#각종 참고'!$D$11:$D$20)</f>
        <v>0</v>
      </c>
      <c r="AM309" s="27">
        <v>1</v>
      </c>
      <c r="AN309" s="27">
        <v>1</v>
      </c>
      <c r="AO309" s="124">
        <f t="shared" si="207"/>
        <v>1</v>
      </c>
      <c r="AP309" s="27">
        <v>1</v>
      </c>
      <c r="AQ309" s="21">
        <v>14133001</v>
      </c>
      <c r="AR309" s="21" t="s">
        <v>1698</v>
      </c>
      <c r="AS309" s="68"/>
      <c r="AT309" s="68"/>
      <c r="AU309" s="68"/>
    </row>
    <row r="310" spans="1:47" x14ac:dyDescent="0.3">
      <c r="A310" s="19"/>
      <c r="B310" s="109">
        <v>14133002</v>
      </c>
      <c r="C310" s="99" t="str">
        <f t="shared" ref="C310:C311" si="239">IF(K310&gt;0,MID(K310,5, 1), 0)</f>
        <v>4</v>
      </c>
      <c r="D310" s="121">
        <f>COUNTIFS($F$33:F310,F310, $G$33:G310,G310, $C$33:C310,C310, $L$33:L310,L310)</f>
        <v>2</v>
      </c>
      <c r="E310" s="20">
        <v>1</v>
      </c>
      <c r="F310" s="20">
        <v>3</v>
      </c>
      <c r="G310" s="20">
        <v>1</v>
      </c>
      <c r="H310" s="103" t="s">
        <v>962</v>
      </c>
      <c r="I310" s="20" t="s">
        <v>1699</v>
      </c>
      <c r="J310" s="104" t="str">
        <f t="shared" si="231"/>
        <v>Item_Name_14133002</v>
      </c>
      <c r="K310" s="20">
        <v>10104001</v>
      </c>
      <c r="L310" s="107">
        <f t="shared" si="236"/>
        <v>3</v>
      </c>
      <c r="M310" s="105">
        <f>IF(D310=0, 0, _xlfn.XLOOKUP($F310,'#무게관련'!$B:$B,'#무게관련'!$C:$C)*_xlfn.XLOOKUP($L310,'#무게관련'!$F:$F,'#무게관련'!$G:$G)*100)</f>
        <v>10000</v>
      </c>
      <c r="N310" s="20">
        <v>20400</v>
      </c>
      <c r="O310" s="20">
        <v>4</v>
      </c>
      <c r="P310" s="20">
        <v>15</v>
      </c>
      <c r="Q310" s="20">
        <v>1</v>
      </c>
      <c r="R310" s="20">
        <v>100</v>
      </c>
      <c r="S310" s="20">
        <v>1</v>
      </c>
      <c r="T310" s="20" t="s">
        <v>1866</v>
      </c>
      <c r="U310" s="104" t="str">
        <f t="shared" ref="U310:U311" si="240">"item_bg_grade_0"&amp;L310</f>
        <v>item_bg_grade_03</v>
      </c>
      <c r="V310" s="20" t="s">
        <v>322</v>
      </c>
      <c r="W310" s="20" t="s">
        <v>400</v>
      </c>
      <c r="X310" s="104">
        <v>0</v>
      </c>
      <c r="Y310" s="104">
        <v>0</v>
      </c>
      <c r="Z310" s="104">
        <v>0</v>
      </c>
      <c r="AA310" s="104">
        <v>0</v>
      </c>
      <c r="AB310" s="104">
        <v>0</v>
      </c>
      <c r="AC310" s="104">
        <v>0</v>
      </c>
      <c r="AD310" s="142">
        <v>0</v>
      </c>
      <c r="AE310" s="112">
        <f t="shared" si="238"/>
        <v>30</v>
      </c>
      <c r="AF310" s="70">
        <v>4303020</v>
      </c>
      <c r="AG310" s="105" cm="1">
        <f t="array" ref="AG310">_xlfn.SWITCH(L310,3,1,
           4,1,
           5,1,
           6,1,0)</f>
        <v>1</v>
      </c>
      <c r="AH310" s="146">
        <f t="shared" si="221"/>
        <v>80101301</v>
      </c>
      <c r="AI310" s="90">
        <v>6001</v>
      </c>
      <c r="AJ310" s="90">
        <v>3003</v>
      </c>
      <c r="AK310" s="27">
        <v>3003</v>
      </c>
      <c r="AL310" s="123">
        <f>_xlfn.XLOOKUP(H310,'#각종 참고'!$B$11:$B$20,'#각종 참고'!$D$11:$D$20)</f>
        <v>0</v>
      </c>
      <c r="AM310" s="27">
        <v>1</v>
      </c>
      <c r="AN310" s="27">
        <v>1</v>
      </c>
      <c r="AO310" s="124">
        <f t="shared" si="207"/>
        <v>1</v>
      </c>
      <c r="AP310" s="27">
        <v>1</v>
      </c>
      <c r="AQ310" s="21">
        <v>14133011</v>
      </c>
      <c r="AR310" s="21" t="s">
        <v>2429</v>
      </c>
      <c r="AS310" s="68"/>
      <c r="AT310" s="68"/>
      <c r="AU310" s="68"/>
    </row>
    <row r="311" spans="1:47" x14ac:dyDescent="0.3">
      <c r="A311" s="19"/>
      <c r="B311" s="109">
        <v>14133003</v>
      </c>
      <c r="C311" s="99" t="str">
        <f t="shared" si="239"/>
        <v>4</v>
      </c>
      <c r="D311" s="121">
        <f>COUNTIFS($F$33:F311,F311, $G$33:G311,G311, $C$33:C311,C311, $L$33:L311,L311)</f>
        <v>3</v>
      </c>
      <c r="E311" s="20">
        <v>1</v>
      </c>
      <c r="F311" s="20">
        <v>3</v>
      </c>
      <c r="G311" s="20">
        <v>1</v>
      </c>
      <c r="H311" s="103" t="s">
        <v>962</v>
      </c>
      <c r="I311" s="20" t="s">
        <v>2131</v>
      </c>
      <c r="J311" s="104" t="str">
        <f t="shared" si="231"/>
        <v>Item_Name_14133003</v>
      </c>
      <c r="K311" s="20">
        <v>10104001</v>
      </c>
      <c r="L311" s="107">
        <f t="shared" si="236"/>
        <v>3</v>
      </c>
      <c r="M311" s="105">
        <f>IF(D311=0, 0, _xlfn.XLOOKUP($F311,'#무게관련'!$B:$B,'#무게관련'!$C:$C)*_xlfn.XLOOKUP($L311,'#무게관련'!$F:$F,'#무게관련'!$G:$G)*100)</f>
        <v>10000</v>
      </c>
      <c r="N311" s="20">
        <v>20400</v>
      </c>
      <c r="O311" s="20">
        <v>4</v>
      </c>
      <c r="P311" s="20">
        <v>15</v>
      </c>
      <c r="Q311" s="20">
        <v>1</v>
      </c>
      <c r="R311" s="20">
        <v>100</v>
      </c>
      <c r="S311" s="20">
        <v>1</v>
      </c>
      <c r="T311" s="20" t="s">
        <v>1866</v>
      </c>
      <c r="U311" s="104" t="str">
        <f t="shared" si="240"/>
        <v>item_bg_grade_03</v>
      </c>
      <c r="V311" s="20" t="s">
        <v>322</v>
      </c>
      <c r="W311" s="20" t="s">
        <v>400</v>
      </c>
      <c r="X311" s="104">
        <v>0</v>
      </c>
      <c r="Y311" s="104">
        <v>0</v>
      </c>
      <c r="Z311" s="104">
        <v>0</v>
      </c>
      <c r="AA311" s="104">
        <v>0</v>
      </c>
      <c r="AB311" s="104">
        <v>0</v>
      </c>
      <c r="AC311" s="104">
        <v>0</v>
      </c>
      <c r="AD311" s="142">
        <v>0</v>
      </c>
      <c r="AE311" s="112">
        <f t="shared" si="238"/>
        <v>30</v>
      </c>
      <c r="AF311" s="70">
        <v>4303030</v>
      </c>
      <c r="AG311" s="105" cm="1">
        <f t="array" ref="AG311">_xlfn.SWITCH(L311,3,1,
           4,1,
           5,1,
           6,1,0)</f>
        <v>1</v>
      </c>
      <c r="AH311" s="146">
        <f t="shared" si="221"/>
        <v>80101301</v>
      </c>
      <c r="AI311" s="90">
        <v>6001</v>
      </c>
      <c r="AJ311" s="90">
        <v>3003</v>
      </c>
      <c r="AK311" s="27">
        <v>3003</v>
      </c>
      <c r="AL311" s="123">
        <f>_xlfn.XLOOKUP(H311,'#각종 참고'!$B$11:$B$20,'#각종 참고'!$D$11:$D$20)</f>
        <v>0</v>
      </c>
      <c r="AM311" s="27">
        <v>1</v>
      </c>
      <c r="AN311" s="27">
        <v>1</v>
      </c>
      <c r="AO311" s="124">
        <f t="shared" si="207"/>
        <v>1</v>
      </c>
      <c r="AP311" s="27">
        <v>1</v>
      </c>
      <c r="AQ311" s="21">
        <v>14133021</v>
      </c>
      <c r="AR311" s="21" t="s">
        <v>2430</v>
      </c>
      <c r="AS311" s="68"/>
      <c r="AT311" s="68"/>
      <c r="AU311" s="68"/>
    </row>
    <row r="312" spans="1:47" x14ac:dyDescent="0.3">
      <c r="A312" s="19"/>
      <c r="B312" s="109">
        <v>14143001</v>
      </c>
      <c r="C312" s="99" t="str">
        <f t="shared" si="1"/>
        <v>4</v>
      </c>
      <c r="D312" s="121">
        <f>COUNTIFS($F$33:F312,F312, $G$33:G312,G312, $C$33:C312,C312, $L$33:L312,L312)</f>
        <v>1</v>
      </c>
      <c r="E312" s="20">
        <v>1</v>
      </c>
      <c r="F312" s="20">
        <v>3</v>
      </c>
      <c r="G312" s="20">
        <v>1</v>
      </c>
      <c r="H312" s="103" t="s">
        <v>962</v>
      </c>
      <c r="I312" s="20" t="s">
        <v>1700</v>
      </c>
      <c r="J312" s="104" t="str">
        <f t="shared" si="231"/>
        <v>Item_Name_14143001</v>
      </c>
      <c r="K312" s="20">
        <v>10104001</v>
      </c>
      <c r="L312" s="107">
        <f t="shared" si="236"/>
        <v>4</v>
      </c>
      <c r="M312" s="105">
        <f>IF(D312=0, 0, _xlfn.XLOOKUP($F312,'#무게관련'!$B:$B,'#무게관련'!$C:$C)*_xlfn.XLOOKUP($L312,'#무게관련'!$F:$F,'#무게관련'!$G:$G)*100)</f>
        <v>10000</v>
      </c>
      <c r="N312" s="20">
        <v>20400</v>
      </c>
      <c r="O312" s="20">
        <v>4</v>
      </c>
      <c r="P312" s="20">
        <v>15</v>
      </c>
      <c r="Q312" s="20">
        <v>1</v>
      </c>
      <c r="R312" s="20">
        <v>100</v>
      </c>
      <c r="S312" s="20">
        <v>1</v>
      </c>
      <c r="T312" s="20" t="s">
        <v>1867</v>
      </c>
      <c r="U312" s="104" t="str">
        <f t="shared" si="224"/>
        <v>item_bg_grade_04</v>
      </c>
      <c r="V312" s="20" t="s">
        <v>322</v>
      </c>
      <c r="W312" s="20" t="s">
        <v>400</v>
      </c>
      <c r="X312" s="104">
        <v>0</v>
      </c>
      <c r="Y312" s="104">
        <v>0</v>
      </c>
      <c r="Z312" s="104">
        <v>0</v>
      </c>
      <c r="AA312" s="104">
        <v>0</v>
      </c>
      <c r="AB312" s="104">
        <v>0</v>
      </c>
      <c r="AC312" s="104">
        <v>0</v>
      </c>
      <c r="AD312" s="142">
        <v>0</v>
      </c>
      <c r="AE312" s="112">
        <f t="shared" si="238"/>
        <v>40</v>
      </c>
      <c r="AF312" s="70">
        <v>4403010</v>
      </c>
      <c r="AG312" s="105" cm="1">
        <f t="array" ref="AG312">_xlfn.SWITCH(L312,3,1,
           4,1,
           5,1,
           6,1,0)</f>
        <v>1</v>
      </c>
      <c r="AH312" s="146">
        <f t="shared" si="221"/>
        <v>80101401</v>
      </c>
      <c r="AI312" s="90">
        <v>6002</v>
      </c>
      <c r="AJ312" s="90">
        <v>3005</v>
      </c>
      <c r="AK312" s="27">
        <v>4003</v>
      </c>
      <c r="AL312" s="123">
        <f>_xlfn.XLOOKUP(H312,'#각종 참고'!$B$11:$B$20,'#각종 참고'!$D$11:$D$20)</f>
        <v>0</v>
      </c>
      <c r="AM312" s="27">
        <v>1</v>
      </c>
      <c r="AN312" s="27">
        <v>1</v>
      </c>
      <c r="AO312" s="124">
        <f t="shared" si="207"/>
        <v>1</v>
      </c>
      <c r="AP312" s="27">
        <v>1</v>
      </c>
      <c r="AQ312" s="21">
        <v>14143001</v>
      </c>
      <c r="AR312" s="21" t="s">
        <v>1700</v>
      </c>
      <c r="AS312" s="68"/>
      <c r="AT312" s="68"/>
      <c r="AU312" s="68"/>
    </row>
    <row r="313" spans="1:47" x14ac:dyDescent="0.3">
      <c r="A313" s="19"/>
      <c r="B313" s="109">
        <v>14143002</v>
      </c>
      <c r="C313" s="99" t="str">
        <f t="shared" ref="C313:C314" si="241">IF(K313&gt;0,MID(K313,5, 1), 0)</f>
        <v>4</v>
      </c>
      <c r="D313" s="121">
        <f>COUNTIFS($F$33:F313,F313, $G$33:G313,G313, $C$33:C313,C313, $L$33:L313,L313)</f>
        <v>2</v>
      </c>
      <c r="E313" s="20">
        <v>1</v>
      </c>
      <c r="F313" s="20">
        <v>3</v>
      </c>
      <c r="G313" s="20">
        <v>1</v>
      </c>
      <c r="H313" s="103" t="s">
        <v>962</v>
      </c>
      <c r="I313" s="20" t="s">
        <v>2132</v>
      </c>
      <c r="J313" s="104" t="str">
        <f t="shared" si="231"/>
        <v>Item_Name_14143002</v>
      </c>
      <c r="K313" s="20">
        <v>10104001</v>
      </c>
      <c r="L313" s="107">
        <f t="shared" si="236"/>
        <v>4</v>
      </c>
      <c r="M313" s="105">
        <f>IF(D313=0, 0, _xlfn.XLOOKUP($F313,'#무게관련'!$B:$B,'#무게관련'!$C:$C)*_xlfn.XLOOKUP($L313,'#무게관련'!$F:$F,'#무게관련'!$G:$G)*100)</f>
        <v>10000</v>
      </c>
      <c r="N313" s="20">
        <v>20400</v>
      </c>
      <c r="O313" s="20">
        <v>4</v>
      </c>
      <c r="P313" s="20">
        <v>15</v>
      </c>
      <c r="Q313" s="20">
        <v>1</v>
      </c>
      <c r="R313" s="20">
        <v>100</v>
      </c>
      <c r="S313" s="20">
        <v>1</v>
      </c>
      <c r="T313" s="20" t="s">
        <v>1867</v>
      </c>
      <c r="U313" s="104" t="str">
        <f t="shared" ref="U313:U314" si="242">"item_bg_grade_0"&amp;L313</f>
        <v>item_bg_grade_04</v>
      </c>
      <c r="V313" s="20" t="s">
        <v>322</v>
      </c>
      <c r="W313" s="20" t="s">
        <v>400</v>
      </c>
      <c r="X313" s="104">
        <v>0</v>
      </c>
      <c r="Y313" s="104">
        <v>0</v>
      </c>
      <c r="Z313" s="104">
        <v>0</v>
      </c>
      <c r="AA313" s="104">
        <v>0</v>
      </c>
      <c r="AB313" s="104">
        <v>0</v>
      </c>
      <c r="AC313" s="104">
        <v>0</v>
      </c>
      <c r="AD313" s="142">
        <v>0</v>
      </c>
      <c r="AE313" s="112">
        <f t="shared" si="238"/>
        <v>40</v>
      </c>
      <c r="AF313" s="70">
        <v>4403020</v>
      </c>
      <c r="AG313" s="105" cm="1">
        <f t="array" ref="AG313">_xlfn.SWITCH(L313,3,1,
           4,1,
           5,1,
           6,1,0)</f>
        <v>1</v>
      </c>
      <c r="AH313" s="146">
        <f t="shared" si="221"/>
        <v>80101401</v>
      </c>
      <c r="AI313" s="90">
        <v>6002</v>
      </c>
      <c r="AJ313" s="90">
        <v>3005</v>
      </c>
      <c r="AK313" s="27">
        <v>4003</v>
      </c>
      <c r="AL313" s="123">
        <f>_xlfn.XLOOKUP(H313,'#각종 참고'!$B$11:$B$20,'#각종 참고'!$D$11:$D$20)</f>
        <v>0</v>
      </c>
      <c r="AM313" s="27">
        <v>1</v>
      </c>
      <c r="AN313" s="27">
        <v>1</v>
      </c>
      <c r="AO313" s="124">
        <f t="shared" si="207"/>
        <v>1</v>
      </c>
      <c r="AP313" s="27">
        <v>1</v>
      </c>
      <c r="AQ313" s="21">
        <v>14143011</v>
      </c>
      <c r="AR313" s="21" t="s">
        <v>2431</v>
      </c>
      <c r="AS313" s="68"/>
      <c r="AT313" s="68"/>
      <c r="AU313" s="68"/>
    </row>
    <row r="314" spans="1:47" x14ac:dyDescent="0.3">
      <c r="A314" s="19"/>
      <c r="B314" s="109">
        <v>14143003</v>
      </c>
      <c r="C314" s="99" t="str">
        <f t="shared" si="241"/>
        <v>4</v>
      </c>
      <c r="D314" s="121">
        <f>COUNTIFS($F$33:F314,F314, $G$33:G314,G314, $C$33:C314,C314, $L$33:L314,L314)</f>
        <v>3</v>
      </c>
      <c r="E314" s="20">
        <v>1</v>
      </c>
      <c r="F314" s="20">
        <v>3</v>
      </c>
      <c r="G314" s="20">
        <v>1</v>
      </c>
      <c r="H314" s="103" t="s">
        <v>962</v>
      </c>
      <c r="I314" s="20" t="s">
        <v>1701</v>
      </c>
      <c r="J314" s="104" t="str">
        <f t="shared" si="231"/>
        <v>Item_Name_14143003</v>
      </c>
      <c r="K314" s="20">
        <v>10104001</v>
      </c>
      <c r="L314" s="107">
        <f t="shared" si="236"/>
        <v>4</v>
      </c>
      <c r="M314" s="105">
        <f>IF(D314=0, 0, _xlfn.XLOOKUP($F314,'#무게관련'!$B:$B,'#무게관련'!$C:$C)*_xlfn.XLOOKUP($L314,'#무게관련'!$F:$F,'#무게관련'!$G:$G)*100)</f>
        <v>10000</v>
      </c>
      <c r="N314" s="20">
        <v>20400</v>
      </c>
      <c r="O314" s="20">
        <v>4</v>
      </c>
      <c r="P314" s="20">
        <v>15</v>
      </c>
      <c r="Q314" s="20">
        <v>1</v>
      </c>
      <c r="R314" s="20">
        <v>100</v>
      </c>
      <c r="S314" s="20">
        <v>1</v>
      </c>
      <c r="T314" s="20" t="s">
        <v>1867</v>
      </c>
      <c r="U314" s="104" t="str">
        <f t="shared" si="242"/>
        <v>item_bg_grade_04</v>
      </c>
      <c r="V314" s="20" t="s">
        <v>322</v>
      </c>
      <c r="W314" s="20" t="s">
        <v>400</v>
      </c>
      <c r="X314" s="104">
        <v>0</v>
      </c>
      <c r="Y314" s="104">
        <v>0</v>
      </c>
      <c r="Z314" s="104">
        <v>0</v>
      </c>
      <c r="AA314" s="104">
        <v>0</v>
      </c>
      <c r="AB314" s="104">
        <v>0</v>
      </c>
      <c r="AC314" s="104">
        <v>0</v>
      </c>
      <c r="AD314" s="142">
        <v>0</v>
      </c>
      <c r="AE314" s="112">
        <f t="shared" si="238"/>
        <v>40</v>
      </c>
      <c r="AF314" s="70">
        <v>4403030</v>
      </c>
      <c r="AG314" s="105" cm="1">
        <f t="array" ref="AG314">_xlfn.SWITCH(L314,3,1,
           4,1,
           5,1,
           6,1,0)</f>
        <v>1</v>
      </c>
      <c r="AH314" s="146">
        <f t="shared" si="221"/>
        <v>80101401</v>
      </c>
      <c r="AI314" s="90">
        <v>6002</v>
      </c>
      <c r="AJ314" s="90">
        <v>3005</v>
      </c>
      <c r="AK314" s="27">
        <v>4003</v>
      </c>
      <c r="AL314" s="123">
        <f>_xlfn.XLOOKUP(H314,'#각종 참고'!$B$11:$B$20,'#각종 참고'!$D$11:$D$20)</f>
        <v>0</v>
      </c>
      <c r="AM314" s="27">
        <v>1</v>
      </c>
      <c r="AN314" s="27">
        <v>1</v>
      </c>
      <c r="AO314" s="124">
        <f t="shared" si="207"/>
        <v>1</v>
      </c>
      <c r="AP314" s="27">
        <v>1</v>
      </c>
      <c r="AQ314" s="21">
        <v>14143021</v>
      </c>
      <c r="AR314" s="21" t="s">
        <v>2432</v>
      </c>
      <c r="AS314" s="68"/>
      <c r="AT314" s="68"/>
      <c r="AU314" s="68"/>
    </row>
    <row r="315" spans="1:47" x14ac:dyDescent="0.3">
      <c r="A315" s="19"/>
      <c r="B315" s="109">
        <v>14153001</v>
      </c>
      <c r="C315" s="99" t="str">
        <f t="shared" ref="C315:C318" si="243">IF(K315&gt;0,MID(K315,5, 1), 0)</f>
        <v>4</v>
      </c>
      <c r="D315" s="121">
        <f>COUNTIFS($F$33:F315,F315, $G$33:G315,G315, $C$33:C315,C315, $L$33:L315,L315)</f>
        <v>1</v>
      </c>
      <c r="E315" s="20">
        <v>1</v>
      </c>
      <c r="F315" s="20">
        <v>3</v>
      </c>
      <c r="G315" s="20">
        <v>1</v>
      </c>
      <c r="H315" s="103" t="s">
        <v>962</v>
      </c>
      <c r="I315" s="20" t="s">
        <v>1702</v>
      </c>
      <c r="J315" s="104" t="str">
        <f t="shared" si="231"/>
        <v>Item_Name_14153001</v>
      </c>
      <c r="K315" s="20">
        <v>10104001</v>
      </c>
      <c r="L315" s="107">
        <f t="shared" si="236"/>
        <v>5</v>
      </c>
      <c r="M315" s="105">
        <f>IF(D315=0, 0, _xlfn.XLOOKUP($F315,'#무게관련'!$B:$B,'#무게관련'!$C:$C)*_xlfn.XLOOKUP($L315,'#무게관련'!$F:$F,'#무게관련'!$G:$G)*100)</f>
        <v>10000</v>
      </c>
      <c r="N315" s="20">
        <v>20400</v>
      </c>
      <c r="O315" s="20">
        <v>4</v>
      </c>
      <c r="P315" s="20">
        <v>15</v>
      </c>
      <c r="Q315" s="20">
        <v>1</v>
      </c>
      <c r="R315" s="20">
        <v>100</v>
      </c>
      <c r="S315" s="20">
        <v>1</v>
      </c>
      <c r="T315" s="20" t="s">
        <v>1868</v>
      </c>
      <c r="U315" s="104" t="str">
        <f t="shared" si="224"/>
        <v>item_bg_grade_05</v>
      </c>
      <c r="V315" s="20" t="s">
        <v>322</v>
      </c>
      <c r="W315" s="20" t="s">
        <v>400</v>
      </c>
      <c r="X315" s="104">
        <v>0</v>
      </c>
      <c r="Y315" s="104">
        <v>0</v>
      </c>
      <c r="Z315" s="104">
        <v>0</v>
      </c>
      <c r="AA315" s="104">
        <v>0</v>
      </c>
      <c r="AB315" s="104">
        <v>0</v>
      </c>
      <c r="AC315" s="104">
        <v>0</v>
      </c>
      <c r="AD315" s="142">
        <v>0</v>
      </c>
      <c r="AE315" s="112">
        <f t="shared" si="238"/>
        <v>50</v>
      </c>
      <c r="AF315" s="70">
        <v>4503010</v>
      </c>
      <c r="AG315" s="105" cm="1">
        <f t="array" ref="AG315">_xlfn.SWITCH(L315,3,1,
           4,1,
           5,1,
           6,1,0)</f>
        <v>1</v>
      </c>
      <c r="AH315" s="146">
        <f t="shared" si="221"/>
        <v>80101501</v>
      </c>
      <c r="AI315" s="90">
        <v>6003</v>
      </c>
      <c r="AJ315" s="90">
        <v>3007</v>
      </c>
      <c r="AK315" s="27">
        <v>5003</v>
      </c>
      <c r="AL315" s="123">
        <f>_xlfn.XLOOKUP(H315,'#각종 참고'!$B$11:$B$20,'#각종 참고'!$D$11:$D$20)</f>
        <v>0</v>
      </c>
      <c r="AM315" s="27">
        <v>1</v>
      </c>
      <c r="AN315" s="27">
        <v>1</v>
      </c>
      <c r="AO315" s="124">
        <f t="shared" ref="AO315:AO354" si="244">IF(AM315=1,AM315,AL315)</f>
        <v>1</v>
      </c>
      <c r="AP315" s="27">
        <v>1</v>
      </c>
      <c r="AQ315" s="21">
        <v>14153001</v>
      </c>
      <c r="AR315" s="21" t="s">
        <v>1702</v>
      </c>
      <c r="AS315" s="68"/>
      <c r="AT315" s="68"/>
      <c r="AU315" s="68"/>
    </row>
    <row r="316" spans="1:47" x14ac:dyDescent="0.3">
      <c r="A316" s="19"/>
      <c r="B316" s="109">
        <v>14153002</v>
      </c>
      <c r="C316" s="99" t="str">
        <f t="shared" ref="C316:C317" si="245">IF(K316&gt;0,MID(K316,5, 1), 0)</f>
        <v>4</v>
      </c>
      <c r="D316" s="121">
        <f>COUNTIFS($F$33:F316,F316, $G$33:G316,G316, $C$33:C316,C316, $L$33:L316,L316)</f>
        <v>2</v>
      </c>
      <c r="E316" s="20">
        <v>1</v>
      </c>
      <c r="F316" s="20">
        <v>3</v>
      </c>
      <c r="G316" s="20">
        <v>1</v>
      </c>
      <c r="H316" s="103" t="s">
        <v>962</v>
      </c>
      <c r="I316" s="20" t="s">
        <v>2134</v>
      </c>
      <c r="J316" s="104" t="str">
        <f t="shared" si="231"/>
        <v>Item_Name_14153002</v>
      </c>
      <c r="K316" s="20">
        <v>10104001</v>
      </c>
      <c r="L316" s="107">
        <f t="shared" si="236"/>
        <v>5</v>
      </c>
      <c r="M316" s="105">
        <f>IF(D316=0, 0, _xlfn.XLOOKUP($F316,'#무게관련'!$B:$B,'#무게관련'!$C:$C)*_xlfn.XLOOKUP($L316,'#무게관련'!$F:$F,'#무게관련'!$G:$G)*100)</f>
        <v>10000</v>
      </c>
      <c r="N316" s="20">
        <v>20400</v>
      </c>
      <c r="O316" s="20">
        <v>4</v>
      </c>
      <c r="P316" s="20">
        <v>15</v>
      </c>
      <c r="Q316" s="20">
        <v>1</v>
      </c>
      <c r="R316" s="20">
        <v>100</v>
      </c>
      <c r="S316" s="20">
        <v>1</v>
      </c>
      <c r="T316" s="20" t="s">
        <v>1868</v>
      </c>
      <c r="U316" s="104" t="str">
        <f t="shared" ref="U316:U317" si="246">"item_bg_grade_0"&amp;L316</f>
        <v>item_bg_grade_05</v>
      </c>
      <c r="V316" s="20" t="s">
        <v>322</v>
      </c>
      <c r="W316" s="20" t="s">
        <v>400</v>
      </c>
      <c r="X316" s="104">
        <v>0</v>
      </c>
      <c r="Y316" s="104">
        <v>0</v>
      </c>
      <c r="Z316" s="104">
        <v>0</v>
      </c>
      <c r="AA316" s="104">
        <v>0</v>
      </c>
      <c r="AB316" s="104">
        <v>0</v>
      </c>
      <c r="AC316" s="104">
        <v>0</v>
      </c>
      <c r="AD316" s="142">
        <v>0</v>
      </c>
      <c r="AE316" s="112">
        <f t="shared" si="238"/>
        <v>50</v>
      </c>
      <c r="AF316" s="70">
        <v>4503020</v>
      </c>
      <c r="AG316" s="105" cm="1">
        <f t="array" ref="AG316">_xlfn.SWITCH(L316,3,1,
           4,1,
           5,1,
           6,1,0)</f>
        <v>1</v>
      </c>
      <c r="AH316" s="146">
        <f t="shared" si="221"/>
        <v>80101501</v>
      </c>
      <c r="AI316" s="90">
        <v>6003</v>
      </c>
      <c r="AJ316" s="90">
        <v>3007</v>
      </c>
      <c r="AK316" s="27">
        <v>5003</v>
      </c>
      <c r="AL316" s="123">
        <f>_xlfn.XLOOKUP(H316,'#각종 참고'!$B$11:$B$20,'#각종 참고'!$D$11:$D$20)</f>
        <v>0</v>
      </c>
      <c r="AM316" s="27">
        <v>1</v>
      </c>
      <c r="AN316" s="27">
        <v>1</v>
      </c>
      <c r="AO316" s="124">
        <f t="shared" si="244"/>
        <v>1</v>
      </c>
      <c r="AP316" s="27">
        <v>1</v>
      </c>
      <c r="AQ316" s="21">
        <v>14153011</v>
      </c>
      <c r="AR316" s="21" t="s">
        <v>2433</v>
      </c>
      <c r="AS316" s="68"/>
      <c r="AT316" s="68"/>
      <c r="AU316" s="68"/>
    </row>
    <row r="317" spans="1:47" x14ac:dyDescent="0.3">
      <c r="A317" s="19"/>
      <c r="B317" s="109">
        <v>14153003</v>
      </c>
      <c r="C317" s="99" t="str">
        <f t="shared" si="245"/>
        <v>4</v>
      </c>
      <c r="D317" s="121">
        <f>COUNTIFS($F$33:F317,F317, $G$33:G317,G317, $C$33:C317,C317, $L$33:L317,L317)</f>
        <v>3</v>
      </c>
      <c r="E317" s="20">
        <v>1</v>
      </c>
      <c r="F317" s="20">
        <v>3</v>
      </c>
      <c r="G317" s="20">
        <v>1</v>
      </c>
      <c r="H317" s="103" t="s">
        <v>962</v>
      </c>
      <c r="I317" s="20" t="s">
        <v>2133</v>
      </c>
      <c r="J317" s="104" t="str">
        <f t="shared" si="231"/>
        <v>Item_Name_14153003</v>
      </c>
      <c r="K317" s="20">
        <v>10104001</v>
      </c>
      <c r="L317" s="107">
        <f t="shared" si="236"/>
        <v>5</v>
      </c>
      <c r="M317" s="105">
        <f>IF(D317=0, 0, _xlfn.XLOOKUP($F317,'#무게관련'!$B:$B,'#무게관련'!$C:$C)*_xlfn.XLOOKUP($L317,'#무게관련'!$F:$F,'#무게관련'!$G:$G)*100)</f>
        <v>10000</v>
      </c>
      <c r="N317" s="20">
        <v>20400</v>
      </c>
      <c r="O317" s="20">
        <v>4</v>
      </c>
      <c r="P317" s="20">
        <v>15</v>
      </c>
      <c r="Q317" s="20">
        <v>1</v>
      </c>
      <c r="R317" s="20">
        <v>100</v>
      </c>
      <c r="S317" s="20">
        <v>1</v>
      </c>
      <c r="T317" s="20" t="s">
        <v>1868</v>
      </c>
      <c r="U317" s="104" t="str">
        <f t="shared" si="246"/>
        <v>item_bg_grade_05</v>
      </c>
      <c r="V317" s="20" t="s">
        <v>322</v>
      </c>
      <c r="W317" s="20" t="s">
        <v>400</v>
      </c>
      <c r="X317" s="104">
        <v>0</v>
      </c>
      <c r="Y317" s="104">
        <v>0</v>
      </c>
      <c r="Z317" s="104">
        <v>0</v>
      </c>
      <c r="AA317" s="104">
        <v>0</v>
      </c>
      <c r="AB317" s="104">
        <v>0</v>
      </c>
      <c r="AC317" s="104">
        <v>0</v>
      </c>
      <c r="AD317" s="142">
        <v>0</v>
      </c>
      <c r="AE317" s="112">
        <f t="shared" si="238"/>
        <v>50</v>
      </c>
      <c r="AF317" s="70">
        <v>4503030</v>
      </c>
      <c r="AG317" s="105" cm="1">
        <f t="array" ref="AG317">_xlfn.SWITCH(L317,3,1,
           4,1,
           5,1,
           6,1,0)</f>
        <v>1</v>
      </c>
      <c r="AH317" s="146">
        <f t="shared" si="221"/>
        <v>80101501</v>
      </c>
      <c r="AI317" s="90">
        <v>6003</v>
      </c>
      <c r="AJ317" s="90">
        <v>3007</v>
      </c>
      <c r="AK317" s="27">
        <v>5003</v>
      </c>
      <c r="AL317" s="123">
        <f>_xlfn.XLOOKUP(H317,'#각종 참고'!$B$11:$B$20,'#각종 참고'!$D$11:$D$20)</f>
        <v>0</v>
      </c>
      <c r="AM317" s="27">
        <v>1</v>
      </c>
      <c r="AN317" s="27">
        <v>1</v>
      </c>
      <c r="AO317" s="124">
        <f t="shared" si="244"/>
        <v>1</v>
      </c>
      <c r="AP317" s="27">
        <v>1</v>
      </c>
      <c r="AQ317" s="21">
        <v>14153021</v>
      </c>
      <c r="AR317" s="21" t="s">
        <v>2434</v>
      </c>
      <c r="AS317" s="68"/>
      <c r="AT317" s="68"/>
      <c r="AU317" s="68"/>
    </row>
    <row r="318" spans="1:47" x14ac:dyDescent="0.3">
      <c r="A318" s="19"/>
      <c r="B318" s="109">
        <v>14163001</v>
      </c>
      <c r="C318" s="99" t="str">
        <f t="shared" si="243"/>
        <v>4</v>
      </c>
      <c r="D318" s="121">
        <f>COUNTIFS($F$33:F318,F318, $G$33:G318,G318, $C$33:C318,C318, $L$33:L318,L318)</f>
        <v>1</v>
      </c>
      <c r="E318" s="20">
        <v>1</v>
      </c>
      <c r="F318" s="20">
        <v>3</v>
      </c>
      <c r="G318" s="20">
        <v>1</v>
      </c>
      <c r="H318" s="103" t="s">
        <v>962</v>
      </c>
      <c r="I318" s="20" t="s">
        <v>1704</v>
      </c>
      <c r="J318" s="104" t="str">
        <f t="shared" si="231"/>
        <v>Item_Name_14163001</v>
      </c>
      <c r="K318" s="20">
        <v>10104001</v>
      </c>
      <c r="L318" s="107">
        <f t="shared" si="236"/>
        <v>6</v>
      </c>
      <c r="M318" s="105">
        <f>IF(D318=0, 0, _xlfn.XLOOKUP($F318,'#무게관련'!$B:$B,'#무게관련'!$C:$C)*_xlfn.XLOOKUP($L318,'#무게관련'!$F:$F,'#무게관련'!$G:$G)*100)</f>
        <v>10000</v>
      </c>
      <c r="N318" s="20">
        <v>20400</v>
      </c>
      <c r="O318" s="20">
        <v>4</v>
      </c>
      <c r="P318" s="20">
        <v>15</v>
      </c>
      <c r="Q318" s="20">
        <v>1</v>
      </c>
      <c r="R318" s="20">
        <v>100</v>
      </c>
      <c r="S318" s="20">
        <v>1</v>
      </c>
      <c r="T318" s="109" t="s">
        <v>1868</v>
      </c>
      <c r="U318" s="104" t="str">
        <f t="shared" si="224"/>
        <v>item_bg_grade_06</v>
      </c>
      <c r="V318" s="20" t="s">
        <v>322</v>
      </c>
      <c r="W318" s="20" t="s">
        <v>400</v>
      </c>
      <c r="X318" s="104">
        <v>0</v>
      </c>
      <c r="Y318" s="104">
        <v>0</v>
      </c>
      <c r="Z318" s="104">
        <v>0</v>
      </c>
      <c r="AA318" s="104">
        <v>0</v>
      </c>
      <c r="AB318" s="104">
        <v>0</v>
      </c>
      <c r="AC318" s="104">
        <v>0</v>
      </c>
      <c r="AD318" s="142">
        <v>0</v>
      </c>
      <c r="AE318" s="112">
        <f t="shared" si="238"/>
        <v>70</v>
      </c>
      <c r="AF318" s="70">
        <v>4603010</v>
      </c>
      <c r="AG318" s="105" cm="1">
        <f t="array" ref="AG318">_xlfn.SWITCH(L318,3,1,
           4,1,
           5,1,
           6,1,0)</f>
        <v>1</v>
      </c>
      <c r="AH318" s="146">
        <f t="shared" si="221"/>
        <v>0</v>
      </c>
      <c r="AI318" s="90">
        <v>6004</v>
      </c>
      <c r="AJ318" s="90">
        <v>3009</v>
      </c>
      <c r="AK318" s="27">
        <v>6003</v>
      </c>
      <c r="AL318" s="123">
        <f>_xlfn.XLOOKUP(H318,'#각종 참고'!$B$11:$B$20,'#각종 참고'!$D$11:$D$20)</f>
        <v>0</v>
      </c>
      <c r="AM318" s="27">
        <v>1</v>
      </c>
      <c r="AN318" s="27">
        <v>1</v>
      </c>
      <c r="AO318" s="124">
        <f t="shared" si="244"/>
        <v>1</v>
      </c>
      <c r="AP318" s="27">
        <v>1</v>
      </c>
      <c r="AQ318" s="21">
        <v>14163001</v>
      </c>
      <c r="AR318" s="21" t="s">
        <v>1704</v>
      </c>
      <c r="AS318" s="68"/>
      <c r="AT318" s="68"/>
      <c r="AU318" s="68"/>
    </row>
    <row r="319" spans="1:47" x14ac:dyDescent="0.3">
      <c r="A319" s="19" t="s">
        <v>513</v>
      </c>
      <c r="B319" s="109">
        <v>14163002</v>
      </c>
      <c r="C319" s="99" t="str">
        <f t="shared" ref="C319:C320" si="247">IF(K319&gt;0,MID(K319,5, 1), 0)</f>
        <v>4</v>
      </c>
      <c r="D319" s="121">
        <f>COUNTIFS($F$33:F319,F319, $G$33:G319,G319, $C$33:C319,C319, $L$33:L319,L319)</f>
        <v>2</v>
      </c>
      <c r="E319" s="20">
        <v>1</v>
      </c>
      <c r="F319" s="20">
        <v>3</v>
      </c>
      <c r="G319" s="20">
        <v>1</v>
      </c>
      <c r="H319" s="103" t="s">
        <v>962</v>
      </c>
      <c r="I319" s="20" t="s">
        <v>1703</v>
      </c>
      <c r="J319" s="104" t="str">
        <f t="shared" si="231"/>
        <v>Item_Name_14163002</v>
      </c>
      <c r="K319" s="20">
        <v>10104001</v>
      </c>
      <c r="L319" s="107">
        <f t="shared" si="236"/>
        <v>6</v>
      </c>
      <c r="M319" s="105">
        <f>IF(D319=0, 0, _xlfn.XLOOKUP($F319,'#무게관련'!$B:$B,'#무게관련'!$C:$C)*_xlfn.XLOOKUP($L319,'#무게관련'!$F:$F,'#무게관련'!$G:$G)*100)</f>
        <v>10000</v>
      </c>
      <c r="N319" s="20">
        <v>20400</v>
      </c>
      <c r="O319" s="20">
        <v>4</v>
      </c>
      <c r="P319" s="20">
        <v>15</v>
      </c>
      <c r="Q319" s="20">
        <v>1</v>
      </c>
      <c r="R319" s="20">
        <v>100</v>
      </c>
      <c r="S319" s="20">
        <v>1</v>
      </c>
      <c r="T319" s="109" t="s">
        <v>1868</v>
      </c>
      <c r="U319" s="104" t="str">
        <f t="shared" ref="U319:U320" si="248">"item_bg_grade_0"&amp;L319</f>
        <v>item_bg_grade_06</v>
      </c>
      <c r="V319" s="20" t="s">
        <v>322</v>
      </c>
      <c r="W319" s="20" t="s">
        <v>400</v>
      </c>
      <c r="X319" s="104">
        <v>0</v>
      </c>
      <c r="Y319" s="104">
        <v>0</v>
      </c>
      <c r="Z319" s="104">
        <v>0</v>
      </c>
      <c r="AA319" s="104">
        <v>0</v>
      </c>
      <c r="AB319" s="104">
        <v>0</v>
      </c>
      <c r="AC319" s="104">
        <v>0</v>
      </c>
      <c r="AD319" s="142">
        <v>0</v>
      </c>
      <c r="AE319" s="112">
        <f t="shared" si="238"/>
        <v>70</v>
      </c>
      <c r="AF319" s="70">
        <v>4603010</v>
      </c>
      <c r="AG319" s="105" cm="1">
        <f t="array" ref="AG319">_xlfn.SWITCH(L319,3,1,
           4,1,
           5,1,
           6,1,0)</f>
        <v>1</v>
      </c>
      <c r="AH319" s="146">
        <f t="shared" si="221"/>
        <v>0</v>
      </c>
      <c r="AI319" s="90">
        <v>6004</v>
      </c>
      <c r="AJ319" s="90">
        <v>3009</v>
      </c>
      <c r="AK319" s="27">
        <v>6003</v>
      </c>
      <c r="AL319" s="123">
        <f>_xlfn.XLOOKUP(H319,'#각종 참고'!$B$11:$B$20,'#각종 참고'!$D$11:$D$20)</f>
        <v>0</v>
      </c>
      <c r="AM319" s="27">
        <v>1</v>
      </c>
      <c r="AN319" s="27">
        <v>1</v>
      </c>
      <c r="AO319" s="124">
        <f t="shared" si="244"/>
        <v>1</v>
      </c>
      <c r="AP319" s="27">
        <v>1</v>
      </c>
      <c r="AQ319" s="21">
        <v>14163011</v>
      </c>
      <c r="AR319" s="21" t="s">
        <v>2435</v>
      </c>
      <c r="AS319" s="68"/>
      <c r="AT319" s="68"/>
      <c r="AU319" s="68"/>
    </row>
    <row r="320" spans="1:47" x14ac:dyDescent="0.3">
      <c r="A320" s="19" t="s">
        <v>513</v>
      </c>
      <c r="B320" s="109">
        <v>14163003</v>
      </c>
      <c r="C320" s="99" t="str">
        <f t="shared" si="247"/>
        <v>4</v>
      </c>
      <c r="D320" s="121">
        <f>COUNTIFS($F$33:F320,F320, $G$33:G320,G320, $C$33:C320,C320, $L$33:L320,L320)</f>
        <v>3</v>
      </c>
      <c r="E320" s="20">
        <v>1</v>
      </c>
      <c r="F320" s="20">
        <v>3</v>
      </c>
      <c r="G320" s="20">
        <v>1</v>
      </c>
      <c r="H320" s="103" t="s">
        <v>962</v>
      </c>
      <c r="I320" s="20" t="s">
        <v>2135</v>
      </c>
      <c r="J320" s="104" t="str">
        <f t="shared" si="231"/>
        <v>Item_Name_14163003</v>
      </c>
      <c r="K320" s="20">
        <v>10104001</v>
      </c>
      <c r="L320" s="107">
        <f t="shared" si="236"/>
        <v>6</v>
      </c>
      <c r="M320" s="105">
        <f>IF(D320=0, 0, _xlfn.XLOOKUP($F320,'#무게관련'!$B:$B,'#무게관련'!$C:$C)*_xlfn.XLOOKUP($L320,'#무게관련'!$F:$F,'#무게관련'!$G:$G)*100)</f>
        <v>10000</v>
      </c>
      <c r="N320" s="20">
        <v>20400</v>
      </c>
      <c r="O320" s="20">
        <v>4</v>
      </c>
      <c r="P320" s="20">
        <v>15</v>
      </c>
      <c r="Q320" s="20">
        <v>1</v>
      </c>
      <c r="R320" s="20">
        <v>100</v>
      </c>
      <c r="S320" s="20">
        <v>1</v>
      </c>
      <c r="T320" s="109" t="s">
        <v>1868</v>
      </c>
      <c r="U320" s="104" t="str">
        <f t="shared" si="248"/>
        <v>item_bg_grade_06</v>
      </c>
      <c r="V320" s="20" t="s">
        <v>322</v>
      </c>
      <c r="W320" s="20" t="s">
        <v>400</v>
      </c>
      <c r="X320" s="104">
        <v>0</v>
      </c>
      <c r="Y320" s="104">
        <v>0</v>
      </c>
      <c r="Z320" s="104">
        <v>0</v>
      </c>
      <c r="AA320" s="104">
        <v>0</v>
      </c>
      <c r="AB320" s="104">
        <v>0</v>
      </c>
      <c r="AC320" s="104">
        <v>0</v>
      </c>
      <c r="AD320" s="142">
        <v>0</v>
      </c>
      <c r="AE320" s="112">
        <f t="shared" si="238"/>
        <v>70</v>
      </c>
      <c r="AF320" s="70">
        <v>4603010</v>
      </c>
      <c r="AG320" s="105" cm="1">
        <f t="array" ref="AG320">_xlfn.SWITCH(L320,3,1,
           4,1,
           5,1,
           6,1,0)</f>
        <v>1</v>
      </c>
      <c r="AH320" s="146">
        <f t="shared" si="221"/>
        <v>0</v>
      </c>
      <c r="AI320" s="90">
        <v>6004</v>
      </c>
      <c r="AJ320" s="90">
        <v>3009</v>
      </c>
      <c r="AK320" s="27">
        <v>6003</v>
      </c>
      <c r="AL320" s="123">
        <f>_xlfn.XLOOKUP(H320,'#각종 참고'!$B$11:$B$20,'#각종 참고'!$D$11:$D$20)</f>
        <v>0</v>
      </c>
      <c r="AM320" s="27">
        <v>1</v>
      </c>
      <c r="AN320" s="27">
        <v>1</v>
      </c>
      <c r="AO320" s="124">
        <f t="shared" si="244"/>
        <v>1</v>
      </c>
      <c r="AP320" s="27">
        <v>1</v>
      </c>
      <c r="AQ320" s="21">
        <v>14163021</v>
      </c>
      <c r="AR320" s="21" t="s">
        <v>2436</v>
      </c>
      <c r="AS320" s="68"/>
      <c r="AT320" s="68"/>
      <c r="AU320" s="68"/>
    </row>
    <row r="321" spans="1:47" s="68" customFormat="1" x14ac:dyDescent="0.3">
      <c r="A321" s="65"/>
      <c r="B321" s="110">
        <v>11114001</v>
      </c>
      <c r="C321" s="99" t="str">
        <f t="shared" si="1"/>
        <v>1</v>
      </c>
      <c r="D321" s="120">
        <f>COUNTIFS($F$33:F321,F321, $G$33:G321,G321, $C$33:C321,C321, $L$33:L321,L321)</f>
        <v>1</v>
      </c>
      <c r="E321" s="20">
        <v>1</v>
      </c>
      <c r="F321" s="66">
        <v>4</v>
      </c>
      <c r="G321" s="66">
        <v>1</v>
      </c>
      <c r="H321" s="103" t="s">
        <v>963</v>
      </c>
      <c r="I321" s="66" t="s">
        <v>1705</v>
      </c>
      <c r="J321" s="104" t="str">
        <f t="shared" si="231"/>
        <v>Item_Name_11114001</v>
      </c>
      <c r="K321" s="66">
        <v>10101001</v>
      </c>
      <c r="L321" s="106">
        <f t="shared" si="236"/>
        <v>1</v>
      </c>
      <c r="M321" s="105">
        <f>IF(D321=0, 0, _xlfn.XLOOKUP($F321,'#무게관련'!$B:$B,'#무게관련'!$C:$C)*_xlfn.XLOOKUP($L321,'#무게관련'!$F:$F,'#무게관련'!$G:$G)*100)</f>
        <v>6000</v>
      </c>
      <c r="N321" s="20">
        <v>20700</v>
      </c>
      <c r="O321" s="20">
        <v>1</v>
      </c>
      <c r="P321" s="66">
        <v>15</v>
      </c>
      <c r="Q321" s="20">
        <v>1</v>
      </c>
      <c r="R321" s="66">
        <v>100</v>
      </c>
      <c r="S321" s="66">
        <v>1</v>
      </c>
      <c r="T321" s="66" t="s">
        <v>1869</v>
      </c>
      <c r="U321" s="104" t="str">
        <f t="shared" si="224"/>
        <v>item_bg_grade_01</v>
      </c>
      <c r="V321" s="66" t="s">
        <v>323</v>
      </c>
      <c r="W321" s="66" t="s">
        <v>331</v>
      </c>
      <c r="X321" s="104">
        <v>0</v>
      </c>
      <c r="Y321" s="104">
        <v>0</v>
      </c>
      <c r="Z321" s="104">
        <v>0</v>
      </c>
      <c r="AA321" s="104">
        <v>0</v>
      </c>
      <c r="AB321" s="104">
        <v>0</v>
      </c>
      <c r="AC321" s="104">
        <v>0</v>
      </c>
      <c r="AD321" s="142">
        <v>0</v>
      </c>
      <c r="AE321" s="111">
        <f t="shared" si="238"/>
        <v>10</v>
      </c>
      <c r="AF321" s="70">
        <v>1104010</v>
      </c>
      <c r="AG321" s="105" cm="1">
        <f t="array" ref="AG321">_xlfn.SWITCH(L321,3,1,
           4,1,
           5,1,
           6,1,0)</f>
        <v>0</v>
      </c>
      <c r="AH321" s="147">
        <v>80101101</v>
      </c>
      <c r="AI321" s="90">
        <v>0</v>
      </c>
      <c r="AJ321" s="90">
        <v>0</v>
      </c>
      <c r="AK321" s="27">
        <v>0</v>
      </c>
      <c r="AL321" s="123">
        <f>_xlfn.XLOOKUP(H321,'#각종 참고'!$B$11:$B$20,'#각종 참고'!$D$11:$D$20)</f>
        <v>0</v>
      </c>
      <c r="AM321" s="27">
        <v>1</v>
      </c>
      <c r="AN321" s="27">
        <v>1</v>
      </c>
      <c r="AO321" s="124">
        <f t="shared" si="244"/>
        <v>1</v>
      </c>
      <c r="AP321" s="27">
        <v>1</v>
      </c>
      <c r="AQ321" s="21">
        <v>11114001</v>
      </c>
      <c r="AR321" s="68" t="s">
        <v>1705</v>
      </c>
    </row>
    <row r="322" spans="1:47" s="68" customFormat="1" x14ac:dyDescent="0.3">
      <c r="A322" s="65"/>
      <c r="B322" s="110">
        <v>11114002</v>
      </c>
      <c r="C322" s="99" t="str">
        <f t="shared" ref="C322:C323" si="249">IF(K322&gt;0,MID(K322,5, 1), 0)</f>
        <v>1</v>
      </c>
      <c r="D322" s="120">
        <f>COUNTIFS($F$33:F322,F322, $G$33:G322,G322, $C$33:C322,C322, $L$33:L322,L322)</f>
        <v>2</v>
      </c>
      <c r="E322" s="20">
        <v>1</v>
      </c>
      <c r="F322" s="66">
        <v>4</v>
      </c>
      <c r="G322" s="66">
        <v>1</v>
      </c>
      <c r="H322" s="103" t="s">
        <v>963</v>
      </c>
      <c r="I322" s="66" t="s">
        <v>2137</v>
      </c>
      <c r="J322" s="104" t="str">
        <f t="shared" si="231"/>
        <v>Item_Name_11114002</v>
      </c>
      <c r="K322" s="66">
        <v>10101001</v>
      </c>
      <c r="L322" s="106">
        <f t="shared" si="236"/>
        <v>1</v>
      </c>
      <c r="M322" s="105">
        <f>IF(D322=0, 0, _xlfn.XLOOKUP($F322,'#무게관련'!$B:$B,'#무게관련'!$C:$C)*_xlfn.XLOOKUP($L322,'#무게관련'!$F:$F,'#무게관련'!$G:$G)*100)</f>
        <v>6000</v>
      </c>
      <c r="N322" s="20">
        <v>20700</v>
      </c>
      <c r="O322" s="20">
        <v>1</v>
      </c>
      <c r="P322" s="66">
        <v>15</v>
      </c>
      <c r="Q322" s="20">
        <v>1</v>
      </c>
      <c r="R322" s="66">
        <v>100</v>
      </c>
      <c r="S322" s="66">
        <v>1</v>
      </c>
      <c r="T322" s="66" t="s">
        <v>1869</v>
      </c>
      <c r="U322" s="104" t="str">
        <f t="shared" ref="U322:U323" si="250">"item_bg_grade_0"&amp;L322</f>
        <v>item_bg_grade_01</v>
      </c>
      <c r="V322" s="66" t="s">
        <v>323</v>
      </c>
      <c r="W322" s="66" t="s">
        <v>331</v>
      </c>
      <c r="X322" s="104">
        <v>0</v>
      </c>
      <c r="Y322" s="104">
        <v>0</v>
      </c>
      <c r="Z322" s="104">
        <v>0</v>
      </c>
      <c r="AA322" s="104">
        <v>0</v>
      </c>
      <c r="AB322" s="104">
        <v>0</v>
      </c>
      <c r="AC322" s="104">
        <v>0</v>
      </c>
      <c r="AD322" s="142">
        <v>0</v>
      </c>
      <c r="AE322" s="111">
        <f t="shared" si="238"/>
        <v>10</v>
      </c>
      <c r="AF322" s="70">
        <v>1104020</v>
      </c>
      <c r="AG322" s="105" cm="1">
        <f t="array" ref="AG322">_xlfn.SWITCH(L322,3,1,
           4,1,
           5,1,
           6,1,0)</f>
        <v>0</v>
      </c>
      <c r="AH322" s="147">
        <v>80101101</v>
      </c>
      <c r="AI322" s="90">
        <v>0</v>
      </c>
      <c r="AJ322" s="90">
        <v>0</v>
      </c>
      <c r="AK322" s="27">
        <v>0</v>
      </c>
      <c r="AL322" s="123">
        <f>_xlfn.XLOOKUP(H322,'#각종 참고'!$B$11:$B$20,'#각종 참고'!$D$11:$D$20)</f>
        <v>0</v>
      </c>
      <c r="AM322" s="27">
        <v>1</v>
      </c>
      <c r="AN322" s="27">
        <v>1</v>
      </c>
      <c r="AO322" s="124">
        <f t="shared" si="244"/>
        <v>1</v>
      </c>
      <c r="AP322" s="27">
        <v>1</v>
      </c>
      <c r="AQ322" s="21">
        <v>11114011</v>
      </c>
      <c r="AR322" s="68" t="s">
        <v>2437</v>
      </c>
    </row>
    <row r="323" spans="1:47" s="68" customFormat="1" x14ac:dyDescent="0.3">
      <c r="A323" s="65"/>
      <c r="B323" s="110">
        <v>11114003</v>
      </c>
      <c r="C323" s="99" t="str">
        <f t="shared" si="249"/>
        <v>1</v>
      </c>
      <c r="D323" s="120">
        <f>COUNTIFS($F$33:F323,F323, $G$33:G323,G323, $C$33:C323,C323, $L$33:L323,L323)</f>
        <v>3</v>
      </c>
      <c r="E323" s="20">
        <v>1</v>
      </c>
      <c r="F323" s="66">
        <v>4</v>
      </c>
      <c r="G323" s="66">
        <v>1</v>
      </c>
      <c r="H323" s="103" t="s">
        <v>963</v>
      </c>
      <c r="I323" s="66" t="s">
        <v>2136</v>
      </c>
      <c r="J323" s="104" t="str">
        <f t="shared" si="231"/>
        <v>Item_Name_11114003</v>
      </c>
      <c r="K323" s="66">
        <v>10101001</v>
      </c>
      <c r="L323" s="106">
        <f t="shared" si="236"/>
        <v>1</v>
      </c>
      <c r="M323" s="105">
        <f>IF(D323=0, 0, _xlfn.XLOOKUP($F323,'#무게관련'!$B:$B,'#무게관련'!$C:$C)*_xlfn.XLOOKUP($L323,'#무게관련'!$F:$F,'#무게관련'!$G:$G)*100)</f>
        <v>6000</v>
      </c>
      <c r="N323" s="20">
        <v>20700</v>
      </c>
      <c r="O323" s="20">
        <v>1</v>
      </c>
      <c r="P323" s="66">
        <v>15</v>
      </c>
      <c r="Q323" s="20">
        <v>1</v>
      </c>
      <c r="R323" s="66">
        <v>100</v>
      </c>
      <c r="S323" s="66">
        <v>1</v>
      </c>
      <c r="T323" s="66" t="s">
        <v>1869</v>
      </c>
      <c r="U323" s="104" t="str">
        <f t="shared" si="250"/>
        <v>item_bg_grade_01</v>
      </c>
      <c r="V323" s="66" t="s">
        <v>323</v>
      </c>
      <c r="W323" s="66" t="s">
        <v>331</v>
      </c>
      <c r="X323" s="104">
        <v>0</v>
      </c>
      <c r="Y323" s="104">
        <v>0</v>
      </c>
      <c r="Z323" s="104">
        <v>0</v>
      </c>
      <c r="AA323" s="104">
        <v>0</v>
      </c>
      <c r="AB323" s="104">
        <v>0</v>
      </c>
      <c r="AC323" s="104">
        <v>0</v>
      </c>
      <c r="AD323" s="142">
        <v>0</v>
      </c>
      <c r="AE323" s="111">
        <f t="shared" si="238"/>
        <v>10</v>
      </c>
      <c r="AF323" s="70">
        <v>1104030</v>
      </c>
      <c r="AG323" s="105" cm="1">
        <f t="array" ref="AG323">_xlfn.SWITCH(L323,3,1,
           4,1,
           5,1,
           6,1,0)</f>
        <v>0</v>
      </c>
      <c r="AH323" s="147">
        <v>80101101</v>
      </c>
      <c r="AI323" s="90">
        <v>0</v>
      </c>
      <c r="AJ323" s="90">
        <v>0</v>
      </c>
      <c r="AK323" s="27">
        <v>0</v>
      </c>
      <c r="AL323" s="123">
        <f>_xlfn.XLOOKUP(H323,'#각종 참고'!$B$11:$B$20,'#각종 참고'!$D$11:$D$20)</f>
        <v>0</v>
      </c>
      <c r="AM323" s="27">
        <v>1</v>
      </c>
      <c r="AN323" s="27">
        <v>1</v>
      </c>
      <c r="AO323" s="124">
        <f t="shared" si="244"/>
        <v>1</v>
      </c>
      <c r="AP323" s="27">
        <v>1</v>
      </c>
      <c r="AQ323" s="21">
        <v>11114021</v>
      </c>
      <c r="AR323" s="68" t="s">
        <v>2438</v>
      </c>
    </row>
    <row r="324" spans="1:47" x14ac:dyDescent="0.3">
      <c r="A324" s="19"/>
      <c r="B324" s="109">
        <v>11124001</v>
      </c>
      <c r="C324" s="99" t="str">
        <f t="shared" si="1"/>
        <v>1</v>
      </c>
      <c r="D324" s="121">
        <f>COUNTIFS($F$33:F324,F324, $G$33:G324,G324, $C$33:C324,C324, $L$33:L324,L324)</f>
        <v>1</v>
      </c>
      <c r="E324" s="20">
        <v>1</v>
      </c>
      <c r="F324" s="20">
        <v>4</v>
      </c>
      <c r="G324" s="20">
        <v>1</v>
      </c>
      <c r="H324" s="103" t="s">
        <v>963</v>
      </c>
      <c r="I324" s="20" t="s">
        <v>1706</v>
      </c>
      <c r="J324" s="104" t="str">
        <f t="shared" si="231"/>
        <v>Item_Name_11124001</v>
      </c>
      <c r="K324" s="20">
        <v>10101001</v>
      </c>
      <c r="L324" s="108">
        <f t="shared" si="236"/>
        <v>2</v>
      </c>
      <c r="M324" s="105">
        <f>IF(D324=0, 0, _xlfn.XLOOKUP($F324,'#무게관련'!$B:$B,'#무게관련'!$C:$C)*_xlfn.XLOOKUP($L324,'#무게관련'!$F:$F,'#무게관련'!$G:$G)*100)</f>
        <v>6000</v>
      </c>
      <c r="N324" s="20">
        <v>20700</v>
      </c>
      <c r="O324" s="20">
        <v>1</v>
      </c>
      <c r="P324" s="20">
        <v>15</v>
      </c>
      <c r="Q324" s="20">
        <v>1</v>
      </c>
      <c r="R324" s="20">
        <v>100</v>
      </c>
      <c r="S324" s="20">
        <v>1</v>
      </c>
      <c r="T324" s="20" t="s">
        <v>1870</v>
      </c>
      <c r="U324" s="104" t="str">
        <f t="shared" si="224"/>
        <v>item_bg_grade_02</v>
      </c>
      <c r="V324" s="20" t="s">
        <v>323</v>
      </c>
      <c r="W324" s="20" t="s">
        <v>331</v>
      </c>
      <c r="X324" s="104">
        <v>0</v>
      </c>
      <c r="Y324" s="104">
        <v>0</v>
      </c>
      <c r="Z324" s="104">
        <v>0</v>
      </c>
      <c r="AA324" s="104">
        <v>0</v>
      </c>
      <c r="AB324" s="104">
        <v>0</v>
      </c>
      <c r="AC324" s="104">
        <v>0</v>
      </c>
      <c r="AD324" s="142">
        <v>0</v>
      </c>
      <c r="AE324" s="112">
        <f t="shared" si="238"/>
        <v>20</v>
      </c>
      <c r="AF324" s="70">
        <v>1204010</v>
      </c>
      <c r="AG324" s="105" cm="1">
        <f t="array" ref="AG324">_xlfn.SWITCH(L324,3,1,
           4,1,
           5,1,
           6,1,0)</f>
        <v>0</v>
      </c>
      <c r="AH324" s="147">
        <v>80101201</v>
      </c>
      <c r="AI324" s="90">
        <v>6000</v>
      </c>
      <c r="AJ324" s="90">
        <v>3001</v>
      </c>
      <c r="AK324" s="27">
        <v>2004</v>
      </c>
      <c r="AL324" s="123">
        <f>_xlfn.XLOOKUP(H324,'#각종 참고'!$B$11:$B$20,'#각종 참고'!$D$11:$D$20)</f>
        <v>0</v>
      </c>
      <c r="AM324" s="27">
        <v>1</v>
      </c>
      <c r="AN324" s="27">
        <v>1</v>
      </c>
      <c r="AO324" s="124">
        <f t="shared" si="244"/>
        <v>1</v>
      </c>
      <c r="AP324" s="27">
        <v>1</v>
      </c>
      <c r="AQ324" s="21">
        <v>11124001</v>
      </c>
      <c r="AR324" s="21" t="s">
        <v>1706</v>
      </c>
      <c r="AS324" s="68"/>
      <c r="AT324" s="68"/>
      <c r="AU324" s="68"/>
    </row>
    <row r="325" spans="1:47" x14ac:dyDescent="0.3">
      <c r="A325" s="19"/>
      <c r="B325" s="109">
        <v>11124002</v>
      </c>
      <c r="C325" s="99" t="str">
        <f t="shared" ref="C325:C326" si="251">IF(K325&gt;0,MID(K325,5, 1), 0)</f>
        <v>1</v>
      </c>
      <c r="D325" s="121">
        <f>COUNTIFS($F$33:F325,F325, $G$33:G325,G325, $C$33:C325,C325, $L$33:L325,L325)</f>
        <v>2</v>
      </c>
      <c r="E325" s="20">
        <v>1</v>
      </c>
      <c r="F325" s="20">
        <v>4</v>
      </c>
      <c r="G325" s="20">
        <v>1</v>
      </c>
      <c r="H325" s="103" t="s">
        <v>963</v>
      </c>
      <c r="I325" s="20" t="s">
        <v>2138</v>
      </c>
      <c r="J325" s="104" t="str">
        <f t="shared" si="231"/>
        <v>Item_Name_11124002</v>
      </c>
      <c r="K325" s="20">
        <v>10101001</v>
      </c>
      <c r="L325" s="108">
        <f t="shared" si="236"/>
        <v>2</v>
      </c>
      <c r="M325" s="105">
        <f>IF(D325=0, 0, _xlfn.XLOOKUP($F325,'#무게관련'!$B:$B,'#무게관련'!$C:$C)*_xlfn.XLOOKUP($L325,'#무게관련'!$F:$F,'#무게관련'!$G:$G)*100)</f>
        <v>6000</v>
      </c>
      <c r="N325" s="20">
        <v>20700</v>
      </c>
      <c r="O325" s="20">
        <v>1</v>
      </c>
      <c r="P325" s="20">
        <v>15</v>
      </c>
      <c r="Q325" s="20">
        <v>1</v>
      </c>
      <c r="R325" s="20">
        <v>100</v>
      </c>
      <c r="S325" s="20">
        <v>1</v>
      </c>
      <c r="T325" s="20" t="s">
        <v>1870</v>
      </c>
      <c r="U325" s="104" t="str">
        <f t="shared" ref="U325:U326" si="252">"item_bg_grade_0"&amp;L325</f>
        <v>item_bg_grade_02</v>
      </c>
      <c r="V325" s="20" t="s">
        <v>323</v>
      </c>
      <c r="W325" s="20" t="s">
        <v>331</v>
      </c>
      <c r="X325" s="104">
        <v>0</v>
      </c>
      <c r="Y325" s="104">
        <v>0</v>
      </c>
      <c r="Z325" s="104">
        <v>0</v>
      </c>
      <c r="AA325" s="104">
        <v>0</v>
      </c>
      <c r="AB325" s="104">
        <v>0</v>
      </c>
      <c r="AC325" s="104">
        <v>0</v>
      </c>
      <c r="AD325" s="142">
        <v>0</v>
      </c>
      <c r="AE325" s="112">
        <f t="shared" si="238"/>
        <v>20</v>
      </c>
      <c r="AF325" s="70">
        <v>1204020</v>
      </c>
      <c r="AG325" s="105" cm="1">
        <f t="array" ref="AG325">_xlfn.SWITCH(L325,3,1,
           4,1,
           5,1,
           6,1,0)</f>
        <v>0</v>
      </c>
      <c r="AH325" s="147">
        <v>80101201</v>
      </c>
      <c r="AI325" s="90">
        <v>6000</v>
      </c>
      <c r="AJ325" s="90">
        <v>3001</v>
      </c>
      <c r="AK325" s="27">
        <v>2004</v>
      </c>
      <c r="AL325" s="123">
        <f>_xlfn.XLOOKUP(H325,'#각종 참고'!$B$11:$B$20,'#각종 참고'!$D$11:$D$20)</f>
        <v>0</v>
      </c>
      <c r="AM325" s="27">
        <v>1</v>
      </c>
      <c r="AN325" s="27">
        <v>1</v>
      </c>
      <c r="AO325" s="124">
        <f t="shared" si="244"/>
        <v>1</v>
      </c>
      <c r="AP325" s="27">
        <v>1</v>
      </c>
      <c r="AQ325" s="21">
        <v>11124011</v>
      </c>
      <c r="AR325" s="21" t="s">
        <v>2439</v>
      </c>
      <c r="AS325" s="68"/>
      <c r="AT325" s="68"/>
      <c r="AU325" s="68"/>
    </row>
    <row r="326" spans="1:47" x14ac:dyDescent="0.3">
      <c r="A326" s="19"/>
      <c r="B326" s="109">
        <v>11124003</v>
      </c>
      <c r="C326" s="99" t="str">
        <f t="shared" si="251"/>
        <v>1</v>
      </c>
      <c r="D326" s="121">
        <f>COUNTIFS($F$33:F326,F326, $G$33:G326,G326, $C$33:C326,C326, $L$33:L326,L326)</f>
        <v>3</v>
      </c>
      <c r="E326" s="20">
        <v>1</v>
      </c>
      <c r="F326" s="20">
        <v>4</v>
      </c>
      <c r="G326" s="20">
        <v>1</v>
      </c>
      <c r="H326" s="103" t="s">
        <v>963</v>
      </c>
      <c r="I326" s="20" t="s">
        <v>1976</v>
      </c>
      <c r="J326" s="104" t="str">
        <f t="shared" si="231"/>
        <v>Item_Name_11124003</v>
      </c>
      <c r="K326" s="20">
        <v>10101001</v>
      </c>
      <c r="L326" s="108">
        <f t="shared" si="236"/>
        <v>2</v>
      </c>
      <c r="M326" s="105">
        <f>IF(D326=0, 0, _xlfn.XLOOKUP($F326,'#무게관련'!$B:$B,'#무게관련'!$C:$C)*_xlfn.XLOOKUP($L326,'#무게관련'!$F:$F,'#무게관련'!$G:$G)*100)</f>
        <v>6000</v>
      </c>
      <c r="N326" s="20">
        <v>20700</v>
      </c>
      <c r="O326" s="20">
        <v>1</v>
      </c>
      <c r="P326" s="20">
        <v>15</v>
      </c>
      <c r="Q326" s="20">
        <v>1</v>
      </c>
      <c r="R326" s="20">
        <v>100</v>
      </c>
      <c r="S326" s="20">
        <v>1</v>
      </c>
      <c r="T326" s="20" t="s">
        <v>1870</v>
      </c>
      <c r="U326" s="104" t="str">
        <f t="shared" si="252"/>
        <v>item_bg_grade_02</v>
      </c>
      <c r="V326" s="20" t="s">
        <v>323</v>
      </c>
      <c r="W326" s="20" t="s">
        <v>331</v>
      </c>
      <c r="X326" s="104">
        <v>0</v>
      </c>
      <c r="Y326" s="104">
        <v>0</v>
      </c>
      <c r="Z326" s="104">
        <v>0</v>
      </c>
      <c r="AA326" s="104">
        <v>0</v>
      </c>
      <c r="AB326" s="104">
        <v>0</v>
      </c>
      <c r="AC326" s="104">
        <v>0</v>
      </c>
      <c r="AD326" s="142">
        <v>0</v>
      </c>
      <c r="AE326" s="112">
        <f t="shared" si="238"/>
        <v>20</v>
      </c>
      <c r="AF326" s="70">
        <v>1204030</v>
      </c>
      <c r="AG326" s="105" cm="1">
        <f t="array" ref="AG326">_xlfn.SWITCH(L326,3,1,
           4,1,
           5,1,
           6,1,0)</f>
        <v>0</v>
      </c>
      <c r="AH326" s="147">
        <v>80101201</v>
      </c>
      <c r="AI326" s="90">
        <v>6000</v>
      </c>
      <c r="AJ326" s="90">
        <v>3001</v>
      </c>
      <c r="AK326" s="27">
        <v>2004</v>
      </c>
      <c r="AL326" s="123">
        <f>_xlfn.XLOOKUP(H326,'#각종 참고'!$B$11:$B$20,'#각종 참고'!$D$11:$D$20)</f>
        <v>0</v>
      </c>
      <c r="AM326" s="27">
        <v>1</v>
      </c>
      <c r="AN326" s="27">
        <v>1</v>
      </c>
      <c r="AO326" s="124">
        <f t="shared" si="244"/>
        <v>1</v>
      </c>
      <c r="AP326" s="27">
        <v>1</v>
      </c>
      <c r="AQ326" s="21">
        <v>11124021</v>
      </c>
      <c r="AR326" s="21" t="s">
        <v>2440</v>
      </c>
      <c r="AS326" s="68"/>
      <c r="AT326" s="68"/>
      <c r="AU326" s="68"/>
    </row>
    <row r="327" spans="1:47" x14ac:dyDescent="0.3">
      <c r="A327" s="19"/>
      <c r="B327" s="109">
        <v>11134001</v>
      </c>
      <c r="C327" s="99" t="str">
        <f t="shared" si="1"/>
        <v>1</v>
      </c>
      <c r="D327" s="121">
        <f>COUNTIFS($F$33:F327,F327, $G$33:G327,G327, $C$33:C327,C327, $L$33:L327,L327)</f>
        <v>1</v>
      </c>
      <c r="E327" s="20">
        <v>1</v>
      </c>
      <c r="F327" s="20">
        <v>4</v>
      </c>
      <c r="G327" s="20">
        <v>1</v>
      </c>
      <c r="H327" s="103" t="s">
        <v>963</v>
      </c>
      <c r="I327" s="20" t="s">
        <v>1707</v>
      </c>
      <c r="J327" s="104" t="str">
        <f t="shared" si="231"/>
        <v>Item_Name_11134001</v>
      </c>
      <c r="K327" s="20">
        <v>10101001</v>
      </c>
      <c r="L327" s="108">
        <f t="shared" si="236"/>
        <v>3</v>
      </c>
      <c r="M327" s="105">
        <f>IF(D327=0, 0, _xlfn.XLOOKUP($F327,'#무게관련'!$B:$B,'#무게관련'!$C:$C)*_xlfn.XLOOKUP($L327,'#무게관련'!$F:$F,'#무게관련'!$G:$G)*100)</f>
        <v>6000</v>
      </c>
      <c r="N327" s="20">
        <v>20700</v>
      </c>
      <c r="O327" s="20">
        <v>1</v>
      </c>
      <c r="P327" s="20">
        <v>15</v>
      </c>
      <c r="Q327" s="20">
        <v>1</v>
      </c>
      <c r="R327" s="20">
        <v>100</v>
      </c>
      <c r="S327" s="20">
        <v>1</v>
      </c>
      <c r="T327" s="20" t="s">
        <v>1871</v>
      </c>
      <c r="U327" s="104" t="str">
        <f t="shared" si="224"/>
        <v>item_bg_grade_03</v>
      </c>
      <c r="V327" s="20" t="s">
        <v>323</v>
      </c>
      <c r="W327" s="20" t="s">
        <v>331</v>
      </c>
      <c r="X327" s="104">
        <v>0</v>
      </c>
      <c r="Y327" s="104">
        <v>0</v>
      </c>
      <c r="Z327" s="104">
        <v>0</v>
      </c>
      <c r="AA327" s="104">
        <v>0</v>
      </c>
      <c r="AB327" s="104">
        <v>0</v>
      </c>
      <c r="AC327" s="104">
        <v>0</v>
      </c>
      <c r="AD327" s="142">
        <v>0</v>
      </c>
      <c r="AE327" s="112">
        <f t="shared" si="238"/>
        <v>30</v>
      </c>
      <c r="AF327" s="70">
        <v>1304010</v>
      </c>
      <c r="AG327" s="105" cm="1">
        <f t="array" ref="AG327">_xlfn.SWITCH(L327,3,1,
           4,1,
           5,1,
           6,1,0)</f>
        <v>1</v>
      </c>
      <c r="AH327" s="147">
        <v>80101301</v>
      </c>
      <c r="AI327" s="90">
        <v>6001</v>
      </c>
      <c r="AJ327" s="90">
        <v>3003</v>
      </c>
      <c r="AK327" s="27">
        <v>3004</v>
      </c>
      <c r="AL327" s="123">
        <f>_xlfn.XLOOKUP(H327,'#각종 참고'!$B$11:$B$20,'#각종 참고'!$D$11:$D$20)</f>
        <v>0</v>
      </c>
      <c r="AM327" s="27">
        <v>1</v>
      </c>
      <c r="AN327" s="27">
        <v>1</v>
      </c>
      <c r="AO327" s="124">
        <f t="shared" si="244"/>
        <v>1</v>
      </c>
      <c r="AP327" s="27">
        <v>1</v>
      </c>
      <c r="AQ327" s="21">
        <v>11134001</v>
      </c>
      <c r="AR327" s="21" t="s">
        <v>1707</v>
      </c>
      <c r="AS327" s="68"/>
      <c r="AT327" s="68"/>
      <c r="AU327" s="68"/>
    </row>
    <row r="328" spans="1:47" x14ac:dyDescent="0.3">
      <c r="A328" s="19"/>
      <c r="B328" s="109">
        <v>11134002</v>
      </c>
      <c r="C328" s="99" t="str">
        <f t="shared" ref="C328:C329" si="253">IF(K328&gt;0,MID(K328,5, 1), 0)</f>
        <v>1</v>
      </c>
      <c r="D328" s="121">
        <f>COUNTIFS($F$33:F328,F328, $G$33:G328,G328, $C$33:C328,C328, $L$33:L328,L328)</f>
        <v>2</v>
      </c>
      <c r="E328" s="20">
        <v>1</v>
      </c>
      <c r="F328" s="20">
        <v>4</v>
      </c>
      <c r="G328" s="20">
        <v>1</v>
      </c>
      <c r="H328" s="103" t="s">
        <v>963</v>
      </c>
      <c r="I328" s="20" t="s">
        <v>1708</v>
      </c>
      <c r="J328" s="104" t="str">
        <f t="shared" si="231"/>
        <v>Item_Name_11134002</v>
      </c>
      <c r="K328" s="20">
        <v>10101001</v>
      </c>
      <c r="L328" s="108">
        <f t="shared" si="236"/>
        <v>3</v>
      </c>
      <c r="M328" s="105">
        <f>IF(D328=0, 0, _xlfn.XLOOKUP($F328,'#무게관련'!$B:$B,'#무게관련'!$C:$C)*_xlfn.XLOOKUP($L328,'#무게관련'!$F:$F,'#무게관련'!$G:$G)*100)</f>
        <v>6000</v>
      </c>
      <c r="N328" s="20">
        <v>20700</v>
      </c>
      <c r="O328" s="20">
        <v>1</v>
      </c>
      <c r="P328" s="20">
        <v>15</v>
      </c>
      <c r="Q328" s="20">
        <v>1</v>
      </c>
      <c r="R328" s="20">
        <v>100</v>
      </c>
      <c r="S328" s="20">
        <v>1</v>
      </c>
      <c r="T328" s="20" t="s">
        <v>1871</v>
      </c>
      <c r="U328" s="104" t="str">
        <f t="shared" ref="U328:U329" si="254">"item_bg_grade_0"&amp;L328</f>
        <v>item_bg_grade_03</v>
      </c>
      <c r="V328" s="20" t="s">
        <v>323</v>
      </c>
      <c r="W328" s="20" t="s">
        <v>331</v>
      </c>
      <c r="X328" s="104">
        <v>0</v>
      </c>
      <c r="Y328" s="104">
        <v>0</v>
      </c>
      <c r="Z328" s="104">
        <v>0</v>
      </c>
      <c r="AA328" s="104">
        <v>0</v>
      </c>
      <c r="AB328" s="104">
        <v>0</v>
      </c>
      <c r="AC328" s="104">
        <v>0</v>
      </c>
      <c r="AD328" s="142">
        <v>0</v>
      </c>
      <c r="AE328" s="112">
        <f t="shared" si="238"/>
        <v>30</v>
      </c>
      <c r="AF328" s="70">
        <v>1304020</v>
      </c>
      <c r="AG328" s="105" cm="1">
        <f t="array" ref="AG328">_xlfn.SWITCH(L328,3,1,
           4,1,
           5,1,
           6,1,0)</f>
        <v>1</v>
      </c>
      <c r="AH328" s="147">
        <v>80101301</v>
      </c>
      <c r="AI328" s="90">
        <v>6001</v>
      </c>
      <c r="AJ328" s="90">
        <v>3003</v>
      </c>
      <c r="AK328" s="27">
        <v>3004</v>
      </c>
      <c r="AL328" s="123">
        <f>_xlfn.XLOOKUP(H328,'#각종 참고'!$B$11:$B$20,'#각종 참고'!$D$11:$D$20)</f>
        <v>0</v>
      </c>
      <c r="AM328" s="27">
        <v>1</v>
      </c>
      <c r="AN328" s="27">
        <v>1</v>
      </c>
      <c r="AO328" s="124">
        <f t="shared" si="244"/>
        <v>1</v>
      </c>
      <c r="AP328" s="27">
        <v>1</v>
      </c>
      <c r="AQ328" s="21">
        <v>11134011</v>
      </c>
      <c r="AR328" s="21" t="s">
        <v>2441</v>
      </c>
      <c r="AS328" s="68"/>
      <c r="AT328" s="68"/>
      <c r="AU328" s="68"/>
    </row>
    <row r="329" spans="1:47" x14ac:dyDescent="0.3">
      <c r="A329" s="19"/>
      <c r="B329" s="109">
        <v>11134003</v>
      </c>
      <c r="C329" s="99" t="str">
        <f t="shared" si="253"/>
        <v>1</v>
      </c>
      <c r="D329" s="121">
        <f>COUNTIFS($F$33:F329,F329, $G$33:G329,G329, $C$33:C329,C329, $L$33:L329,L329)</f>
        <v>3</v>
      </c>
      <c r="E329" s="20">
        <v>1</v>
      </c>
      <c r="F329" s="20">
        <v>4</v>
      </c>
      <c r="G329" s="20">
        <v>1</v>
      </c>
      <c r="H329" s="103" t="s">
        <v>963</v>
      </c>
      <c r="I329" s="20" t="s">
        <v>2139</v>
      </c>
      <c r="J329" s="104" t="str">
        <f t="shared" si="231"/>
        <v>Item_Name_11134003</v>
      </c>
      <c r="K329" s="20">
        <v>10101001</v>
      </c>
      <c r="L329" s="108">
        <f t="shared" si="236"/>
        <v>3</v>
      </c>
      <c r="M329" s="105">
        <f>IF(D329=0, 0, _xlfn.XLOOKUP($F329,'#무게관련'!$B:$B,'#무게관련'!$C:$C)*_xlfn.XLOOKUP($L329,'#무게관련'!$F:$F,'#무게관련'!$G:$G)*100)</f>
        <v>6000</v>
      </c>
      <c r="N329" s="20">
        <v>20700</v>
      </c>
      <c r="O329" s="20">
        <v>1</v>
      </c>
      <c r="P329" s="20">
        <v>15</v>
      </c>
      <c r="Q329" s="20">
        <v>1</v>
      </c>
      <c r="R329" s="20">
        <v>100</v>
      </c>
      <c r="S329" s="20">
        <v>1</v>
      </c>
      <c r="T329" s="20" t="s">
        <v>1871</v>
      </c>
      <c r="U329" s="104" t="str">
        <f t="shared" si="254"/>
        <v>item_bg_grade_03</v>
      </c>
      <c r="V329" s="20" t="s">
        <v>323</v>
      </c>
      <c r="W329" s="20" t="s">
        <v>331</v>
      </c>
      <c r="X329" s="104">
        <v>0</v>
      </c>
      <c r="Y329" s="104">
        <v>0</v>
      </c>
      <c r="Z329" s="104">
        <v>0</v>
      </c>
      <c r="AA329" s="104">
        <v>0</v>
      </c>
      <c r="AB329" s="104">
        <v>0</v>
      </c>
      <c r="AC329" s="104">
        <v>0</v>
      </c>
      <c r="AD329" s="142">
        <v>0</v>
      </c>
      <c r="AE329" s="112">
        <f t="shared" si="238"/>
        <v>30</v>
      </c>
      <c r="AF329" s="70">
        <v>1304030</v>
      </c>
      <c r="AG329" s="105" cm="1">
        <f t="array" ref="AG329">_xlfn.SWITCH(L329,3,1,
           4,1,
           5,1,
           6,1,0)</f>
        <v>1</v>
      </c>
      <c r="AH329" s="147">
        <v>80101301</v>
      </c>
      <c r="AI329" s="90">
        <v>6001</v>
      </c>
      <c r="AJ329" s="90">
        <v>3003</v>
      </c>
      <c r="AK329" s="27">
        <v>3004</v>
      </c>
      <c r="AL329" s="123">
        <f>_xlfn.XLOOKUP(H329,'#각종 참고'!$B$11:$B$20,'#각종 참고'!$D$11:$D$20)</f>
        <v>0</v>
      </c>
      <c r="AM329" s="27">
        <v>1</v>
      </c>
      <c r="AN329" s="27">
        <v>1</v>
      </c>
      <c r="AO329" s="124">
        <f t="shared" si="244"/>
        <v>1</v>
      </c>
      <c r="AP329" s="27">
        <v>1</v>
      </c>
      <c r="AQ329" s="21">
        <v>11134021</v>
      </c>
      <c r="AR329" s="21" t="s">
        <v>2442</v>
      </c>
      <c r="AS329" s="68"/>
      <c r="AT329" s="68"/>
      <c r="AU329" s="68"/>
    </row>
    <row r="330" spans="1:47" x14ac:dyDescent="0.3">
      <c r="A330" s="19"/>
      <c r="B330" s="109">
        <v>11144001</v>
      </c>
      <c r="C330" s="99" t="str">
        <f t="shared" si="1"/>
        <v>1</v>
      </c>
      <c r="D330" s="121">
        <f>COUNTIFS($F$33:F330,F330, $G$33:G330,G330, $C$33:C330,C330, $L$33:L330,L330)</f>
        <v>1</v>
      </c>
      <c r="E330" s="20">
        <v>1</v>
      </c>
      <c r="F330" s="20">
        <v>4</v>
      </c>
      <c r="G330" s="20">
        <v>1</v>
      </c>
      <c r="H330" s="103" t="s">
        <v>963</v>
      </c>
      <c r="I330" s="20" t="s">
        <v>1709</v>
      </c>
      <c r="J330" s="104" t="str">
        <f t="shared" si="231"/>
        <v>Item_Name_11144001</v>
      </c>
      <c r="K330" s="20">
        <v>10101001</v>
      </c>
      <c r="L330" s="108">
        <f t="shared" si="236"/>
        <v>4</v>
      </c>
      <c r="M330" s="105">
        <f>IF(D330=0, 0, _xlfn.XLOOKUP($F330,'#무게관련'!$B:$B,'#무게관련'!$C:$C)*_xlfn.XLOOKUP($L330,'#무게관련'!$F:$F,'#무게관련'!$G:$G)*100)</f>
        <v>6000</v>
      </c>
      <c r="N330" s="20">
        <v>20700</v>
      </c>
      <c r="O330" s="20">
        <v>1</v>
      </c>
      <c r="P330" s="20">
        <v>15</v>
      </c>
      <c r="Q330" s="20">
        <v>1</v>
      </c>
      <c r="R330" s="20">
        <v>100</v>
      </c>
      <c r="S330" s="20">
        <v>1</v>
      </c>
      <c r="T330" s="20" t="s">
        <v>1872</v>
      </c>
      <c r="U330" s="104" t="str">
        <f t="shared" si="224"/>
        <v>item_bg_grade_04</v>
      </c>
      <c r="V330" s="20" t="s">
        <v>323</v>
      </c>
      <c r="W330" s="20" t="s">
        <v>331</v>
      </c>
      <c r="X330" s="104">
        <v>0</v>
      </c>
      <c r="Y330" s="104">
        <v>0</v>
      </c>
      <c r="Z330" s="104">
        <v>0</v>
      </c>
      <c r="AA330" s="104">
        <v>0</v>
      </c>
      <c r="AB330" s="104">
        <v>0</v>
      </c>
      <c r="AC330" s="104">
        <v>0</v>
      </c>
      <c r="AD330" s="142">
        <v>0</v>
      </c>
      <c r="AE330" s="112">
        <f t="shared" si="238"/>
        <v>40</v>
      </c>
      <c r="AF330" s="70">
        <v>1404010</v>
      </c>
      <c r="AG330" s="105" cm="1">
        <f t="array" ref="AG330">_xlfn.SWITCH(L330,3,1,
           4,1,
           5,1,
           6,1,0)</f>
        <v>1</v>
      </c>
      <c r="AH330" s="147">
        <v>80101401</v>
      </c>
      <c r="AI330" s="90">
        <v>6002</v>
      </c>
      <c r="AJ330" s="90">
        <v>3005</v>
      </c>
      <c r="AK330" s="27">
        <v>4004</v>
      </c>
      <c r="AL330" s="123">
        <f>_xlfn.XLOOKUP(H330,'#각종 참고'!$B$11:$B$20,'#각종 참고'!$D$11:$D$20)</f>
        <v>0</v>
      </c>
      <c r="AM330" s="27">
        <v>1</v>
      </c>
      <c r="AN330" s="27">
        <v>1</v>
      </c>
      <c r="AO330" s="124">
        <f t="shared" si="244"/>
        <v>1</v>
      </c>
      <c r="AP330" s="27">
        <v>1</v>
      </c>
      <c r="AQ330" s="21">
        <v>11144001</v>
      </c>
      <c r="AR330" s="21" t="s">
        <v>1709</v>
      </c>
      <c r="AS330" s="68"/>
      <c r="AT330" s="68"/>
      <c r="AU330" s="68"/>
    </row>
    <row r="331" spans="1:47" x14ac:dyDescent="0.3">
      <c r="A331" s="19"/>
      <c r="B331" s="109">
        <v>11144002</v>
      </c>
      <c r="C331" s="99" t="str">
        <f t="shared" ref="C331:C332" si="255">IF(K331&gt;0,MID(K331,5, 1), 0)</f>
        <v>1</v>
      </c>
      <c r="D331" s="121">
        <f>COUNTIFS($F$33:F331,F331, $G$33:G331,G331, $C$33:C331,C331, $L$33:L331,L331)</f>
        <v>2</v>
      </c>
      <c r="E331" s="20">
        <v>1</v>
      </c>
      <c r="F331" s="20">
        <v>4</v>
      </c>
      <c r="G331" s="20">
        <v>1</v>
      </c>
      <c r="H331" s="103" t="s">
        <v>963</v>
      </c>
      <c r="I331" s="20" t="s">
        <v>1710</v>
      </c>
      <c r="J331" s="104" t="str">
        <f t="shared" si="231"/>
        <v>Item_Name_11144002</v>
      </c>
      <c r="K331" s="20">
        <v>10101001</v>
      </c>
      <c r="L331" s="108">
        <f t="shared" si="236"/>
        <v>4</v>
      </c>
      <c r="M331" s="105">
        <f>IF(D331=0, 0, _xlfn.XLOOKUP($F331,'#무게관련'!$B:$B,'#무게관련'!$C:$C)*_xlfn.XLOOKUP($L331,'#무게관련'!$F:$F,'#무게관련'!$G:$G)*100)</f>
        <v>6000</v>
      </c>
      <c r="N331" s="20">
        <v>20700</v>
      </c>
      <c r="O331" s="20">
        <v>1</v>
      </c>
      <c r="P331" s="20">
        <v>15</v>
      </c>
      <c r="Q331" s="20">
        <v>1</v>
      </c>
      <c r="R331" s="20">
        <v>100</v>
      </c>
      <c r="S331" s="20">
        <v>1</v>
      </c>
      <c r="T331" s="20" t="s">
        <v>1872</v>
      </c>
      <c r="U331" s="104" t="str">
        <f t="shared" ref="U331:U332" si="256">"item_bg_grade_0"&amp;L331</f>
        <v>item_bg_grade_04</v>
      </c>
      <c r="V331" s="20" t="s">
        <v>323</v>
      </c>
      <c r="W331" s="20" t="s">
        <v>331</v>
      </c>
      <c r="X331" s="104">
        <v>0</v>
      </c>
      <c r="Y331" s="104">
        <v>0</v>
      </c>
      <c r="Z331" s="104">
        <v>0</v>
      </c>
      <c r="AA331" s="104">
        <v>0</v>
      </c>
      <c r="AB331" s="104">
        <v>0</v>
      </c>
      <c r="AC331" s="104">
        <v>0</v>
      </c>
      <c r="AD331" s="142">
        <v>0</v>
      </c>
      <c r="AE331" s="112">
        <f t="shared" si="238"/>
        <v>40</v>
      </c>
      <c r="AF331" s="70">
        <v>1404020</v>
      </c>
      <c r="AG331" s="105" cm="1">
        <f t="array" ref="AG331">_xlfn.SWITCH(L331,3,1,
           4,1,
           5,1,
           6,1,0)</f>
        <v>1</v>
      </c>
      <c r="AH331" s="147">
        <v>80101401</v>
      </c>
      <c r="AI331" s="90">
        <v>6002</v>
      </c>
      <c r="AJ331" s="90">
        <v>3005</v>
      </c>
      <c r="AK331" s="27">
        <v>4004</v>
      </c>
      <c r="AL331" s="123">
        <f>_xlfn.XLOOKUP(H331,'#각종 참고'!$B$11:$B$20,'#각종 참고'!$D$11:$D$20)</f>
        <v>0</v>
      </c>
      <c r="AM331" s="27">
        <v>1</v>
      </c>
      <c r="AN331" s="27">
        <v>1</v>
      </c>
      <c r="AO331" s="124">
        <f t="shared" si="244"/>
        <v>1</v>
      </c>
      <c r="AP331" s="27">
        <v>1</v>
      </c>
      <c r="AQ331" s="21">
        <v>11144011</v>
      </c>
      <c r="AR331" s="21" t="s">
        <v>2443</v>
      </c>
      <c r="AS331" s="68"/>
      <c r="AT331" s="68"/>
      <c r="AU331" s="68"/>
    </row>
    <row r="332" spans="1:47" x14ac:dyDescent="0.3">
      <c r="A332" s="19"/>
      <c r="B332" s="109">
        <v>11144003</v>
      </c>
      <c r="C332" s="99" t="str">
        <f t="shared" si="255"/>
        <v>1</v>
      </c>
      <c r="D332" s="121">
        <f>COUNTIFS($F$33:F332,F332, $G$33:G332,G332, $C$33:C332,C332, $L$33:L332,L332)</f>
        <v>3</v>
      </c>
      <c r="E332" s="20">
        <v>1</v>
      </c>
      <c r="F332" s="20">
        <v>4</v>
      </c>
      <c r="G332" s="20">
        <v>1</v>
      </c>
      <c r="H332" s="103" t="s">
        <v>963</v>
      </c>
      <c r="I332" s="20" t="s">
        <v>2008</v>
      </c>
      <c r="J332" s="104" t="str">
        <f t="shared" si="231"/>
        <v>Item_Name_11144003</v>
      </c>
      <c r="K332" s="20">
        <v>10101001</v>
      </c>
      <c r="L332" s="108">
        <f t="shared" si="236"/>
        <v>4</v>
      </c>
      <c r="M332" s="105">
        <f>IF(D332=0, 0, _xlfn.XLOOKUP($F332,'#무게관련'!$B:$B,'#무게관련'!$C:$C)*_xlfn.XLOOKUP($L332,'#무게관련'!$F:$F,'#무게관련'!$G:$G)*100)</f>
        <v>6000</v>
      </c>
      <c r="N332" s="20">
        <v>20700</v>
      </c>
      <c r="O332" s="20">
        <v>1</v>
      </c>
      <c r="P332" s="20">
        <v>15</v>
      </c>
      <c r="Q332" s="20">
        <v>1</v>
      </c>
      <c r="R332" s="20">
        <v>100</v>
      </c>
      <c r="S332" s="20">
        <v>1</v>
      </c>
      <c r="T332" s="20" t="s">
        <v>1872</v>
      </c>
      <c r="U332" s="104" t="str">
        <f t="shared" si="256"/>
        <v>item_bg_grade_04</v>
      </c>
      <c r="V332" s="20" t="s">
        <v>323</v>
      </c>
      <c r="W332" s="20" t="s">
        <v>331</v>
      </c>
      <c r="X332" s="104">
        <v>0</v>
      </c>
      <c r="Y332" s="104">
        <v>0</v>
      </c>
      <c r="Z332" s="104">
        <v>0</v>
      </c>
      <c r="AA332" s="104">
        <v>0</v>
      </c>
      <c r="AB332" s="104">
        <v>0</v>
      </c>
      <c r="AC332" s="104">
        <v>0</v>
      </c>
      <c r="AD332" s="142">
        <v>0</v>
      </c>
      <c r="AE332" s="112">
        <f t="shared" si="238"/>
        <v>40</v>
      </c>
      <c r="AF332" s="70">
        <v>1404030</v>
      </c>
      <c r="AG332" s="105" cm="1">
        <f t="array" ref="AG332">_xlfn.SWITCH(L332,3,1,
           4,1,
           5,1,
           6,1,0)</f>
        <v>1</v>
      </c>
      <c r="AH332" s="147">
        <v>80101401</v>
      </c>
      <c r="AI332" s="90">
        <v>6002</v>
      </c>
      <c r="AJ332" s="90">
        <v>3005</v>
      </c>
      <c r="AK332" s="27">
        <v>4004</v>
      </c>
      <c r="AL332" s="123">
        <f>_xlfn.XLOOKUP(H332,'#각종 참고'!$B$11:$B$20,'#각종 참고'!$D$11:$D$20)</f>
        <v>0</v>
      </c>
      <c r="AM332" s="27">
        <v>1</v>
      </c>
      <c r="AN332" s="27">
        <v>1</v>
      </c>
      <c r="AO332" s="124">
        <f t="shared" si="244"/>
        <v>1</v>
      </c>
      <c r="AP332" s="27">
        <v>1</v>
      </c>
      <c r="AQ332" s="21">
        <v>11144021</v>
      </c>
      <c r="AR332" s="21" t="s">
        <v>2444</v>
      </c>
      <c r="AS332" s="68"/>
      <c r="AT332" s="68"/>
      <c r="AU332" s="68"/>
    </row>
    <row r="333" spans="1:47" x14ac:dyDescent="0.3">
      <c r="A333" s="19"/>
      <c r="B333" s="109">
        <v>11154001</v>
      </c>
      <c r="C333" s="99" t="str">
        <f t="shared" ref="C333:C336" si="257">IF(K333&gt;0,MID(K333,5, 1), 0)</f>
        <v>1</v>
      </c>
      <c r="D333" s="121">
        <f>COUNTIFS($F$33:F333,F333, $G$33:G333,G333, $C$33:C333,C333, $L$33:L333,L333)</f>
        <v>1</v>
      </c>
      <c r="E333" s="20">
        <v>1</v>
      </c>
      <c r="F333" s="20">
        <v>4</v>
      </c>
      <c r="G333" s="20">
        <v>1</v>
      </c>
      <c r="H333" s="103" t="s">
        <v>963</v>
      </c>
      <c r="I333" s="20" t="s">
        <v>1711</v>
      </c>
      <c r="J333" s="104" t="str">
        <f t="shared" si="231"/>
        <v>Item_Name_11154001</v>
      </c>
      <c r="K333" s="20">
        <v>10101001</v>
      </c>
      <c r="L333" s="108">
        <f t="shared" si="236"/>
        <v>5</v>
      </c>
      <c r="M333" s="105">
        <f>IF(D333=0, 0, _xlfn.XLOOKUP($F333,'#무게관련'!$B:$B,'#무게관련'!$C:$C)*_xlfn.XLOOKUP($L333,'#무게관련'!$F:$F,'#무게관련'!$G:$G)*100)</f>
        <v>6000</v>
      </c>
      <c r="N333" s="20">
        <v>20700</v>
      </c>
      <c r="O333" s="20">
        <v>1</v>
      </c>
      <c r="P333" s="20">
        <v>15</v>
      </c>
      <c r="Q333" s="20">
        <v>1</v>
      </c>
      <c r="R333" s="20">
        <v>100</v>
      </c>
      <c r="S333" s="20">
        <v>1</v>
      </c>
      <c r="T333" s="20" t="s">
        <v>1873</v>
      </c>
      <c r="U333" s="104" t="str">
        <f t="shared" si="224"/>
        <v>item_bg_grade_05</v>
      </c>
      <c r="V333" s="20" t="s">
        <v>323</v>
      </c>
      <c r="W333" s="20" t="s">
        <v>331</v>
      </c>
      <c r="X333" s="104">
        <v>0</v>
      </c>
      <c r="Y333" s="104">
        <v>0</v>
      </c>
      <c r="Z333" s="104">
        <v>0</v>
      </c>
      <c r="AA333" s="104">
        <v>0</v>
      </c>
      <c r="AB333" s="104">
        <v>0</v>
      </c>
      <c r="AC333" s="104">
        <v>0</v>
      </c>
      <c r="AD333" s="142">
        <v>0</v>
      </c>
      <c r="AE333" s="112">
        <f t="shared" si="238"/>
        <v>50</v>
      </c>
      <c r="AF333" s="70">
        <v>1504010</v>
      </c>
      <c r="AG333" s="105" cm="1">
        <f t="array" ref="AG333">_xlfn.SWITCH(L333,3,1,
           4,1,
           5,1,
           6,1,0)</f>
        <v>1</v>
      </c>
      <c r="AH333" s="147">
        <v>80101501</v>
      </c>
      <c r="AI333" s="90">
        <v>6003</v>
      </c>
      <c r="AJ333" s="90">
        <v>3007</v>
      </c>
      <c r="AK333" s="27">
        <v>5004</v>
      </c>
      <c r="AL333" s="123">
        <f>_xlfn.XLOOKUP(H333,'#각종 참고'!$B$11:$B$20,'#각종 참고'!$D$11:$D$20)</f>
        <v>0</v>
      </c>
      <c r="AM333" s="27">
        <v>1</v>
      </c>
      <c r="AN333" s="27">
        <v>1</v>
      </c>
      <c r="AO333" s="124">
        <f t="shared" si="244"/>
        <v>1</v>
      </c>
      <c r="AP333" s="27">
        <v>1</v>
      </c>
      <c r="AQ333" s="21">
        <v>11154001</v>
      </c>
      <c r="AR333" s="21" t="s">
        <v>1711</v>
      </c>
      <c r="AS333" s="68"/>
      <c r="AT333" s="68"/>
      <c r="AU333" s="68"/>
    </row>
    <row r="334" spans="1:47" x14ac:dyDescent="0.3">
      <c r="A334" s="19"/>
      <c r="B334" s="109">
        <v>11154002</v>
      </c>
      <c r="C334" s="99" t="str">
        <f t="shared" ref="C334:C335" si="258">IF(K334&gt;0,MID(K334,5, 1), 0)</f>
        <v>1</v>
      </c>
      <c r="D334" s="121">
        <f>COUNTIFS($F$33:F334,F334, $G$33:G334,G334, $C$33:C334,C334, $L$33:L334,L334)</f>
        <v>2</v>
      </c>
      <c r="E334" s="20">
        <v>1</v>
      </c>
      <c r="F334" s="20">
        <v>4</v>
      </c>
      <c r="G334" s="20">
        <v>1</v>
      </c>
      <c r="H334" s="103" t="s">
        <v>963</v>
      </c>
      <c r="I334" s="20" t="s">
        <v>1712</v>
      </c>
      <c r="J334" s="104" t="str">
        <f t="shared" si="231"/>
        <v>Item_Name_11154002</v>
      </c>
      <c r="K334" s="20">
        <v>10101001</v>
      </c>
      <c r="L334" s="108">
        <f t="shared" si="236"/>
        <v>5</v>
      </c>
      <c r="M334" s="105">
        <f>IF(D334=0, 0, _xlfn.XLOOKUP($F334,'#무게관련'!$B:$B,'#무게관련'!$C:$C)*_xlfn.XLOOKUP($L334,'#무게관련'!$F:$F,'#무게관련'!$G:$G)*100)</f>
        <v>6000</v>
      </c>
      <c r="N334" s="20">
        <v>20700</v>
      </c>
      <c r="O334" s="20">
        <v>1</v>
      </c>
      <c r="P334" s="20">
        <v>15</v>
      </c>
      <c r="Q334" s="20">
        <v>1</v>
      </c>
      <c r="R334" s="20">
        <v>100</v>
      </c>
      <c r="S334" s="20">
        <v>1</v>
      </c>
      <c r="T334" s="20" t="s">
        <v>1873</v>
      </c>
      <c r="U334" s="104" t="str">
        <f t="shared" ref="U334:U335" si="259">"item_bg_grade_0"&amp;L334</f>
        <v>item_bg_grade_05</v>
      </c>
      <c r="V334" s="20" t="s">
        <v>323</v>
      </c>
      <c r="W334" s="20" t="s">
        <v>331</v>
      </c>
      <c r="X334" s="104">
        <v>0</v>
      </c>
      <c r="Y334" s="104">
        <v>0</v>
      </c>
      <c r="Z334" s="104">
        <v>0</v>
      </c>
      <c r="AA334" s="104">
        <v>0</v>
      </c>
      <c r="AB334" s="104">
        <v>0</v>
      </c>
      <c r="AC334" s="104">
        <v>0</v>
      </c>
      <c r="AD334" s="142">
        <v>0</v>
      </c>
      <c r="AE334" s="112">
        <f t="shared" si="238"/>
        <v>50</v>
      </c>
      <c r="AF334" s="70">
        <v>1504020</v>
      </c>
      <c r="AG334" s="105" cm="1">
        <f t="array" ref="AG334">_xlfn.SWITCH(L334,3,1,
           4,1,
           5,1,
           6,1,0)</f>
        <v>1</v>
      </c>
      <c r="AH334" s="147">
        <v>80101501</v>
      </c>
      <c r="AI334" s="90">
        <v>6003</v>
      </c>
      <c r="AJ334" s="90">
        <v>3007</v>
      </c>
      <c r="AK334" s="27">
        <v>5004</v>
      </c>
      <c r="AL334" s="123">
        <f>_xlfn.XLOOKUP(H334,'#각종 참고'!$B$11:$B$20,'#각종 참고'!$D$11:$D$20)</f>
        <v>0</v>
      </c>
      <c r="AM334" s="27">
        <v>1</v>
      </c>
      <c r="AN334" s="27">
        <v>1</v>
      </c>
      <c r="AO334" s="124">
        <f t="shared" si="244"/>
        <v>1</v>
      </c>
      <c r="AP334" s="27">
        <v>1</v>
      </c>
      <c r="AQ334" s="21">
        <v>11154011</v>
      </c>
      <c r="AR334" s="21" t="s">
        <v>2445</v>
      </c>
      <c r="AS334" s="68"/>
      <c r="AT334" s="68"/>
      <c r="AU334" s="68"/>
    </row>
    <row r="335" spans="1:47" x14ac:dyDescent="0.3">
      <c r="A335" s="19"/>
      <c r="B335" s="109">
        <v>11154003</v>
      </c>
      <c r="C335" s="99" t="str">
        <f t="shared" si="258"/>
        <v>1</v>
      </c>
      <c r="D335" s="121">
        <f>COUNTIFS($F$33:F335,F335, $G$33:G335,G335, $C$33:C335,C335, $L$33:L335,L335)</f>
        <v>3</v>
      </c>
      <c r="E335" s="20">
        <v>1</v>
      </c>
      <c r="F335" s="20">
        <v>4</v>
      </c>
      <c r="G335" s="20">
        <v>1</v>
      </c>
      <c r="H335" s="103" t="s">
        <v>963</v>
      </c>
      <c r="I335" s="20" t="s">
        <v>1968</v>
      </c>
      <c r="J335" s="104" t="str">
        <f t="shared" si="231"/>
        <v>Item_Name_11154003</v>
      </c>
      <c r="K335" s="20">
        <v>10101001</v>
      </c>
      <c r="L335" s="108">
        <f t="shared" si="236"/>
        <v>5</v>
      </c>
      <c r="M335" s="105">
        <f>IF(D335=0, 0, _xlfn.XLOOKUP($F335,'#무게관련'!$B:$B,'#무게관련'!$C:$C)*_xlfn.XLOOKUP($L335,'#무게관련'!$F:$F,'#무게관련'!$G:$G)*100)</f>
        <v>6000</v>
      </c>
      <c r="N335" s="20">
        <v>20700</v>
      </c>
      <c r="O335" s="20">
        <v>1</v>
      </c>
      <c r="P335" s="20">
        <v>15</v>
      </c>
      <c r="Q335" s="20">
        <v>1</v>
      </c>
      <c r="R335" s="20">
        <v>100</v>
      </c>
      <c r="S335" s="20">
        <v>1</v>
      </c>
      <c r="T335" s="20" t="s">
        <v>1873</v>
      </c>
      <c r="U335" s="104" t="str">
        <f t="shared" si="259"/>
        <v>item_bg_grade_05</v>
      </c>
      <c r="V335" s="20" t="s">
        <v>323</v>
      </c>
      <c r="W335" s="20" t="s">
        <v>331</v>
      </c>
      <c r="X335" s="104">
        <v>0</v>
      </c>
      <c r="Y335" s="104">
        <v>0</v>
      </c>
      <c r="Z335" s="104">
        <v>0</v>
      </c>
      <c r="AA335" s="104">
        <v>0</v>
      </c>
      <c r="AB335" s="104">
        <v>0</v>
      </c>
      <c r="AC335" s="104">
        <v>0</v>
      </c>
      <c r="AD335" s="142">
        <v>0</v>
      </c>
      <c r="AE335" s="112">
        <f t="shared" si="238"/>
        <v>50</v>
      </c>
      <c r="AF335" s="70">
        <v>1504030</v>
      </c>
      <c r="AG335" s="105" cm="1">
        <f t="array" ref="AG335">_xlfn.SWITCH(L335,3,1,
           4,1,
           5,1,
           6,1,0)</f>
        <v>1</v>
      </c>
      <c r="AH335" s="147">
        <v>80101501</v>
      </c>
      <c r="AI335" s="90">
        <v>6003</v>
      </c>
      <c r="AJ335" s="90">
        <v>3007</v>
      </c>
      <c r="AK335" s="27">
        <v>5004</v>
      </c>
      <c r="AL335" s="123">
        <f>_xlfn.XLOOKUP(H335,'#각종 참고'!$B$11:$B$20,'#각종 참고'!$D$11:$D$20)</f>
        <v>0</v>
      </c>
      <c r="AM335" s="27">
        <v>1</v>
      </c>
      <c r="AN335" s="27">
        <v>1</v>
      </c>
      <c r="AO335" s="124">
        <f t="shared" si="244"/>
        <v>1</v>
      </c>
      <c r="AP335" s="27">
        <v>1</v>
      </c>
      <c r="AQ335" s="21">
        <v>11154021</v>
      </c>
      <c r="AR335" s="21" t="s">
        <v>2446</v>
      </c>
      <c r="AS335" s="68"/>
      <c r="AT335" s="68"/>
      <c r="AU335" s="68"/>
    </row>
    <row r="336" spans="1:47" x14ac:dyDescent="0.3">
      <c r="A336" s="19"/>
      <c r="B336" s="109">
        <v>11164001</v>
      </c>
      <c r="C336" s="99" t="str">
        <f t="shared" si="257"/>
        <v>1</v>
      </c>
      <c r="D336" s="121">
        <f>COUNTIFS($F$33:F336,F336, $G$33:G336,G336, $C$33:C336,C336, $L$33:L336,L336)</f>
        <v>1</v>
      </c>
      <c r="E336" s="20">
        <v>1</v>
      </c>
      <c r="F336" s="20">
        <v>4</v>
      </c>
      <c r="G336" s="20">
        <v>1</v>
      </c>
      <c r="H336" s="103" t="s">
        <v>963</v>
      </c>
      <c r="I336" s="20" t="s">
        <v>1713</v>
      </c>
      <c r="J336" s="104" t="str">
        <f t="shared" si="231"/>
        <v>Item_Name_11164001</v>
      </c>
      <c r="K336" s="20">
        <v>10101001</v>
      </c>
      <c r="L336" s="108">
        <f t="shared" si="236"/>
        <v>6</v>
      </c>
      <c r="M336" s="105">
        <f>IF(D336=0, 0, _xlfn.XLOOKUP($F336,'#무게관련'!$B:$B,'#무게관련'!$C:$C)*_xlfn.XLOOKUP($L336,'#무게관련'!$F:$F,'#무게관련'!$G:$G)*100)</f>
        <v>6000</v>
      </c>
      <c r="N336" s="20">
        <v>20700</v>
      </c>
      <c r="O336" s="20">
        <v>1</v>
      </c>
      <c r="P336" s="20">
        <v>15</v>
      </c>
      <c r="Q336" s="20">
        <v>1</v>
      </c>
      <c r="R336" s="20">
        <v>100</v>
      </c>
      <c r="S336" s="20">
        <v>1</v>
      </c>
      <c r="T336" s="109" t="s">
        <v>1873</v>
      </c>
      <c r="U336" s="104" t="str">
        <f t="shared" si="224"/>
        <v>item_bg_grade_06</v>
      </c>
      <c r="V336" s="20" t="s">
        <v>323</v>
      </c>
      <c r="W336" s="20" t="s">
        <v>331</v>
      </c>
      <c r="X336" s="104">
        <v>0</v>
      </c>
      <c r="Y336" s="104">
        <v>0</v>
      </c>
      <c r="Z336" s="104">
        <v>0</v>
      </c>
      <c r="AA336" s="104">
        <v>0</v>
      </c>
      <c r="AB336" s="104">
        <v>0</v>
      </c>
      <c r="AC336" s="104">
        <v>0</v>
      </c>
      <c r="AD336" s="142">
        <v>0</v>
      </c>
      <c r="AE336" s="112">
        <f t="shared" si="238"/>
        <v>70</v>
      </c>
      <c r="AF336" s="70">
        <v>1604010</v>
      </c>
      <c r="AG336" s="105" cm="1">
        <f t="array" ref="AG336">_xlfn.SWITCH(L336,3,1,
           4,1,
           5,1,
           6,1,0)</f>
        <v>1</v>
      </c>
      <c r="AH336" s="147">
        <v>0</v>
      </c>
      <c r="AI336" s="90">
        <v>6004</v>
      </c>
      <c r="AJ336" s="90">
        <v>3009</v>
      </c>
      <c r="AK336" s="27">
        <v>6004</v>
      </c>
      <c r="AL336" s="123">
        <f>_xlfn.XLOOKUP(H336,'#각종 참고'!$B$11:$B$20,'#각종 참고'!$D$11:$D$20)</f>
        <v>0</v>
      </c>
      <c r="AM336" s="27">
        <v>1</v>
      </c>
      <c r="AN336" s="27">
        <v>1</v>
      </c>
      <c r="AO336" s="124">
        <f t="shared" si="244"/>
        <v>1</v>
      </c>
      <c r="AP336" s="27">
        <v>1</v>
      </c>
      <c r="AQ336" s="21">
        <v>11164001</v>
      </c>
      <c r="AR336" s="21" t="s">
        <v>1713</v>
      </c>
      <c r="AS336" s="68"/>
      <c r="AT336" s="68"/>
      <c r="AU336" s="68"/>
    </row>
    <row r="337" spans="1:47" x14ac:dyDescent="0.3">
      <c r="A337" s="19" t="s">
        <v>513</v>
      </c>
      <c r="B337" s="109">
        <v>11164002</v>
      </c>
      <c r="C337" s="99" t="str">
        <f t="shared" ref="C337:C338" si="260">IF(K337&gt;0,MID(K337,5, 1), 0)</f>
        <v>1</v>
      </c>
      <c r="D337" s="121">
        <f>COUNTIFS($F$33:F337,F337, $G$33:G337,G337, $C$33:C337,C337, $L$33:L337,L337)</f>
        <v>2</v>
      </c>
      <c r="E337" s="20">
        <v>1</v>
      </c>
      <c r="F337" s="20">
        <v>4</v>
      </c>
      <c r="G337" s="20">
        <v>1</v>
      </c>
      <c r="H337" s="103" t="s">
        <v>963</v>
      </c>
      <c r="I337" s="20" t="s">
        <v>2141</v>
      </c>
      <c r="J337" s="104" t="str">
        <f t="shared" si="231"/>
        <v>Item_Name_11164002</v>
      </c>
      <c r="K337" s="20">
        <v>10101001</v>
      </c>
      <c r="L337" s="108">
        <f t="shared" si="236"/>
        <v>6</v>
      </c>
      <c r="M337" s="105">
        <f>IF(D337=0, 0, _xlfn.XLOOKUP($F337,'#무게관련'!$B:$B,'#무게관련'!$C:$C)*_xlfn.XLOOKUP($L337,'#무게관련'!$F:$F,'#무게관련'!$G:$G)*100)</f>
        <v>6000</v>
      </c>
      <c r="N337" s="20">
        <v>20700</v>
      </c>
      <c r="O337" s="20">
        <v>1</v>
      </c>
      <c r="P337" s="20">
        <v>15</v>
      </c>
      <c r="Q337" s="20">
        <v>1</v>
      </c>
      <c r="R337" s="20">
        <v>100</v>
      </c>
      <c r="S337" s="20">
        <v>1</v>
      </c>
      <c r="T337" s="109" t="s">
        <v>1873</v>
      </c>
      <c r="U337" s="104" t="str">
        <f t="shared" ref="U337:U338" si="261">"item_bg_grade_0"&amp;L337</f>
        <v>item_bg_grade_06</v>
      </c>
      <c r="V337" s="20" t="s">
        <v>323</v>
      </c>
      <c r="W337" s="20" t="s">
        <v>331</v>
      </c>
      <c r="X337" s="104">
        <v>0</v>
      </c>
      <c r="Y337" s="104">
        <v>0</v>
      </c>
      <c r="Z337" s="104">
        <v>0</v>
      </c>
      <c r="AA337" s="104">
        <v>0</v>
      </c>
      <c r="AB337" s="104">
        <v>0</v>
      </c>
      <c r="AC337" s="104">
        <v>0</v>
      </c>
      <c r="AD337" s="142">
        <v>0</v>
      </c>
      <c r="AE337" s="112">
        <f t="shared" si="238"/>
        <v>70</v>
      </c>
      <c r="AF337" s="70">
        <v>1604010</v>
      </c>
      <c r="AG337" s="105" cm="1">
        <f t="array" ref="AG337">_xlfn.SWITCH(L337,3,1,
           4,1,
           5,1,
           6,1,0)</f>
        <v>1</v>
      </c>
      <c r="AH337" s="147">
        <v>0</v>
      </c>
      <c r="AI337" s="90">
        <v>6004</v>
      </c>
      <c r="AJ337" s="90">
        <v>3009</v>
      </c>
      <c r="AK337" s="27">
        <v>6004</v>
      </c>
      <c r="AL337" s="123">
        <f>_xlfn.XLOOKUP(H337,'#각종 참고'!$B$11:$B$20,'#각종 참고'!$D$11:$D$20)</f>
        <v>0</v>
      </c>
      <c r="AM337" s="27">
        <v>1</v>
      </c>
      <c r="AN337" s="27">
        <v>1</v>
      </c>
      <c r="AO337" s="124">
        <f t="shared" si="244"/>
        <v>1</v>
      </c>
      <c r="AP337" s="27">
        <v>1</v>
      </c>
      <c r="AQ337" s="21">
        <v>11164011</v>
      </c>
      <c r="AR337" s="21" t="s">
        <v>2447</v>
      </c>
      <c r="AS337" s="68"/>
      <c r="AT337" s="68"/>
      <c r="AU337" s="68"/>
    </row>
    <row r="338" spans="1:47" x14ac:dyDescent="0.3">
      <c r="A338" s="19" t="s">
        <v>513</v>
      </c>
      <c r="B338" s="109">
        <v>11164003</v>
      </c>
      <c r="C338" s="99" t="str">
        <f t="shared" si="260"/>
        <v>1</v>
      </c>
      <c r="D338" s="121">
        <f>COUNTIFS($F$33:F338,F338, $G$33:G338,G338, $C$33:C338,C338, $L$33:L338,L338)</f>
        <v>3</v>
      </c>
      <c r="E338" s="20">
        <v>1</v>
      </c>
      <c r="F338" s="20">
        <v>4</v>
      </c>
      <c r="G338" s="20">
        <v>1</v>
      </c>
      <c r="H338" s="103" t="s">
        <v>963</v>
      </c>
      <c r="I338" s="20" t="s">
        <v>2140</v>
      </c>
      <c r="J338" s="104" t="str">
        <f t="shared" si="231"/>
        <v>Item_Name_11164003</v>
      </c>
      <c r="K338" s="20">
        <v>10101001</v>
      </c>
      <c r="L338" s="108">
        <f t="shared" si="236"/>
        <v>6</v>
      </c>
      <c r="M338" s="105">
        <f>IF(D338=0, 0, _xlfn.XLOOKUP($F338,'#무게관련'!$B:$B,'#무게관련'!$C:$C)*_xlfn.XLOOKUP($L338,'#무게관련'!$F:$F,'#무게관련'!$G:$G)*100)</f>
        <v>6000</v>
      </c>
      <c r="N338" s="20">
        <v>20700</v>
      </c>
      <c r="O338" s="20">
        <v>1</v>
      </c>
      <c r="P338" s="20">
        <v>15</v>
      </c>
      <c r="Q338" s="20">
        <v>1</v>
      </c>
      <c r="R338" s="20">
        <v>100</v>
      </c>
      <c r="S338" s="20">
        <v>1</v>
      </c>
      <c r="T338" s="109" t="s">
        <v>1873</v>
      </c>
      <c r="U338" s="104" t="str">
        <f t="shared" si="261"/>
        <v>item_bg_grade_06</v>
      </c>
      <c r="V338" s="20" t="s">
        <v>323</v>
      </c>
      <c r="W338" s="20" t="s">
        <v>331</v>
      </c>
      <c r="X338" s="104">
        <v>0</v>
      </c>
      <c r="Y338" s="104">
        <v>0</v>
      </c>
      <c r="Z338" s="104">
        <v>0</v>
      </c>
      <c r="AA338" s="104">
        <v>0</v>
      </c>
      <c r="AB338" s="104">
        <v>0</v>
      </c>
      <c r="AC338" s="104">
        <v>0</v>
      </c>
      <c r="AD338" s="142">
        <v>0</v>
      </c>
      <c r="AE338" s="112">
        <f t="shared" si="238"/>
        <v>70</v>
      </c>
      <c r="AF338" s="70">
        <v>1604010</v>
      </c>
      <c r="AG338" s="105" cm="1">
        <f t="array" ref="AG338">_xlfn.SWITCH(L338,3,1,
           4,1,
           5,1,
           6,1,0)</f>
        <v>1</v>
      </c>
      <c r="AH338" s="147">
        <v>0</v>
      </c>
      <c r="AI338" s="90">
        <v>6004</v>
      </c>
      <c r="AJ338" s="90">
        <v>3009</v>
      </c>
      <c r="AK338" s="27">
        <v>6004</v>
      </c>
      <c r="AL338" s="123">
        <f>_xlfn.XLOOKUP(H338,'#각종 참고'!$B$11:$B$20,'#각종 참고'!$D$11:$D$20)</f>
        <v>0</v>
      </c>
      <c r="AM338" s="27">
        <v>1</v>
      </c>
      <c r="AN338" s="27">
        <v>1</v>
      </c>
      <c r="AO338" s="124">
        <f t="shared" si="244"/>
        <v>1</v>
      </c>
      <c r="AP338" s="27">
        <v>1</v>
      </c>
      <c r="AQ338" s="21">
        <v>11164021</v>
      </c>
      <c r="AR338" s="21" t="s">
        <v>2448</v>
      </c>
      <c r="AS338" s="68"/>
      <c r="AT338" s="68"/>
      <c r="AU338" s="68"/>
    </row>
    <row r="339" spans="1:47" s="68" customFormat="1" x14ac:dyDescent="0.3">
      <c r="A339" s="65"/>
      <c r="B339" s="110">
        <v>12114001</v>
      </c>
      <c r="C339" s="99" t="str">
        <f t="shared" si="1"/>
        <v>2</v>
      </c>
      <c r="D339" s="120">
        <f>COUNTIFS($F$33:F339,F339, $G$33:G339,G339, $C$33:C339,C339, $L$33:L339,L339)</f>
        <v>1</v>
      </c>
      <c r="E339" s="20">
        <v>1</v>
      </c>
      <c r="F339" s="66">
        <v>4</v>
      </c>
      <c r="G339" s="66">
        <v>1</v>
      </c>
      <c r="H339" s="103" t="s">
        <v>963</v>
      </c>
      <c r="I339" s="66" t="s">
        <v>1714</v>
      </c>
      <c r="J339" s="104" t="str">
        <f t="shared" si="231"/>
        <v>Item_Name_12114001</v>
      </c>
      <c r="K339" s="66">
        <v>10102001</v>
      </c>
      <c r="L339" s="106">
        <f t="shared" si="236"/>
        <v>1</v>
      </c>
      <c r="M339" s="105">
        <f>IF(D339=0, 0, _xlfn.XLOOKUP($F339,'#무게관련'!$B:$B,'#무게관련'!$C:$C)*_xlfn.XLOOKUP($L339,'#무게관련'!$F:$F,'#무게관련'!$G:$G)*100)</f>
        <v>6000</v>
      </c>
      <c r="N339" s="20">
        <v>20700</v>
      </c>
      <c r="O339" s="20">
        <v>2</v>
      </c>
      <c r="P339" s="66">
        <v>15</v>
      </c>
      <c r="Q339" s="20">
        <v>1</v>
      </c>
      <c r="R339" s="66">
        <v>100</v>
      </c>
      <c r="S339" s="66">
        <v>1</v>
      </c>
      <c r="T339" s="66" t="s">
        <v>1869</v>
      </c>
      <c r="U339" s="104" t="str">
        <f t="shared" si="224"/>
        <v>item_bg_grade_01</v>
      </c>
      <c r="V339" s="66" t="s">
        <v>324</v>
      </c>
      <c r="W339" s="66" t="s">
        <v>331</v>
      </c>
      <c r="X339" s="104">
        <v>0</v>
      </c>
      <c r="Y339" s="104">
        <v>0</v>
      </c>
      <c r="Z339" s="104">
        <v>0</v>
      </c>
      <c r="AA339" s="104">
        <v>0</v>
      </c>
      <c r="AB339" s="104">
        <v>0</v>
      </c>
      <c r="AC339" s="104">
        <v>0</v>
      </c>
      <c r="AD339" s="142">
        <v>0</v>
      </c>
      <c r="AE339" s="111">
        <f t="shared" si="238"/>
        <v>10</v>
      </c>
      <c r="AF339" s="70">
        <v>2104010</v>
      </c>
      <c r="AG339" s="105" cm="1">
        <f t="array" ref="AG339">_xlfn.SWITCH(L339,3,1,
           4,1,
           5,1,
           6,1,0)</f>
        <v>0</v>
      </c>
      <c r="AH339" s="146">
        <f t="shared" ref="AH339:AH370" si="262">AH321</f>
        <v>80101101</v>
      </c>
      <c r="AI339" s="90">
        <v>0</v>
      </c>
      <c r="AJ339" s="90">
        <v>0</v>
      </c>
      <c r="AK339" s="27">
        <v>0</v>
      </c>
      <c r="AL339" s="123">
        <f>_xlfn.XLOOKUP(H339,'#각종 참고'!$B$11:$B$20,'#각종 참고'!$D$11:$D$20)</f>
        <v>0</v>
      </c>
      <c r="AM339" s="27">
        <v>1</v>
      </c>
      <c r="AN339" s="27">
        <v>1</v>
      </c>
      <c r="AO339" s="124">
        <f t="shared" si="244"/>
        <v>1</v>
      </c>
      <c r="AP339" s="27">
        <v>1</v>
      </c>
      <c r="AQ339" s="21">
        <v>12114001</v>
      </c>
      <c r="AR339" s="68" t="s">
        <v>1714</v>
      </c>
    </row>
    <row r="340" spans="1:47" s="68" customFormat="1" x14ac:dyDescent="0.3">
      <c r="A340" s="65"/>
      <c r="B340" s="110">
        <v>12114002</v>
      </c>
      <c r="C340" s="99" t="str">
        <f t="shared" ref="C340:C341" si="263">IF(K340&gt;0,MID(K340,5, 1), 0)</f>
        <v>2</v>
      </c>
      <c r="D340" s="120">
        <f>COUNTIFS($F$33:F340,F340, $G$33:G340,G340, $C$33:C340,C340, $L$33:L340,L340)</f>
        <v>2</v>
      </c>
      <c r="E340" s="20">
        <v>1</v>
      </c>
      <c r="F340" s="66">
        <v>4</v>
      </c>
      <c r="G340" s="66">
        <v>1</v>
      </c>
      <c r="H340" s="103" t="s">
        <v>963</v>
      </c>
      <c r="I340" s="66" t="s">
        <v>2143</v>
      </c>
      <c r="J340" s="104" t="str">
        <f t="shared" si="231"/>
        <v>Item_Name_12114002</v>
      </c>
      <c r="K340" s="66">
        <v>10102001</v>
      </c>
      <c r="L340" s="106">
        <f t="shared" si="236"/>
        <v>1</v>
      </c>
      <c r="M340" s="105">
        <f>IF(D340=0, 0, _xlfn.XLOOKUP($F340,'#무게관련'!$B:$B,'#무게관련'!$C:$C)*_xlfn.XLOOKUP($L340,'#무게관련'!$F:$F,'#무게관련'!$G:$G)*100)</f>
        <v>6000</v>
      </c>
      <c r="N340" s="20">
        <v>20700</v>
      </c>
      <c r="O340" s="20">
        <v>2</v>
      </c>
      <c r="P340" s="66">
        <v>15</v>
      </c>
      <c r="Q340" s="20">
        <v>1</v>
      </c>
      <c r="R340" s="66">
        <v>100</v>
      </c>
      <c r="S340" s="66">
        <v>1</v>
      </c>
      <c r="T340" s="66" t="s">
        <v>1869</v>
      </c>
      <c r="U340" s="104" t="str">
        <f t="shared" ref="U340:U341" si="264">"item_bg_grade_0"&amp;L340</f>
        <v>item_bg_grade_01</v>
      </c>
      <c r="V340" s="66" t="s">
        <v>324</v>
      </c>
      <c r="W340" s="66" t="s">
        <v>331</v>
      </c>
      <c r="X340" s="104">
        <v>0</v>
      </c>
      <c r="Y340" s="104">
        <v>0</v>
      </c>
      <c r="Z340" s="104">
        <v>0</v>
      </c>
      <c r="AA340" s="104">
        <v>0</v>
      </c>
      <c r="AB340" s="104">
        <v>0</v>
      </c>
      <c r="AC340" s="104">
        <v>0</v>
      </c>
      <c r="AD340" s="142">
        <v>0</v>
      </c>
      <c r="AE340" s="111">
        <f t="shared" si="238"/>
        <v>10</v>
      </c>
      <c r="AF340" s="70">
        <v>2104020</v>
      </c>
      <c r="AG340" s="105" cm="1">
        <f t="array" ref="AG340">_xlfn.SWITCH(L340,3,1,
           4,1,
           5,1,
           6,1,0)</f>
        <v>0</v>
      </c>
      <c r="AH340" s="146">
        <f t="shared" si="262"/>
        <v>80101101</v>
      </c>
      <c r="AI340" s="90">
        <v>0</v>
      </c>
      <c r="AJ340" s="90">
        <v>0</v>
      </c>
      <c r="AK340" s="27">
        <v>0</v>
      </c>
      <c r="AL340" s="123">
        <f>_xlfn.XLOOKUP(H340,'#각종 참고'!$B$11:$B$20,'#각종 참고'!$D$11:$D$20)</f>
        <v>0</v>
      </c>
      <c r="AM340" s="27">
        <v>1</v>
      </c>
      <c r="AN340" s="27">
        <v>1</v>
      </c>
      <c r="AO340" s="124">
        <f t="shared" si="244"/>
        <v>1</v>
      </c>
      <c r="AP340" s="27">
        <v>1</v>
      </c>
      <c r="AQ340" s="21">
        <v>12114011</v>
      </c>
      <c r="AR340" s="68" t="s">
        <v>2449</v>
      </c>
    </row>
    <row r="341" spans="1:47" s="68" customFormat="1" x14ac:dyDescent="0.3">
      <c r="A341" s="65"/>
      <c r="B341" s="110">
        <v>12114003</v>
      </c>
      <c r="C341" s="99" t="str">
        <f t="shared" si="263"/>
        <v>2</v>
      </c>
      <c r="D341" s="120">
        <f>COUNTIFS($F$33:F341,F341, $G$33:G341,G341, $C$33:C341,C341, $L$33:L341,L341)</f>
        <v>3</v>
      </c>
      <c r="E341" s="20">
        <v>1</v>
      </c>
      <c r="F341" s="66">
        <v>4</v>
      </c>
      <c r="G341" s="66">
        <v>1</v>
      </c>
      <c r="H341" s="103" t="s">
        <v>963</v>
      </c>
      <c r="I341" s="66" t="s">
        <v>2142</v>
      </c>
      <c r="J341" s="104" t="str">
        <f t="shared" si="231"/>
        <v>Item_Name_12114003</v>
      </c>
      <c r="K341" s="66">
        <v>10102001</v>
      </c>
      <c r="L341" s="106">
        <f t="shared" si="236"/>
        <v>1</v>
      </c>
      <c r="M341" s="105">
        <f>IF(D341=0, 0, _xlfn.XLOOKUP($F341,'#무게관련'!$B:$B,'#무게관련'!$C:$C)*_xlfn.XLOOKUP($L341,'#무게관련'!$F:$F,'#무게관련'!$G:$G)*100)</f>
        <v>6000</v>
      </c>
      <c r="N341" s="20">
        <v>20700</v>
      </c>
      <c r="O341" s="20">
        <v>2</v>
      </c>
      <c r="P341" s="66">
        <v>15</v>
      </c>
      <c r="Q341" s="20">
        <v>1</v>
      </c>
      <c r="R341" s="66">
        <v>100</v>
      </c>
      <c r="S341" s="66">
        <v>1</v>
      </c>
      <c r="T341" s="66" t="s">
        <v>1869</v>
      </c>
      <c r="U341" s="104" t="str">
        <f t="shared" si="264"/>
        <v>item_bg_grade_01</v>
      </c>
      <c r="V341" s="66" t="s">
        <v>324</v>
      </c>
      <c r="W341" s="66" t="s">
        <v>331</v>
      </c>
      <c r="X341" s="104">
        <v>0</v>
      </c>
      <c r="Y341" s="104">
        <v>0</v>
      </c>
      <c r="Z341" s="104">
        <v>0</v>
      </c>
      <c r="AA341" s="104">
        <v>0</v>
      </c>
      <c r="AB341" s="104">
        <v>0</v>
      </c>
      <c r="AC341" s="104">
        <v>0</v>
      </c>
      <c r="AD341" s="142">
        <v>0</v>
      </c>
      <c r="AE341" s="111">
        <f t="shared" si="238"/>
        <v>10</v>
      </c>
      <c r="AF341" s="70">
        <v>2104030</v>
      </c>
      <c r="AG341" s="105" cm="1">
        <f t="array" ref="AG341">_xlfn.SWITCH(L341,3,1,
           4,1,
           5,1,
           6,1,0)</f>
        <v>0</v>
      </c>
      <c r="AH341" s="146">
        <f t="shared" si="262"/>
        <v>80101101</v>
      </c>
      <c r="AI341" s="90">
        <v>0</v>
      </c>
      <c r="AJ341" s="90">
        <v>0</v>
      </c>
      <c r="AK341" s="27">
        <v>0</v>
      </c>
      <c r="AL341" s="123">
        <f>_xlfn.XLOOKUP(H341,'#각종 참고'!$B$11:$B$20,'#각종 참고'!$D$11:$D$20)</f>
        <v>0</v>
      </c>
      <c r="AM341" s="27">
        <v>1</v>
      </c>
      <c r="AN341" s="27">
        <v>1</v>
      </c>
      <c r="AO341" s="124">
        <f t="shared" si="244"/>
        <v>1</v>
      </c>
      <c r="AP341" s="27">
        <v>1</v>
      </c>
      <c r="AQ341" s="21">
        <v>12114021</v>
      </c>
      <c r="AR341" s="68" t="s">
        <v>2450</v>
      </c>
    </row>
    <row r="342" spans="1:47" x14ac:dyDescent="0.3">
      <c r="A342" s="19"/>
      <c r="B342" s="109">
        <v>12124001</v>
      </c>
      <c r="C342" s="99" t="str">
        <f t="shared" si="1"/>
        <v>2</v>
      </c>
      <c r="D342" s="121">
        <f>COUNTIFS($F$33:F342,F342, $G$33:G342,G342, $C$33:C342,C342, $L$33:L342,L342)</f>
        <v>1</v>
      </c>
      <c r="E342" s="20">
        <v>1</v>
      </c>
      <c r="F342" s="20">
        <v>4</v>
      </c>
      <c r="G342" s="20">
        <v>1</v>
      </c>
      <c r="H342" s="103" t="s">
        <v>963</v>
      </c>
      <c r="I342" s="20" t="s">
        <v>1715</v>
      </c>
      <c r="J342" s="104" t="str">
        <f t="shared" si="231"/>
        <v>Item_Name_12124001</v>
      </c>
      <c r="K342" s="20">
        <v>10102001</v>
      </c>
      <c r="L342" s="107">
        <f t="shared" si="236"/>
        <v>2</v>
      </c>
      <c r="M342" s="105">
        <f>IF(D342=0, 0, _xlfn.XLOOKUP($F342,'#무게관련'!$B:$B,'#무게관련'!$C:$C)*_xlfn.XLOOKUP($L342,'#무게관련'!$F:$F,'#무게관련'!$G:$G)*100)</f>
        <v>6000</v>
      </c>
      <c r="N342" s="20">
        <v>20700</v>
      </c>
      <c r="O342" s="20">
        <v>2</v>
      </c>
      <c r="P342" s="20">
        <v>15</v>
      </c>
      <c r="Q342" s="20">
        <v>1</v>
      </c>
      <c r="R342" s="20">
        <v>100</v>
      </c>
      <c r="S342" s="20">
        <v>1</v>
      </c>
      <c r="T342" s="20" t="s">
        <v>1870</v>
      </c>
      <c r="U342" s="104" t="str">
        <f t="shared" si="224"/>
        <v>item_bg_grade_02</v>
      </c>
      <c r="V342" s="20" t="s">
        <v>324</v>
      </c>
      <c r="W342" s="20" t="s">
        <v>331</v>
      </c>
      <c r="X342" s="104">
        <v>0</v>
      </c>
      <c r="Y342" s="104">
        <v>0</v>
      </c>
      <c r="Z342" s="104">
        <v>0</v>
      </c>
      <c r="AA342" s="104">
        <v>0</v>
      </c>
      <c r="AB342" s="104">
        <v>0</v>
      </c>
      <c r="AC342" s="104">
        <v>0</v>
      </c>
      <c r="AD342" s="142">
        <v>0</v>
      </c>
      <c r="AE342" s="112">
        <f t="shared" si="238"/>
        <v>20</v>
      </c>
      <c r="AF342" s="70">
        <v>2204010</v>
      </c>
      <c r="AG342" s="105" cm="1">
        <f t="array" ref="AG342">_xlfn.SWITCH(L342,3,1,
           4,1,
           5,1,
           6,1,0)</f>
        <v>0</v>
      </c>
      <c r="AH342" s="146">
        <f t="shared" si="262"/>
        <v>80101201</v>
      </c>
      <c r="AI342" s="90">
        <v>6000</v>
      </c>
      <c r="AJ342" s="90">
        <v>3001</v>
      </c>
      <c r="AK342" s="27">
        <v>2004</v>
      </c>
      <c r="AL342" s="123">
        <f>_xlfn.XLOOKUP(H342,'#각종 참고'!$B$11:$B$20,'#각종 참고'!$D$11:$D$20)</f>
        <v>0</v>
      </c>
      <c r="AM342" s="27">
        <v>1</v>
      </c>
      <c r="AN342" s="27">
        <v>1</v>
      </c>
      <c r="AO342" s="124">
        <f t="shared" si="244"/>
        <v>1</v>
      </c>
      <c r="AP342" s="27">
        <v>1</v>
      </c>
      <c r="AQ342" s="21">
        <v>12124001</v>
      </c>
      <c r="AR342" s="21" t="s">
        <v>1715</v>
      </c>
      <c r="AS342" s="68"/>
      <c r="AT342" s="68"/>
      <c r="AU342" s="68"/>
    </row>
    <row r="343" spans="1:47" x14ac:dyDescent="0.3">
      <c r="A343" s="19"/>
      <c r="B343" s="109">
        <v>12124002</v>
      </c>
      <c r="C343" s="99" t="str">
        <f t="shared" ref="C343:C344" si="265">IF(K343&gt;0,MID(K343,5, 1), 0)</f>
        <v>2</v>
      </c>
      <c r="D343" s="121">
        <f>COUNTIFS($F$33:F343,F343, $G$33:G343,G343, $C$33:C343,C343, $L$33:L343,L343)</f>
        <v>2</v>
      </c>
      <c r="E343" s="20">
        <v>1</v>
      </c>
      <c r="F343" s="20">
        <v>4</v>
      </c>
      <c r="G343" s="20">
        <v>1</v>
      </c>
      <c r="H343" s="103" t="s">
        <v>963</v>
      </c>
      <c r="I343" s="20" t="s">
        <v>2144</v>
      </c>
      <c r="J343" s="104" t="str">
        <f t="shared" si="231"/>
        <v>Item_Name_12124002</v>
      </c>
      <c r="K343" s="20">
        <v>10102001</v>
      </c>
      <c r="L343" s="107">
        <f t="shared" si="236"/>
        <v>2</v>
      </c>
      <c r="M343" s="105">
        <f>IF(D343=0, 0, _xlfn.XLOOKUP($F343,'#무게관련'!$B:$B,'#무게관련'!$C:$C)*_xlfn.XLOOKUP($L343,'#무게관련'!$F:$F,'#무게관련'!$G:$G)*100)</f>
        <v>6000</v>
      </c>
      <c r="N343" s="20">
        <v>20700</v>
      </c>
      <c r="O343" s="20">
        <v>2</v>
      </c>
      <c r="P343" s="20">
        <v>15</v>
      </c>
      <c r="Q343" s="20">
        <v>1</v>
      </c>
      <c r="R343" s="20">
        <v>100</v>
      </c>
      <c r="S343" s="20">
        <v>1</v>
      </c>
      <c r="T343" s="20" t="s">
        <v>1870</v>
      </c>
      <c r="U343" s="104" t="str">
        <f t="shared" ref="U343:U344" si="266">"item_bg_grade_0"&amp;L343</f>
        <v>item_bg_grade_02</v>
      </c>
      <c r="V343" s="20" t="s">
        <v>324</v>
      </c>
      <c r="W343" s="20" t="s">
        <v>331</v>
      </c>
      <c r="X343" s="104">
        <v>0</v>
      </c>
      <c r="Y343" s="104">
        <v>0</v>
      </c>
      <c r="Z343" s="104">
        <v>0</v>
      </c>
      <c r="AA343" s="104">
        <v>0</v>
      </c>
      <c r="AB343" s="104">
        <v>0</v>
      </c>
      <c r="AC343" s="104">
        <v>0</v>
      </c>
      <c r="AD343" s="142">
        <v>0</v>
      </c>
      <c r="AE343" s="112">
        <f t="shared" si="238"/>
        <v>20</v>
      </c>
      <c r="AF343" s="70">
        <v>2204020</v>
      </c>
      <c r="AG343" s="105" cm="1">
        <f t="array" ref="AG343">_xlfn.SWITCH(L343,3,1,
           4,1,
           5,1,
           6,1,0)</f>
        <v>0</v>
      </c>
      <c r="AH343" s="146">
        <f t="shared" si="262"/>
        <v>80101201</v>
      </c>
      <c r="AI343" s="90">
        <v>6000</v>
      </c>
      <c r="AJ343" s="90">
        <v>3001</v>
      </c>
      <c r="AK343" s="27">
        <v>2004</v>
      </c>
      <c r="AL343" s="123">
        <f>_xlfn.XLOOKUP(H343,'#각종 참고'!$B$11:$B$20,'#각종 참고'!$D$11:$D$20)</f>
        <v>0</v>
      </c>
      <c r="AM343" s="27">
        <v>1</v>
      </c>
      <c r="AN343" s="27">
        <v>1</v>
      </c>
      <c r="AO343" s="124">
        <f t="shared" si="244"/>
        <v>1</v>
      </c>
      <c r="AP343" s="27">
        <v>1</v>
      </c>
      <c r="AQ343" s="21">
        <v>12124011</v>
      </c>
      <c r="AR343" s="21" t="s">
        <v>2451</v>
      </c>
      <c r="AS343" s="68"/>
      <c r="AT343" s="68"/>
      <c r="AU343" s="68"/>
    </row>
    <row r="344" spans="1:47" x14ac:dyDescent="0.3">
      <c r="A344" s="19"/>
      <c r="B344" s="109">
        <v>12124003</v>
      </c>
      <c r="C344" s="99" t="str">
        <f t="shared" si="265"/>
        <v>2</v>
      </c>
      <c r="D344" s="121">
        <f>COUNTIFS($F$33:F344,F344, $G$33:G344,G344, $C$33:C344,C344, $L$33:L344,L344)</f>
        <v>3</v>
      </c>
      <c r="E344" s="20">
        <v>1</v>
      </c>
      <c r="F344" s="20">
        <v>4</v>
      </c>
      <c r="G344" s="20">
        <v>1</v>
      </c>
      <c r="H344" s="103" t="s">
        <v>963</v>
      </c>
      <c r="I344" s="20" t="s">
        <v>1984</v>
      </c>
      <c r="J344" s="104" t="str">
        <f t="shared" si="231"/>
        <v>Item_Name_12124003</v>
      </c>
      <c r="K344" s="20">
        <v>10102001</v>
      </c>
      <c r="L344" s="107">
        <f t="shared" si="236"/>
        <v>2</v>
      </c>
      <c r="M344" s="105">
        <f>IF(D344=0, 0, _xlfn.XLOOKUP($F344,'#무게관련'!$B:$B,'#무게관련'!$C:$C)*_xlfn.XLOOKUP($L344,'#무게관련'!$F:$F,'#무게관련'!$G:$G)*100)</f>
        <v>6000</v>
      </c>
      <c r="N344" s="20">
        <v>20700</v>
      </c>
      <c r="O344" s="20">
        <v>2</v>
      </c>
      <c r="P344" s="20">
        <v>15</v>
      </c>
      <c r="Q344" s="20">
        <v>1</v>
      </c>
      <c r="R344" s="20">
        <v>100</v>
      </c>
      <c r="S344" s="20">
        <v>1</v>
      </c>
      <c r="T344" s="20" t="s">
        <v>1870</v>
      </c>
      <c r="U344" s="104" t="str">
        <f t="shared" si="266"/>
        <v>item_bg_grade_02</v>
      </c>
      <c r="V344" s="20" t="s">
        <v>324</v>
      </c>
      <c r="W344" s="20" t="s">
        <v>331</v>
      </c>
      <c r="X344" s="104">
        <v>0</v>
      </c>
      <c r="Y344" s="104">
        <v>0</v>
      </c>
      <c r="Z344" s="104">
        <v>0</v>
      </c>
      <c r="AA344" s="104">
        <v>0</v>
      </c>
      <c r="AB344" s="104">
        <v>0</v>
      </c>
      <c r="AC344" s="104">
        <v>0</v>
      </c>
      <c r="AD344" s="142">
        <v>0</v>
      </c>
      <c r="AE344" s="112">
        <f t="shared" si="238"/>
        <v>20</v>
      </c>
      <c r="AF344" s="70">
        <v>2204030</v>
      </c>
      <c r="AG344" s="105" cm="1">
        <f t="array" ref="AG344">_xlfn.SWITCH(L344,3,1,
           4,1,
           5,1,
           6,1,0)</f>
        <v>0</v>
      </c>
      <c r="AH344" s="146">
        <f t="shared" si="262"/>
        <v>80101201</v>
      </c>
      <c r="AI344" s="90">
        <v>6000</v>
      </c>
      <c r="AJ344" s="90">
        <v>3001</v>
      </c>
      <c r="AK344" s="27">
        <v>2004</v>
      </c>
      <c r="AL344" s="123">
        <f>_xlfn.XLOOKUP(H344,'#각종 참고'!$B$11:$B$20,'#각종 참고'!$D$11:$D$20)</f>
        <v>0</v>
      </c>
      <c r="AM344" s="27">
        <v>1</v>
      </c>
      <c r="AN344" s="27">
        <v>1</v>
      </c>
      <c r="AO344" s="124">
        <f t="shared" si="244"/>
        <v>1</v>
      </c>
      <c r="AP344" s="27">
        <v>1</v>
      </c>
      <c r="AQ344" s="21">
        <v>12124021</v>
      </c>
      <c r="AR344" s="21" t="s">
        <v>2452</v>
      </c>
      <c r="AS344" s="68"/>
      <c r="AT344" s="68"/>
      <c r="AU344" s="68"/>
    </row>
    <row r="345" spans="1:47" x14ac:dyDescent="0.3">
      <c r="A345" s="19"/>
      <c r="B345" s="109">
        <v>12134001</v>
      </c>
      <c r="C345" s="99" t="str">
        <f t="shared" ref="C345:C600" si="267">IF(K345&gt;0,MID(K345,5, 1), 0)</f>
        <v>2</v>
      </c>
      <c r="D345" s="121">
        <f>COUNTIFS($F$33:F345,F345, $G$33:G345,G345, $C$33:C345,C345, $L$33:L345,L345)</f>
        <v>1</v>
      </c>
      <c r="E345" s="20">
        <v>1</v>
      </c>
      <c r="F345" s="20">
        <v>4</v>
      </c>
      <c r="G345" s="20">
        <v>1</v>
      </c>
      <c r="H345" s="103" t="s">
        <v>963</v>
      </c>
      <c r="I345" s="20" t="s">
        <v>1559</v>
      </c>
      <c r="J345" s="104" t="str">
        <f t="shared" si="231"/>
        <v>Item_Name_12134001</v>
      </c>
      <c r="K345" s="20">
        <v>10102001</v>
      </c>
      <c r="L345" s="107">
        <f t="shared" si="236"/>
        <v>3</v>
      </c>
      <c r="M345" s="105">
        <f>IF(D345=0, 0, _xlfn.XLOOKUP($F345,'#무게관련'!$B:$B,'#무게관련'!$C:$C)*_xlfn.XLOOKUP($L345,'#무게관련'!$F:$F,'#무게관련'!$G:$G)*100)</f>
        <v>6000</v>
      </c>
      <c r="N345" s="20">
        <v>20700</v>
      </c>
      <c r="O345" s="20">
        <v>2</v>
      </c>
      <c r="P345" s="20">
        <v>15</v>
      </c>
      <c r="Q345" s="20">
        <v>1</v>
      </c>
      <c r="R345" s="20">
        <v>100</v>
      </c>
      <c r="S345" s="20">
        <v>1</v>
      </c>
      <c r="T345" s="20" t="s">
        <v>1871</v>
      </c>
      <c r="U345" s="104" t="str">
        <f t="shared" si="224"/>
        <v>item_bg_grade_03</v>
      </c>
      <c r="V345" s="20" t="s">
        <v>324</v>
      </c>
      <c r="W345" s="20" t="s">
        <v>331</v>
      </c>
      <c r="X345" s="104">
        <v>0</v>
      </c>
      <c r="Y345" s="104">
        <v>0</v>
      </c>
      <c r="Z345" s="104">
        <v>0</v>
      </c>
      <c r="AA345" s="104">
        <v>0</v>
      </c>
      <c r="AB345" s="104">
        <v>0</v>
      </c>
      <c r="AC345" s="104">
        <v>0</v>
      </c>
      <c r="AD345" s="142">
        <v>0</v>
      </c>
      <c r="AE345" s="112">
        <f t="shared" si="238"/>
        <v>30</v>
      </c>
      <c r="AF345" s="70">
        <v>2304010</v>
      </c>
      <c r="AG345" s="105" cm="1">
        <f t="array" ref="AG345">_xlfn.SWITCH(L345,3,1,
           4,1,
           5,1,
           6,1,0)</f>
        <v>1</v>
      </c>
      <c r="AH345" s="146">
        <f t="shared" si="262"/>
        <v>80101301</v>
      </c>
      <c r="AI345" s="90">
        <v>6001</v>
      </c>
      <c r="AJ345" s="90">
        <v>3003</v>
      </c>
      <c r="AK345" s="27">
        <v>3004</v>
      </c>
      <c r="AL345" s="123">
        <f>_xlfn.XLOOKUP(H345,'#각종 참고'!$B$11:$B$20,'#각종 참고'!$D$11:$D$20)</f>
        <v>0</v>
      </c>
      <c r="AM345" s="27">
        <v>1</v>
      </c>
      <c r="AN345" s="27">
        <v>1</v>
      </c>
      <c r="AO345" s="124">
        <f t="shared" si="244"/>
        <v>1</v>
      </c>
      <c r="AP345" s="27">
        <v>1</v>
      </c>
      <c r="AQ345" s="21">
        <v>12134001</v>
      </c>
      <c r="AR345" s="21" t="s">
        <v>1559</v>
      </c>
      <c r="AS345" s="68"/>
      <c r="AT345" s="68"/>
      <c r="AU345" s="68"/>
    </row>
    <row r="346" spans="1:47" x14ac:dyDescent="0.3">
      <c r="A346" s="19"/>
      <c r="B346" s="109">
        <v>12134002</v>
      </c>
      <c r="C346" s="99" t="str">
        <f t="shared" ref="C346:C347" si="268">IF(K346&gt;0,MID(K346,5, 1), 0)</f>
        <v>2</v>
      </c>
      <c r="D346" s="121">
        <f>COUNTIFS($F$33:F346,F346, $G$33:G346,G346, $C$33:C346,C346, $L$33:L346,L346)</f>
        <v>2</v>
      </c>
      <c r="E346" s="20">
        <v>1</v>
      </c>
      <c r="F346" s="20">
        <v>4</v>
      </c>
      <c r="G346" s="20">
        <v>1</v>
      </c>
      <c r="H346" s="103" t="s">
        <v>963</v>
      </c>
      <c r="I346" s="20" t="s">
        <v>1716</v>
      </c>
      <c r="J346" s="104" t="str">
        <f t="shared" si="231"/>
        <v>Item_Name_12134002</v>
      </c>
      <c r="K346" s="20">
        <v>10102001</v>
      </c>
      <c r="L346" s="107">
        <f t="shared" si="236"/>
        <v>3</v>
      </c>
      <c r="M346" s="105">
        <f>IF(D346=0, 0, _xlfn.XLOOKUP($F346,'#무게관련'!$B:$B,'#무게관련'!$C:$C)*_xlfn.XLOOKUP($L346,'#무게관련'!$F:$F,'#무게관련'!$G:$G)*100)</f>
        <v>6000</v>
      </c>
      <c r="N346" s="20">
        <v>20700</v>
      </c>
      <c r="O346" s="20">
        <v>2</v>
      </c>
      <c r="P346" s="20">
        <v>15</v>
      </c>
      <c r="Q346" s="20">
        <v>1</v>
      </c>
      <c r="R346" s="20">
        <v>100</v>
      </c>
      <c r="S346" s="20">
        <v>1</v>
      </c>
      <c r="T346" s="20" t="s">
        <v>1871</v>
      </c>
      <c r="U346" s="104" t="str">
        <f t="shared" ref="U346:U347" si="269">"item_bg_grade_0"&amp;L346</f>
        <v>item_bg_grade_03</v>
      </c>
      <c r="V346" s="20" t="s">
        <v>324</v>
      </c>
      <c r="W346" s="20" t="s">
        <v>331</v>
      </c>
      <c r="X346" s="104">
        <v>0</v>
      </c>
      <c r="Y346" s="104">
        <v>0</v>
      </c>
      <c r="Z346" s="104">
        <v>0</v>
      </c>
      <c r="AA346" s="104">
        <v>0</v>
      </c>
      <c r="AB346" s="104">
        <v>0</v>
      </c>
      <c r="AC346" s="104">
        <v>0</v>
      </c>
      <c r="AD346" s="142">
        <v>0</v>
      </c>
      <c r="AE346" s="112">
        <f t="shared" si="238"/>
        <v>30</v>
      </c>
      <c r="AF346" s="70">
        <v>2304020</v>
      </c>
      <c r="AG346" s="105" cm="1">
        <f t="array" ref="AG346">_xlfn.SWITCH(L346,3,1,
           4,1,
           5,1,
           6,1,0)</f>
        <v>1</v>
      </c>
      <c r="AH346" s="146">
        <f t="shared" si="262"/>
        <v>80101301</v>
      </c>
      <c r="AI346" s="90">
        <v>6001</v>
      </c>
      <c r="AJ346" s="90">
        <v>3003</v>
      </c>
      <c r="AK346" s="27">
        <v>3004</v>
      </c>
      <c r="AL346" s="123">
        <f>_xlfn.XLOOKUP(H346,'#각종 참고'!$B$11:$B$20,'#각종 참고'!$D$11:$D$20)</f>
        <v>0</v>
      </c>
      <c r="AM346" s="27">
        <v>1</v>
      </c>
      <c r="AN346" s="27">
        <v>1</v>
      </c>
      <c r="AO346" s="124">
        <f t="shared" si="244"/>
        <v>1</v>
      </c>
      <c r="AP346" s="27">
        <v>1</v>
      </c>
      <c r="AQ346" s="21">
        <v>12134011</v>
      </c>
      <c r="AR346" s="21" t="s">
        <v>2453</v>
      </c>
      <c r="AS346" s="68"/>
      <c r="AT346" s="68"/>
      <c r="AU346" s="68"/>
    </row>
    <row r="347" spans="1:47" x14ac:dyDescent="0.3">
      <c r="A347" s="19"/>
      <c r="B347" s="109">
        <v>12134003</v>
      </c>
      <c r="C347" s="99" t="str">
        <f t="shared" si="268"/>
        <v>2</v>
      </c>
      <c r="D347" s="121">
        <f>COUNTIFS($F$33:F347,F347, $G$33:G347,G347, $C$33:C347,C347, $L$33:L347,L347)</f>
        <v>3</v>
      </c>
      <c r="E347" s="20">
        <v>1</v>
      </c>
      <c r="F347" s="20">
        <v>4</v>
      </c>
      <c r="G347" s="20">
        <v>1</v>
      </c>
      <c r="H347" s="103" t="s">
        <v>963</v>
      </c>
      <c r="I347" s="20" t="s">
        <v>2145</v>
      </c>
      <c r="J347" s="104" t="str">
        <f t="shared" si="231"/>
        <v>Item_Name_12134003</v>
      </c>
      <c r="K347" s="20">
        <v>10102001</v>
      </c>
      <c r="L347" s="107">
        <f t="shared" si="236"/>
        <v>3</v>
      </c>
      <c r="M347" s="105">
        <f>IF(D347=0, 0, _xlfn.XLOOKUP($F347,'#무게관련'!$B:$B,'#무게관련'!$C:$C)*_xlfn.XLOOKUP($L347,'#무게관련'!$F:$F,'#무게관련'!$G:$G)*100)</f>
        <v>6000</v>
      </c>
      <c r="N347" s="20">
        <v>20700</v>
      </c>
      <c r="O347" s="20">
        <v>2</v>
      </c>
      <c r="P347" s="20">
        <v>15</v>
      </c>
      <c r="Q347" s="20">
        <v>1</v>
      </c>
      <c r="R347" s="20">
        <v>100</v>
      </c>
      <c r="S347" s="20">
        <v>1</v>
      </c>
      <c r="T347" s="20" t="s">
        <v>1871</v>
      </c>
      <c r="U347" s="104" t="str">
        <f t="shared" si="269"/>
        <v>item_bg_grade_03</v>
      </c>
      <c r="V347" s="20" t="s">
        <v>324</v>
      </c>
      <c r="W347" s="20" t="s">
        <v>331</v>
      </c>
      <c r="X347" s="104">
        <v>0</v>
      </c>
      <c r="Y347" s="104">
        <v>0</v>
      </c>
      <c r="Z347" s="104">
        <v>0</v>
      </c>
      <c r="AA347" s="104">
        <v>0</v>
      </c>
      <c r="AB347" s="104">
        <v>0</v>
      </c>
      <c r="AC347" s="104">
        <v>0</v>
      </c>
      <c r="AD347" s="142">
        <v>0</v>
      </c>
      <c r="AE347" s="112">
        <f t="shared" si="238"/>
        <v>30</v>
      </c>
      <c r="AF347" s="70">
        <v>2304030</v>
      </c>
      <c r="AG347" s="105" cm="1">
        <f t="array" ref="AG347">_xlfn.SWITCH(L347,3,1,
           4,1,
           5,1,
           6,1,0)</f>
        <v>1</v>
      </c>
      <c r="AH347" s="146">
        <f t="shared" si="262"/>
        <v>80101301</v>
      </c>
      <c r="AI347" s="90">
        <v>6001</v>
      </c>
      <c r="AJ347" s="90">
        <v>3003</v>
      </c>
      <c r="AK347" s="27">
        <v>3004</v>
      </c>
      <c r="AL347" s="123">
        <f>_xlfn.XLOOKUP(H347,'#각종 참고'!$B$11:$B$20,'#각종 참고'!$D$11:$D$20)</f>
        <v>0</v>
      </c>
      <c r="AM347" s="27">
        <v>1</v>
      </c>
      <c r="AN347" s="27">
        <v>1</v>
      </c>
      <c r="AO347" s="124">
        <f t="shared" si="244"/>
        <v>1</v>
      </c>
      <c r="AP347" s="27">
        <v>1</v>
      </c>
      <c r="AQ347" s="21">
        <v>12134021</v>
      </c>
      <c r="AR347" s="21" t="s">
        <v>2454</v>
      </c>
      <c r="AS347" s="68"/>
      <c r="AT347" s="68"/>
      <c r="AU347" s="68"/>
    </row>
    <row r="348" spans="1:47" x14ac:dyDescent="0.3">
      <c r="A348" s="19"/>
      <c r="B348" s="109">
        <v>12144001</v>
      </c>
      <c r="C348" s="99" t="str">
        <f t="shared" si="267"/>
        <v>2</v>
      </c>
      <c r="D348" s="121">
        <f>COUNTIFS($F$33:F348,F348, $G$33:G348,G348, $C$33:C348,C348, $L$33:L348,L348)</f>
        <v>1</v>
      </c>
      <c r="E348" s="20">
        <v>1</v>
      </c>
      <c r="F348" s="20">
        <v>4</v>
      </c>
      <c r="G348" s="20">
        <v>1</v>
      </c>
      <c r="H348" s="103" t="s">
        <v>963</v>
      </c>
      <c r="I348" s="20" t="s">
        <v>1560</v>
      </c>
      <c r="J348" s="104" t="str">
        <f t="shared" si="231"/>
        <v>Item_Name_12144001</v>
      </c>
      <c r="K348" s="20">
        <v>10102001</v>
      </c>
      <c r="L348" s="107">
        <f t="shared" si="236"/>
        <v>4</v>
      </c>
      <c r="M348" s="105">
        <f>IF(D348=0, 0, _xlfn.XLOOKUP($F348,'#무게관련'!$B:$B,'#무게관련'!$C:$C)*_xlfn.XLOOKUP($L348,'#무게관련'!$F:$F,'#무게관련'!$G:$G)*100)</f>
        <v>6000</v>
      </c>
      <c r="N348" s="20">
        <v>20700</v>
      </c>
      <c r="O348" s="20">
        <v>2</v>
      </c>
      <c r="P348" s="20">
        <v>15</v>
      </c>
      <c r="Q348" s="20">
        <v>1</v>
      </c>
      <c r="R348" s="20">
        <v>100</v>
      </c>
      <c r="S348" s="20">
        <v>1</v>
      </c>
      <c r="T348" s="20" t="s">
        <v>1872</v>
      </c>
      <c r="U348" s="104" t="str">
        <f t="shared" si="224"/>
        <v>item_bg_grade_04</v>
      </c>
      <c r="V348" s="20" t="s">
        <v>324</v>
      </c>
      <c r="W348" s="20" t="s">
        <v>331</v>
      </c>
      <c r="X348" s="104">
        <v>0</v>
      </c>
      <c r="Y348" s="104">
        <v>0</v>
      </c>
      <c r="Z348" s="104">
        <v>0</v>
      </c>
      <c r="AA348" s="104">
        <v>0</v>
      </c>
      <c r="AB348" s="104">
        <v>0</v>
      </c>
      <c r="AC348" s="104">
        <v>0</v>
      </c>
      <c r="AD348" s="142">
        <v>0</v>
      </c>
      <c r="AE348" s="112">
        <f t="shared" si="238"/>
        <v>40</v>
      </c>
      <c r="AF348" s="70">
        <v>2404010</v>
      </c>
      <c r="AG348" s="105" cm="1">
        <f t="array" ref="AG348">_xlfn.SWITCH(L348,3,1,
           4,1,
           5,1,
           6,1,0)</f>
        <v>1</v>
      </c>
      <c r="AH348" s="146">
        <f t="shared" si="262"/>
        <v>80101401</v>
      </c>
      <c r="AI348" s="90">
        <v>6002</v>
      </c>
      <c r="AJ348" s="90">
        <v>3005</v>
      </c>
      <c r="AK348" s="27">
        <v>4004</v>
      </c>
      <c r="AL348" s="123">
        <f>_xlfn.XLOOKUP(H348,'#각종 참고'!$B$11:$B$20,'#각종 참고'!$D$11:$D$20)</f>
        <v>0</v>
      </c>
      <c r="AM348" s="27">
        <v>1</v>
      </c>
      <c r="AN348" s="27">
        <v>1</v>
      </c>
      <c r="AO348" s="124">
        <f t="shared" si="244"/>
        <v>1</v>
      </c>
      <c r="AP348" s="27">
        <v>1</v>
      </c>
      <c r="AQ348" s="21">
        <v>12144001</v>
      </c>
      <c r="AR348" s="21" t="s">
        <v>1560</v>
      </c>
      <c r="AS348" s="68"/>
      <c r="AT348" s="68"/>
      <c r="AU348" s="68"/>
    </row>
    <row r="349" spans="1:47" x14ac:dyDescent="0.3">
      <c r="A349" s="19"/>
      <c r="B349" s="109">
        <v>12144002</v>
      </c>
      <c r="C349" s="99" t="str">
        <f t="shared" ref="C349:C350" si="270">IF(K349&gt;0,MID(K349,5, 1), 0)</f>
        <v>2</v>
      </c>
      <c r="D349" s="121">
        <f>COUNTIFS($F$33:F349,F349, $G$33:G349,G349, $C$33:C349,C349, $L$33:L349,L349)</f>
        <v>2</v>
      </c>
      <c r="E349" s="20">
        <v>1</v>
      </c>
      <c r="F349" s="20">
        <v>4</v>
      </c>
      <c r="G349" s="20">
        <v>1</v>
      </c>
      <c r="H349" s="103" t="s">
        <v>963</v>
      </c>
      <c r="I349" s="20" t="s">
        <v>1717</v>
      </c>
      <c r="J349" s="104" t="str">
        <f t="shared" si="231"/>
        <v>Item_Name_12144002</v>
      </c>
      <c r="K349" s="20">
        <v>10102001</v>
      </c>
      <c r="L349" s="107">
        <f t="shared" si="236"/>
        <v>4</v>
      </c>
      <c r="M349" s="105">
        <f>IF(D349=0, 0, _xlfn.XLOOKUP($F349,'#무게관련'!$B:$B,'#무게관련'!$C:$C)*_xlfn.XLOOKUP($L349,'#무게관련'!$F:$F,'#무게관련'!$G:$G)*100)</f>
        <v>6000</v>
      </c>
      <c r="N349" s="20">
        <v>20700</v>
      </c>
      <c r="O349" s="20">
        <v>2</v>
      </c>
      <c r="P349" s="20">
        <v>15</v>
      </c>
      <c r="Q349" s="20">
        <v>1</v>
      </c>
      <c r="R349" s="20">
        <v>100</v>
      </c>
      <c r="S349" s="20">
        <v>1</v>
      </c>
      <c r="T349" s="20" t="s">
        <v>1872</v>
      </c>
      <c r="U349" s="104" t="str">
        <f t="shared" ref="U349:U350" si="271">"item_bg_grade_0"&amp;L349</f>
        <v>item_bg_grade_04</v>
      </c>
      <c r="V349" s="20" t="s">
        <v>324</v>
      </c>
      <c r="W349" s="20" t="s">
        <v>331</v>
      </c>
      <c r="X349" s="104">
        <v>0</v>
      </c>
      <c r="Y349" s="104">
        <v>0</v>
      </c>
      <c r="Z349" s="104">
        <v>0</v>
      </c>
      <c r="AA349" s="104">
        <v>0</v>
      </c>
      <c r="AB349" s="104">
        <v>0</v>
      </c>
      <c r="AC349" s="104">
        <v>0</v>
      </c>
      <c r="AD349" s="142">
        <v>0</v>
      </c>
      <c r="AE349" s="112">
        <f t="shared" si="238"/>
        <v>40</v>
      </c>
      <c r="AF349" s="70">
        <v>2404020</v>
      </c>
      <c r="AG349" s="105" cm="1">
        <f t="array" ref="AG349">_xlfn.SWITCH(L349,3,1,
           4,1,
           5,1,
           6,1,0)</f>
        <v>1</v>
      </c>
      <c r="AH349" s="146">
        <f t="shared" si="262"/>
        <v>80101401</v>
      </c>
      <c r="AI349" s="90">
        <v>6002</v>
      </c>
      <c r="AJ349" s="90">
        <v>3005</v>
      </c>
      <c r="AK349" s="27">
        <v>4004</v>
      </c>
      <c r="AL349" s="123">
        <f>_xlfn.XLOOKUP(H349,'#각종 참고'!$B$11:$B$20,'#각종 참고'!$D$11:$D$20)</f>
        <v>0</v>
      </c>
      <c r="AM349" s="27">
        <v>1</v>
      </c>
      <c r="AN349" s="27">
        <v>1</v>
      </c>
      <c r="AO349" s="124">
        <f t="shared" si="244"/>
        <v>1</v>
      </c>
      <c r="AP349" s="27">
        <v>1</v>
      </c>
      <c r="AQ349" s="21">
        <v>12144011</v>
      </c>
      <c r="AR349" s="21" t="s">
        <v>2455</v>
      </c>
      <c r="AS349" s="68"/>
      <c r="AT349" s="68"/>
      <c r="AU349" s="68"/>
    </row>
    <row r="350" spans="1:47" x14ac:dyDescent="0.3">
      <c r="A350" s="19"/>
      <c r="B350" s="109">
        <v>12144003</v>
      </c>
      <c r="C350" s="99" t="str">
        <f t="shared" si="270"/>
        <v>2</v>
      </c>
      <c r="D350" s="121">
        <f>COUNTIFS($F$33:F350,F350, $G$33:G350,G350, $C$33:C350,C350, $L$33:L350,L350)</f>
        <v>3</v>
      </c>
      <c r="E350" s="20">
        <v>1</v>
      </c>
      <c r="F350" s="20">
        <v>4</v>
      </c>
      <c r="G350" s="20">
        <v>1</v>
      </c>
      <c r="H350" s="103" t="s">
        <v>963</v>
      </c>
      <c r="I350" s="20" t="s">
        <v>2000</v>
      </c>
      <c r="J350" s="104" t="str">
        <f t="shared" si="231"/>
        <v>Item_Name_12144003</v>
      </c>
      <c r="K350" s="20">
        <v>10102001</v>
      </c>
      <c r="L350" s="107">
        <f t="shared" si="236"/>
        <v>4</v>
      </c>
      <c r="M350" s="105">
        <f>IF(D350=0, 0, _xlfn.XLOOKUP($F350,'#무게관련'!$B:$B,'#무게관련'!$C:$C)*_xlfn.XLOOKUP($L350,'#무게관련'!$F:$F,'#무게관련'!$G:$G)*100)</f>
        <v>6000</v>
      </c>
      <c r="N350" s="20">
        <v>20700</v>
      </c>
      <c r="O350" s="20">
        <v>2</v>
      </c>
      <c r="P350" s="20">
        <v>15</v>
      </c>
      <c r="Q350" s="20">
        <v>1</v>
      </c>
      <c r="R350" s="20">
        <v>100</v>
      </c>
      <c r="S350" s="20">
        <v>1</v>
      </c>
      <c r="T350" s="20" t="s">
        <v>1872</v>
      </c>
      <c r="U350" s="104" t="str">
        <f t="shared" si="271"/>
        <v>item_bg_grade_04</v>
      </c>
      <c r="V350" s="20" t="s">
        <v>324</v>
      </c>
      <c r="W350" s="20" t="s">
        <v>331</v>
      </c>
      <c r="X350" s="104">
        <v>0</v>
      </c>
      <c r="Y350" s="104">
        <v>0</v>
      </c>
      <c r="Z350" s="104">
        <v>0</v>
      </c>
      <c r="AA350" s="104">
        <v>0</v>
      </c>
      <c r="AB350" s="104">
        <v>0</v>
      </c>
      <c r="AC350" s="104">
        <v>0</v>
      </c>
      <c r="AD350" s="142">
        <v>0</v>
      </c>
      <c r="AE350" s="112">
        <f t="shared" si="238"/>
        <v>40</v>
      </c>
      <c r="AF350" s="70">
        <v>2404030</v>
      </c>
      <c r="AG350" s="105" cm="1">
        <f t="array" ref="AG350">_xlfn.SWITCH(L350,3,1,
           4,1,
           5,1,
           6,1,0)</f>
        <v>1</v>
      </c>
      <c r="AH350" s="146">
        <f t="shared" si="262"/>
        <v>80101401</v>
      </c>
      <c r="AI350" s="90">
        <v>6002</v>
      </c>
      <c r="AJ350" s="90">
        <v>3005</v>
      </c>
      <c r="AK350" s="27">
        <v>4004</v>
      </c>
      <c r="AL350" s="123">
        <f>_xlfn.XLOOKUP(H350,'#각종 참고'!$B$11:$B$20,'#각종 참고'!$D$11:$D$20)</f>
        <v>0</v>
      </c>
      <c r="AM350" s="27">
        <v>1</v>
      </c>
      <c r="AN350" s="27">
        <v>1</v>
      </c>
      <c r="AO350" s="124">
        <f t="shared" si="244"/>
        <v>1</v>
      </c>
      <c r="AP350" s="27">
        <v>1</v>
      </c>
      <c r="AQ350" s="21">
        <v>12144021</v>
      </c>
      <c r="AR350" s="21" t="s">
        <v>2456</v>
      </c>
      <c r="AS350" s="68"/>
      <c r="AT350" s="68"/>
      <c r="AU350" s="68"/>
    </row>
    <row r="351" spans="1:47" x14ac:dyDescent="0.3">
      <c r="A351" s="19"/>
      <c r="B351" s="109">
        <v>12154001</v>
      </c>
      <c r="C351" s="99" t="str">
        <f t="shared" ref="C351:C354" si="272">IF(K351&gt;0,MID(K351,5, 1), 0)</f>
        <v>2</v>
      </c>
      <c r="D351" s="121">
        <f>COUNTIFS($F$33:F351,F351, $G$33:G351,G351, $C$33:C351,C351, $L$33:L351,L351)</f>
        <v>1</v>
      </c>
      <c r="E351" s="20">
        <v>1</v>
      </c>
      <c r="F351" s="20">
        <v>4</v>
      </c>
      <c r="G351" s="20">
        <v>1</v>
      </c>
      <c r="H351" s="103" t="s">
        <v>963</v>
      </c>
      <c r="I351" s="20" t="s">
        <v>1718</v>
      </c>
      <c r="J351" s="104" t="str">
        <f t="shared" si="231"/>
        <v>Item_Name_12154001</v>
      </c>
      <c r="K351" s="20">
        <v>10102001</v>
      </c>
      <c r="L351" s="107">
        <f t="shared" si="236"/>
        <v>5</v>
      </c>
      <c r="M351" s="105">
        <f>IF(D351=0, 0, _xlfn.XLOOKUP($F351,'#무게관련'!$B:$B,'#무게관련'!$C:$C)*_xlfn.XLOOKUP($L351,'#무게관련'!$F:$F,'#무게관련'!$G:$G)*100)</f>
        <v>6000</v>
      </c>
      <c r="N351" s="20">
        <v>20700</v>
      </c>
      <c r="O351" s="20">
        <v>2</v>
      </c>
      <c r="P351" s="20">
        <v>15</v>
      </c>
      <c r="Q351" s="20">
        <v>1</v>
      </c>
      <c r="R351" s="20">
        <v>100</v>
      </c>
      <c r="S351" s="20">
        <v>1</v>
      </c>
      <c r="T351" s="20" t="s">
        <v>1873</v>
      </c>
      <c r="U351" s="104" t="str">
        <f t="shared" ref="U351:U354" si="273">"item_bg_grade_0"&amp;L351</f>
        <v>item_bg_grade_05</v>
      </c>
      <c r="V351" s="20" t="s">
        <v>324</v>
      </c>
      <c r="W351" s="20" t="s">
        <v>331</v>
      </c>
      <c r="X351" s="104">
        <v>0</v>
      </c>
      <c r="Y351" s="104">
        <v>0</v>
      </c>
      <c r="Z351" s="104">
        <v>0</v>
      </c>
      <c r="AA351" s="104">
        <v>0</v>
      </c>
      <c r="AB351" s="104">
        <v>0</v>
      </c>
      <c r="AC351" s="104">
        <v>0</v>
      </c>
      <c r="AD351" s="142">
        <v>0</v>
      </c>
      <c r="AE351" s="112">
        <f t="shared" si="238"/>
        <v>50</v>
      </c>
      <c r="AF351" s="70">
        <v>2504010</v>
      </c>
      <c r="AG351" s="105" cm="1">
        <f t="array" ref="AG351">_xlfn.SWITCH(L351,3,1,
           4,1,
           5,1,
           6,1,0)</f>
        <v>1</v>
      </c>
      <c r="AH351" s="146">
        <f t="shared" si="262"/>
        <v>80101501</v>
      </c>
      <c r="AI351" s="90">
        <v>6003</v>
      </c>
      <c r="AJ351" s="90">
        <v>3007</v>
      </c>
      <c r="AK351" s="27">
        <v>5004</v>
      </c>
      <c r="AL351" s="123">
        <f>_xlfn.XLOOKUP(H351,'#각종 참고'!$B$11:$B$20,'#각종 참고'!$D$11:$D$20)</f>
        <v>0</v>
      </c>
      <c r="AM351" s="27">
        <v>1</v>
      </c>
      <c r="AN351" s="27">
        <v>1</v>
      </c>
      <c r="AO351" s="124">
        <f t="shared" si="244"/>
        <v>1</v>
      </c>
      <c r="AP351" s="27">
        <v>1</v>
      </c>
      <c r="AQ351" s="21">
        <v>12154001</v>
      </c>
      <c r="AR351" s="21" t="s">
        <v>1718</v>
      </c>
      <c r="AS351" s="68"/>
      <c r="AT351" s="68"/>
      <c r="AU351" s="68"/>
    </row>
    <row r="352" spans="1:47" x14ac:dyDescent="0.3">
      <c r="A352" s="19"/>
      <c r="B352" s="109">
        <v>12154002</v>
      </c>
      <c r="C352" s="99" t="str">
        <f t="shared" ref="C352:C353" si="274">IF(K352&gt;0,MID(K352,5, 1), 0)</f>
        <v>2</v>
      </c>
      <c r="D352" s="121">
        <f>COUNTIFS($F$33:F352,F352, $G$33:G352,G352, $C$33:C352,C352, $L$33:L352,L352)</f>
        <v>2</v>
      </c>
      <c r="E352" s="20">
        <v>1</v>
      </c>
      <c r="F352" s="20">
        <v>4</v>
      </c>
      <c r="G352" s="20">
        <v>1</v>
      </c>
      <c r="H352" s="103" t="s">
        <v>963</v>
      </c>
      <c r="I352" s="20" t="s">
        <v>2146</v>
      </c>
      <c r="J352" s="104" t="str">
        <f t="shared" si="231"/>
        <v>Item_Name_12154002</v>
      </c>
      <c r="K352" s="20">
        <v>10102001</v>
      </c>
      <c r="L352" s="107">
        <f t="shared" si="236"/>
        <v>5</v>
      </c>
      <c r="M352" s="105">
        <f>IF(D352=0, 0, _xlfn.XLOOKUP($F352,'#무게관련'!$B:$B,'#무게관련'!$C:$C)*_xlfn.XLOOKUP($L352,'#무게관련'!$F:$F,'#무게관련'!$G:$G)*100)</f>
        <v>6000</v>
      </c>
      <c r="N352" s="20">
        <v>20700</v>
      </c>
      <c r="O352" s="20">
        <v>2</v>
      </c>
      <c r="P352" s="20">
        <v>15</v>
      </c>
      <c r="Q352" s="20">
        <v>1</v>
      </c>
      <c r="R352" s="20">
        <v>100</v>
      </c>
      <c r="S352" s="20">
        <v>1</v>
      </c>
      <c r="T352" s="20" t="s">
        <v>1873</v>
      </c>
      <c r="U352" s="104" t="str">
        <f t="shared" ref="U352:U353" si="275">"item_bg_grade_0"&amp;L352</f>
        <v>item_bg_grade_05</v>
      </c>
      <c r="V352" s="20" t="s">
        <v>324</v>
      </c>
      <c r="W352" s="20" t="s">
        <v>331</v>
      </c>
      <c r="X352" s="104">
        <v>0</v>
      </c>
      <c r="Y352" s="104">
        <v>0</v>
      </c>
      <c r="Z352" s="104">
        <v>0</v>
      </c>
      <c r="AA352" s="104">
        <v>0</v>
      </c>
      <c r="AB352" s="104">
        <v>0</v>
      </c>
      <c r="AC352" s="104">
        <v>0</v>
      </c>
      <c r="AD352" s="142">
        <v>0</v>
      </c>
      <c r="AE352" s="112">
        <f t="shared" si="238"/>
        <v>50</v>
      </c>
      <c r="AF352" s="70">
        <v>2504020</v>
      </c>
      <c r="AG352" s="105" cm="1">
        <f t="array" ref="AG352">_xlfn.SWITCH(L352,3,1,
           4,1,
           5,1,
           6,1,0)</f>
        <v>1</v>
      </c>
      <c r="AH352" s="146">
        <f t="shared" si="262"/>
        <v>80101501</v>
      </c>
      <c r="AI352" s="90">
        <v>6003</v>
      </c>
      <c r="AJ352" s="90">
        <v>3007</v>
      </c>
      <c r="AK352" s="27">
        <v>5004</v>
      </c>
      <c r="AL352" s="123">
        <f>_xlfn.XLOOKUP(H352,'#각종 참고'!$B$11:$B$20,'#각종 참고'!$D$11:$D$20)</f>
        <v>0</v>
      </c>
      <c r="AM352" s="27">
        <v>1</v>
      </c>
      <c r="AN352" s="27">
        <v>1</v>
      </c>
      <c r="AO352" s="124">
        <f t="shared" si="244"/>
        <v>1</v>
      </c>
      <c r="AP352" s="27">
        <v>1</v>
      </c>
      <c r="AQ352" s="21">
        <v>12154011</v>
      </c>
      <c r="AR352" s="21" t="s">
        <v>2457</v>
      </c>
      <c r="AS352" s="68"/>
      <c r="AT352" s="68"/>
      <c r="AU352" s="68"/>
    </row>
    <row r="353" spans="1:47" x14ac:dyDescent="0.3">
      <c r="A353" s="19"/>
      <c r="B353" s="109">
        <v>12154003</v>
      </c>
      <c r="C353" s="99" t="str">
        <f t="shared" si="274"/>
        <v>2</v>
      </c>
      <c r="D353" s="121">
        <f>COUNTIFS($F$33:F353,F353, $G$33:G353,G353, $C$33:C353,C353, $L$33:L353,L353)</f>
        <v>3</v>
      </c>
      <c r="E353" s="20">
        <v>1</v>
      </c>
      <c r="F353" s="20">
        <v>4</v>
      </c>
      <c r="G353" s="20">
        <v>1</v>
      </c>
      <c r="H353" s="103" t="s">
        <v>963</v>
      </c>
      <c r="I353" s="20" t="s">
        <v>1719</v>
      </c>
      <c r="J353" s="104" t="str">
        <f t="shared" si="231"/>
        <v>Item_Name_12154003</v>
      </c>
      <c r="K353" s="20">
        <v>10102001</v>
      </c>
      <c r="L353" s="107">
        <f t="shared" si="236"/>
        <v>5</v>
      </c>
      <c r="M353" s="105">
        <f>IF(D353=0, 0, _xlfn.XLOOKUP($F353,'#무게관련'!$B:$B,'#무게관련'!$C:$C)*_xlfn.XLOOKUP($L353,'#무게관련'!$F:$F,'#무게관련'!$G:$G)*100)</f>
        <v>6000</v>
      </c>
      <c r="N353" s="20">
        <v>20700</v>
      </c>
      <c r="O353" s="20">
        <v>2</v>
      </c>
      <c r="P353" s="20">
        <v>15</v>
      </c>
      <c r="Q353" s="20">
        <v>1</v>
      </c>
      <c r="R353" s="20">
        <v>100</v>
      </c>
      <c r="S353" s="20">
        <v>1</v>
      </c>
      <c r="T353" s="20" t="s">
        <v>1873</v>
      </c>
      <c r="U353" s="104" t="str">
        <f t="shared" si="275"/>
        <v>item_bg_grade_05</v>
      </c>
      <c r="V353" s="20" t="s">
        <v>324</v>
      </c>
      <c r="W353" s="20" t="s">
        <v>331</v>
      </c>
      <c r="X353" s="104">
        <v>0</v>
      </c>
      <c r="Y353" s="104">
        <v>0</v>
      </c>
      <c r="Z353" s="104">
        <v>0</v>
      </c>
      <c r="AA353" s="104">
        <v>0</v>
      </c>
      <c r="AB353" s="104">
        <v>0</v>
      </c>
      <c r="AC353" s="104">
        <v>0</v>
      </c>
      <c r="AD353" s="142">
        <v>0</v>
      </c>
      <c r="AE353" s="112">
        <f t="shared" si="238"/>
        <v>50</v>
      </c>
      <c r="AF353" s="70">
        <v>2504030</v>
      </c>
      <c r="AG353" s="105" cm="1">
        <f t="array" ref="AG353">_xlfn.SWITCH(L353,3,1,
           4,1,
           5,1,
           6,1,0)</f>
        <v>1</v>
      </c>
      <c r="AH353" s="146">
        <f t="shared" si="262"/>
        <v>80101501</v>
      </c>
      <c r="AI353" s="90">
        <v>6003</v>
      </c>
      <c r="AJ353" s="90">
        <v>3007</v>
      </c>
      <c r="AK353" s="27">
        <v>5004</v>
      </c>
      <c r="AL353" s="123">
        <f>_xlfn.XLOOKUP(H353,'#각종 참고'!$B$11:$B$20,'#각종 참고'!$D$11:$D$20)</f>
        <v>0</v>
      </c>
      <c r="AM353" s="27">
        <v>1</v>
      </c>
      <c r="AN353" s="27">
        <v>1</v>
      </c>
      <c r="AO353" s="124">
        <f t="shared" si="244"/>
        <v>1</v>
      </c>
      <c r="AP353" s="27">
        <v>1</v>
      </c>
      <c r="AQ353" s="21">
        <v>12154021</v>
      </c>
      <c r="AR353" s="21" t="s">
        <v>2458</v>
      </c>
      <c r="AS353" s="68"/>
      <c r="AT353" s="68"/>
      <c r="AU353" s="68"/>
    </row>
    <row r="354" spans="1:47" x14ac:dyDescent="0.3">
      <c r="A354" s="19"/>
      <c r="B354" s="109">
        <v>12164001</v>
      </c>
      <c r="C354" s="99" t="str">
        <f t="shared" si="272"/>
        <v>2</v>
      </c>
      <c r="D354" s="121">
        <f>COUNTIFS($F$33:F354,F354, $G$33:G354,G354, $C$33:C354,C354, $L$33:L354,L354)</f>
        <v>1</v>
      </c>
      <c r="E354" s="20">
        <v>1</v>
      </c>
      <c r="F354" s="20">
        <v>4</v>
      </c>
      <c r="G354" s="20">
        <v>1</v>
      </c>
      <c r="H354" s="103" t="s">
        <v>963</v>
      </c>
      <c r="I354" s="20" t="s">
        <v>1720</v>
      </c>
      <c r="J354" s="104" t="str">
        <f t="shared" si="231"/>
        <v>Item_Name_12164001</v>
      </c>
      <c r="K354" s="20">
        <v>10102001</v>
      </c>
      <c r="L354" s="107">
        <f t="shared" si="236"/>
        <v>6</v>
      </c>
      <c r="M354" s="105">
        <f>IF(D354=0, 0, _xlfn.XLOOKUP($F354,'#무게관련'!$B:$B,'#무게관련'!$C:$C)*_xlfn.XLOOKUP($L354,'#무게관련'!$F:$F,'#무게관련'!$G:$G)*100)</f>
        <v>6000</v>
      </c>
      <c r="N354" s="20">
        <v>20700</v>
      </c>
      <c r="O354" s="20">
        <v>2</v>
      </c>
      <c r="P354" s="20">
        <v>15</v>
      </c>
      <c r="Q354" s="20">
        <v>1</v>
      </c>
      <c r="R354" s="20">
        <v>100</v>
      </c>
      <c r="S354" s="20">
        <v>1</v>
      </c>
      <c r="T354" s="109" t="s">
        <v>1873</v>
      </c>
      <c r="U354" s="104" t="str">
        <f t="shared" si="273"/>
        <v>item_bg_grade_06</v>
      </c>
      <c r="V354" s="20" t="s">
        <v>324</v>
      </c>
      <c r="W354" s="20" t="s">
        <v>331</v>
      </c>
      <c r="X354" s="104">
        <v>0</v>
      </c>
      <c r="Y354" s="104">
        <v>0</v>
      </c>
      <c r="Z354" s="104">
        <v>0</v>
      </c>
      <c r="AA354" s="104">
        <v>0</v>
      </c>
      <c r="AB354" s="104">
        <v>0</v>
      </c>
      <c r="AC354" s="104">
        <v>0</v>
      </c>
      <c r="AD354" s="142">
        <v>0</v>
      </c>
      <c r="AE354" s="112">
        <f t="shared" si="238"/>
        <v>70</v>
      </c>
      <c r="AF354" s="70">
        <v>2604010</v>
      </c>
      <c r="AG354" s="105" cm="1">
        <f t="array" ref="AG354">_xlfn.SWITCH(L354,3,1,
           4,1,
           5,1,
           6,1,0)</f>
        <v>1</v>
      </c>
      <c r="AH354" s="146">
        <f t="shared" si="262"/>
        <v>0</v>
      </c>
      <c r="AI354" s="90">
        <v>6004</v>
      </c>
      <c r="AJ354" s="90">
        <v>3009</v>
      </c>
      <c r="AK354" s="27">
        <v>6004</v>
      </c>
      <c r="AL354" s="123">
        <f>_xlfn.XLOOKUP(H354,'#각종 참고'!$B$11:$B$20,'#각종 참고'!$D$11:$D$20)</f>
        <v>0</v>
      </c>
      <c r="AM354" s="27">
        <v>1</v>
      </c>
      <c r="AN354" s="27">
        <v>1</v>
      </c>
      <c r="AO354" s="124">
        <f t="shared" si="244"/>
        <v>1</v>
      </c>
      <c r="AP354" s="27">
        <v>1</v>
      </c>
      <c r="AQ354" s="21">
        <v>12164001</v>
      </c>
      <c r="AR354" s="21" t="s">
        <v>1720</v>
      </c>
      <c r="AS354" s="68"/>
      <c r="AT354" s="68"/>
      <c r="AU354" s="68"/>
    </row>
    <row r="355" spans="1:47" x14ac:dyDescent="0.3">
      <c r="A355" s="19" t="s">
        <v>513</v>
      </c>
      <c r="B355" s="109">
        <v>12164002</v>
      </c>
      <c r="C355" s="99" t="str">
        <f t="shared" ref="C355:C356" si="276">IF(K355&gt;0,MID(K355,5, 1), 0)</f>
        <v>2</v>
      </c>
      <c r="D355" s="121">
        <f>COUNTIFS($F$33:F355,F355, $G$33:G355,G355, $C$33:C355,C355, $L$33:L355,L355)</f>
        <v>2</v>
      </c>
      <c r="E355" s="20">
        <v>1</v>
      </c>
      <c r="F355" s="20">
        <v>4</v>
      </c>
      <c r="G355" s="20">
        <v>1</v>
      </c>
      <c r="H355" s="103" t="s">
        <v>963</v>
      </c>
      <c r="I355" s="20" t="s">
        <v>2148</v>
      </c>
      <c r="J355" s="104" t="str">
        <f t="shared" si="231"/>
        <v>Item_Name_12164002</v>
      </c>
      <c r="K355" s="20">
        <v>10102001</v>
      </c>
      <c r="L355" s="107">
        <f t="shared" si="236"/>
        <v>6</v>
      </c>
      <c r="M355" s="105">
        <f>IF(D355=0, 0, _xlfn.XLOOKUP($F355,'#무게관련'!$B:$B,'#무게관련'!$C:$C)*_xlfn.XLOOKUP($L355,'#무게관련'!$F:$F,'#무게관련'!$G:$G)*100)</f>
        <v>6000</v>
      </c>
      <c r="N355" s="20">
        <v>20700</v>
      </c>
      <c r="O355" s="20">
        <v>2</v>
      </c>
      <c r="P355" s="20">
        <v>15</v>
      </c>
      <c r="Q355" s="20">
        <v>1</v>
      </c>
      <c r="R355" s="20">
        <v>100</v>
      </c>
      <c r="S355" s="20">
        <v>1</v>
      </c>
      <c r="T355" s="109" t="s">
        <v>1873</v>
      </c>
      <c r="U355" s="104" t="str">
        <f t="shared" ref="U355:U356" si="277">"item_bg_grade_0"&amp;L355</f>
        <v>item_bg_grade_06</v>
      </c>
      <c r="V355" s="20" t="s">
        <v>324</v>
      </c>
      <c r="W355" s="20" t="s">
        <v>331</v>
      </c>
      <c r="X355" s="104">
        <v>0</v>
      </c>
      <c r="Y355" s="104">
        <v>0</v>
      </c>
      <c r="Z355" s="104">
        <v>0</v>
      </c>
      <c r="AA355" s="104">
        <v>0</v>
      </c>
      <c r="AB355" s="104">
        <v>0</v>
      </c>
      <c r="AC355" s="104">
        <v>0</v>
      </c>
      <c r="AD355" s="142">
        <v>0</v>
      </c>
      <c r="AE355" s="112">
        <f t="shared" si="238"/>
        <v>70</v>
      </c>
      <c r="AF355" s="70">
        <v>2604010</v>
      </c>
      <c r="AG355" s="105" cm="1">
        <f t="array" ref="AG355">_xlfn.SWITCH(L355,3,1,
           4,1,
           5,1,
           6,1,0)</f>
        <v>1</v>
      </c>
      <c r="AH355" s="146">
        <f t="shared" si="262"/>
        <v>0</v>
      </c>
      <c r="AI355" s="90">
        <v>6004</v>
      </c>
      <c r="AJ355" s="90">
        <v>3009</v>
      </c>
      <c r="AK355" s="27">
        <v>6004</v>
      </c>
      <c r="AL355" s="123">
        <f>_xlfn.XLOOKUP(H355,'#각종 참고'!$B$11:$B$20,'#각종 참고'!$D$11:$D$20)</f>
        <v>0</v>
      </c>
      <c r="AM355" s="27">
        <v>1</v>
      </c>
      <c r="AN355" s="27">
        <v>1</v>
      </c>
      <c r="AO355" s="124">
        <f t="shared" ref="AO355:AO400" si="278">IF(AM355=1,AM355,AL355)</f>
        <v>1</v>
      </c>
      <c r="AP355" s="27">
        <v>1</v>
      </c>
      <c r="AQ355" s="21">
        <v>12164011</v>
      </c>
      <c r="AR355" s="21" t="s">
        <v>2459</v>
      </c>
      <c r="AS355" s="68"/>
      <c r="AT355" s="68"/>
      <c r="AU355" s="68"/>
    </row>
    <row r="356" spans="1:47" x14ac:dyDescent="0.3">
      <c r="A356" s="19" t="s">
        <v>513</v>
      </c>
      <c r="B356" s="109">
        <v>12164003</v>
      </c>
      <c r="C356" s="99" t="str">
        <f t="shared" si="276"/>
        <v>2</v>
      </c>
      <c r="D356" s="121">
        <f>COUNTIFS($F$33:F356,F356, $G$33:G356,G356, $C$33:C356,C356, $L$33:L356,L356)</f>
        <v>3</v>
      </c>
      <c r="E356" s="20">
        <v>1</v>
      </c>
      <c r="F356" s="20">
        <v>4</v>
      </c>
      <c r="G356" s="20">
        <v>1</v>
      </c>
      <c r="H356" s="103" t="s">
        <v>963</v>
      </c>
      <c r="I356" s="20" t="s">
        <v>2147</v>
      </c>
      <c r="J356" s="104" t="str">
        <f t="shared" si="231"/>
        <v>Item_Name_12164003</v>
      </c>
      <c r="K356" s="20">
        <v>10102001</v>
      </c>
      <c r="L356" s="107">
        <f t="shared" si="236"/>
        <v>6</v>
      </c>
      <c r="M356" s="105">
        <f>IF(D356=0, 0, _xlfn.XLOOKUP($F356,'#무게관련'!$B:$B,'#무게관련'!$C:$C)*_xlfn.XLOOKUP($L356,'#무게관련'!$F:$F,'#무게관련'!$G:$G)*100)</f>
        <v>6000</v>
      </c>
      <c r="N356" s="20">
        <v>20700</v>
      </c>
      <c r="O356" s="20">
        <v>2</v>
      </c>
      <c r="P356" s="20">
        <v>15</v>
      </c>
      <c r="Q356" s="20">
        <v>1</v>
      </c>
      <c r="R356" s="20">
        <v>100</v>
      </c>
      <c r="S356" s="20">
        <v>1</v>
      </c>
      <c r="T356" s="109" t="s">
        <v>1873</v>
      </c>
      <c r="U356" s="104" t="str">
        <f t="shared" si="277"/>
        <v>item_bg_grade_06</v>
      </c>
      <c r="V356" s="20" t="s">
        <v>324</v>
      </c>
      <c r="W356" s="20" t="s">
        <v>331</v>
      </c>
      <c r="X356" s="104">
        <v>0</v>
      </c>
      <c r="Y356" s="104">
        <v>0</v>
      </c>
      <c r="Z356" s="104">
        <v>0</v>
      </c>
      <c r="AA356" s="104">
        <v>0</v>
      </c>
      <c r="AB356" s="104">
        <v>0</v>
      </c>
      <c r="AC356" s="104">
        <v>0</v>
      </c>
      <c r="AD356" s="142">
        <v>0</v>
      </c>
      <c r="AE356" s="112">
        <f t="shared" si="238"/>
        <v>70</v>
      </c>
      <c r="AF356" s="70">
        <v>2604010</v>
      </c>
      <c r="AG356" s="105" cm="1">
        <f t="array" ref="AG356">_xlfn.SWITCH(L356,3,1,
           4,1,
           5,1,
           6,1,0)</f>
        <v>1</v>
      </c>
      <c r="AH356" s="146">
        <f t="shared" si="262"/>
        <v>0</v>
      </c>
      <c r="AI356" s="90">
        <v>6004</v>
      </c>
      <c r="AJ356" s="90">
        <v>3009</v>
      </c>
      <c r="AK356" s="27">
        <v>6004</v>
      </c>
      <c r="AL356" s="123">
        <f>_xlfn.XLOOKUP(H356,'#각종 참고'!$B$11:$B$20,'#각종 참고'!$D$11:$D$20)</f>
        <v>0</v>
      </c>
      <c r="AM356" s="27">
        <v>1</v>
      </c>
      <c r="AN356" s="27">
        <v>1</v>
      </c>
      <c r="AO356" s="124">
        <f t="shared" si="278"/>
        <v>1</v>
      </c>
      <c r="AP356" s="27">
        <v>1</v>
      </c>
      <c r="AQ356" s="21">
        <v>12164021</v>
      </c>
      <c r="AR356" s="21" t="s">
        <v>2460</v>
      </c>
      <c r="AS356" s="68"/>
      <c r="AT356" s="68"/>
      <c r="AU356" s="68"/>
    </row>
    <row r="357" spans="1:47" s="68" customFormat="1" x14ac:dyDescent="0.3">
      <c r="A357" s="65"/>
      <c r="B357" s="110">
        <v>13114001</v>
      </c>
      <c r="C357" s="99" t="str">
        <f t="shared" si="267"/>
        <v>3</v>
      </c>
      <c r="D357" s="120">
        <f>COUNTIFS($F$33:F357,F357, $G$33:G357,G357, $C$33:C357,C357, $L$33:L357,L357)</f>
        <v>1</v>
      </c>
      <c r="E357" s="20">
        <v>1</v>
      </c>
      <c r="F357" s="66">
        <v>4</v>
      </c>
      <c r="G357" s="66">
        <v>1</v>
      </c>
      <c r="H357" s="103" t="s">
        <v>963</v>
      </c>
      <c r="I357" s="66" t="s">
        <v>1721</v>
      </c>
      <c r="J357" s="104" t="str">
        <f t="shared" si="231"/>
        <v>Item_Name_13114001</v>
      </c>
      <c r="K357" s="66">
        <v>10103001</v>
      </c>
      <c r="L357" s="106">
        <f t="shared" si="236"/>
        <v>1</v>
      </c>
      <c r="M357" s="105">
        <f>IF(D357=0, 0, _xlfn.XLOOKUP($F357,'#무게관련'!$B:$B,'#무게관련'!$C:$C)*_xlfn.XLOOKUP($L357,'#무게관련'!$F:$F,'#무게관련'!$G:$G)*100)</f>
        <v>6000</v>
      </c>
      <c r="N357" s="20">
        <v>20700</v>
      </c>
      <c r="O357" s="20">
        <v>3</v>
      </c>
      <c r="P357" s="66">
        <v>15</v>
      </c>
      <c r="Q357" s="20">
        <v>1</v>
      </c>
      <c r="R357" s="66">
        <v>100</v>
      </c>
      <c r="S357" s="66">
        <v>1</v>
      </c>
      <c r="T357" s="66" t="s">
        <v>1869</v>
      </c>
      <c r="U357" s="104" t="str">
        <f t="shared" si="224"/>
        <v>item_bg_grade_01</v>
      </c>
      <c r="V357" s="66" t="s">
        <v>527</v>
      </c>
      <c r="W357" s="66" t="s">
        <v>331</v>
      </c>
      <c r="X357" s="104">
        <v>0</v>
      </c>
      <c r="Y357" s="104">
        <v>0</v>
      </c>
      <c r="Z357" s="104">
        <v>0</v>
      </c>
      <c r="AA357" s="104">
        <v>0</v>
      </c>
      <c r="AB357" s="104">
        <v>0</v>
      </c>
      <c r="AC357" s="104">
        <v>0</v>
      </c>
      <c r="AD357" s="142">
        <v>0</v>
      </c>
      <c r="AE357" s="111">
        <f t="shared" si="238"/>
        <v>10</v>
      </c>
      <c r="AF357" s="70">
        <v>3104010</v>
      </c>
      <c r="AG357" s="105" cm="1">
        <f t="array" ref="AG357">_xlfn.SWITCH(L357,3,1,
           4,1,
           5,1,
           6,1,0)</f>
        <v>0</v>
      </c>
      <c r="AH357" s="146">
        <f t="shared" si="262"/>
        <v>80101101</v>
      </c>
      <c r="AI357" s="90">
        <v>0</v>
      </c>
      <c r="AJ357" s="90">
        <v>0</v>
      </c>
      <c r="AK357" s="27">
        <v>0</v>
      </c>
      <c r="AL357" s="123">
        <f>_xlfn.XLOOKUP(H357,'#각종 참고'!$B$11:$B$20,'#각종 참고'!$D$11:$D$20)</f>
        <v>0</v>
      </c>
      <c r="AM357" s="27">
        <v>1</v>
      </c>
      <c r="AN357" s="27">
        <v>1</v>
      </c>
      <c r="AO357" s="124">
        <f t="shared" si="278"/>
        <v>1</v>
      </c>
      <c r="AP357" s="27">
        <v>1</v>
      </c>
      <c r="AQ357" s="21">
        <v>13114001</v>
      </c>
      <c r="AR357" s="68" t="s">
        <v>1721</v>
      </c>
    </row>
    <row r="358" spans="1:47" s="68" customFormat="1" x14ac:dyDescent="0.3">
      <c r="A358" s="65"/>
      <c r="B358" s="110">
        <v>13114002</v>
      </c>
      <c r="C358" s="99" t="str">
        <f t="shared" ref="C358:C359" si="279">IF(K358&gt;0,MID(K358,5, 1), 0)</f>
        <v>3</v>
      </c>
      <c r="D358" s="120">
        <f>COUNTIFS($F$33:F358,F358, $G$33:G358,G358, $C$33:C358,C358, $L$33:L358,L358)</f>
        <v>2</v>
      </c>
      <c r="E358" s="20">
        <v>1</v>
      </c>
      <c r="F358" s="66">
        <v>4</v>
      </c>
      <c r="G358" s="66">
        <v>1</v>
      </c>
      <c r="H358" s="103" t="s">
        <v>963</v>
      </c>
      <c r="I358" s="66" t="s">
        <v>2150</v>
      </c>
      <c r="J358" s="104" t="str">
        <f t="shared" si="231"/>
        <v>Item_Name_13114002</v>
      </c>
      <c r="K358" s="66">
        <v>10103001</v>
      </c>
      <c r="L358" s="106">
        <f t="shared" si="236"/>
        <v>1</v>
      </c>
      <c r="M358" s="105">
        <f>IF(D358=0, 0, _xlfn.XLOOKUP($F358,'#무게관련'!$B:$B,'#무게관련'!$C:$C)*_xlfn.XLOOKUP($L358,'#무게관련'!$F:$F,'#무게관련'!$G:$G)*100)</f>
        <v>6000</v>
      </c>
      <c r="N358" s="20">
        <v>20700</v>
      </c>
      <c r="O358" s="20">
        <v>3</v>
      </c>
      <c r="P358" s="66">
        <v>15</v>
      </c>
      <c r="Q358" s="20">
        <v>1</v>
      </c>
      <c r="R358" s="66">
        <v>100</v>
      </c>
      <c r="S358" s="66">
        <v>1</v>
      </c>
      <c r="T358" s="66" t="s">
        <v>1869</v>
      </c>
      <c r="U358" s="104" t="str">
        <f t="shared" ref="U358:U359" si="280">"item_bg_grade_0"&amp;L358</f>
        <v>item_bg_grade_01</v>
      </c>
      <c r="V358" s="66" t="s">
        <v>527</v>
      </c>
      <c r="W358" s="66" t="s">
        <v>331</v>
      </c>
      <c r="X358" s="104">
        <v>0</v>
      </c>
      <c r="Y358" s="104">
        <v>0</v>
      </c>
      <c r="Z358" s="104">
        <v>0</v>
      </c>
      <c r="AA358" s="104">
        <v>0</v>
      </c>
      <c r="AB358" s="104">
        <v>0</v>
      </c>
      <c r="AC358" s="104">
        <v>0</v>
      </c>
      <c r="AD358" s="142">
        <v>0</v>
      </c>
      <c r="AE358" s="111">
        <f t="shared" si="238"/>
        <v>10</v>
      </c>
      <c r="AF358" s="70">
        <v>3104020</v>
      </c>
      <c r="AG358" s="105" cm="1">
        <f t="array" ref="AG358">_xlfn.SWITCH(L358,3,1,
           4,1,
           5,1,
           6,1,0)</f>
        <v>0</v>
      </c>
      <c r="AH358" s="146">
        <f t="shared" si="262"/>
        <v>80101101</v>
      </c>
      <c r="AI358" s="90">
        <v>0</v>
      </c>
      <c r="AJ358" s="90">
        <v>0</v>
      </c>
      <c r="AK358" s="27">
        <v>0</v>
      </c>
      <c r="AL358" s="123">
        <f>_xlfn.XLOOKUP(H358,'#각종 참고'!$B$11:$B$20,'#각종 참고'!$D$11:$D$20)</f>
        <v>0</v>
      </c>
      <c r="AM358" s="27">
        <v>1</v>
      </c>
      <c r="AN358" s="27">
        <v>1</v>
      </c>
      <c r="AO358" s="124">
        <f t="shared" si="278"/>
        <v>1</v>
      </c>
      <c r="AP358" s="27">
        <v>1</v>
      </c>
      <c r="AQ358" s="21">
        <v>13114011</v>
      </c>
      <c r="AR358" s="68" t="s">
        <v>2461</v>
      </c>
    </row>
    <row r="359" spans="1:47" s="68" customFormat="1" x14ac:dyDescent="0.3">
      <c r="A359" s="65"/>
      <c r="B359" s="110">
        <v>13114003</v>
      </c>
      <c r="C359" s="99" t="str">
        <f t="shared" si="279"/>
        <v>3</v>
      </c>
      <c r="D359" s="120">
        <f>COUNTIFS($F$33:F359,F359, $G$33:G359,G359, $C$33:C359,C359, $L$33:L359,L359)</f>
        <v>3</v>
      </c>
      <c r="E359" s="20">
        <v>1</v>
      </c>
      <c r="F359" s="66">
        <v>4</v>
      </c>
      <c r="G359" s="66">
        <v>1</v>
      </c>
      <c r="H359" s="103" t="s">
        <v>963</v>
      </c>
      <c r="I359" s="66" t="s">
        <v>2149</v>
      </c>
      <c r="J359" s="104" t="str">
        <f t="shared" si="231"/>
        <v>Item_Name_13114003</v>
      </c>
      <c r="K359" s="66">
        <v>10103001</v>
      </c>
      <c r="L359" s="106">
        <f t="shared" si="236"/>
        <v>1</v>
      </c>
      <c r="M359" s="105">
        <f>IF(D359=0, 0, _xlfn.XLOOKUP($F359,'#무게관련'!$B:$B,'#무게관련'!$C:$C)*_xlfn.XLOOKUP($L359,'#무게관련'!$F:$F,'#무게관련'!$G:$G)*100)</f>
        <v>6000</v>
      </c>
      <c r="N359" s="20">
        <v>20700</v>
      </c>
      <c r="O359" s="20">
        <v>3</v>
      </c>
      <c r="P359" s="66">
        <v>15</v>
      </c>
      <c r="Q359" s="20">
        <v>1</v>
      </c>
      <c r="R359" s="66">
        <v>100</v>
      </c>
      <c r="S359" s="66">
        <v>1</v>
      </c>
      <c r="T359" s="66" t="s">
        <v>1869</v>
      </c>
      <c r="U359" s="104" t="str">
        <f t="shared" si="280"/>
        <v>item_bg_grade_01</v>
      </c>
      <c r="V359" s="66" t="s">
        <v>527</v>
      </c>
      <c r="W359" s="66" t="s">
        <v>331</v>
      </c>
      <c r="X359" s="104">
        <v>0</v>
      </c>
      <c r="Y359" s="104">
        <v>0</v>
      </c>
      <c r="Z359" s="104">
        <v>0</v>
      </c>
      <c r="AA359" s="104">
        <v>0</v>
      </c>
      <c r="AB359" s="104">
        <v>0</v>
      </c>
      <c r="AC359" s="104">
        <v>0</v>
      </c>
      <c r="AD359" s="142">
        <v>0</v>
      </c>
      <c r="AE359" s="111">
        <f t="shared" si="238"/>
        <v>10</v>
      </c>
      <c r="AF359" s="70">
        <v>3104030</v>
      </c>
      <c r="AG359" s="105" cm="1">
        <f t="array" ref="AG359">_xlfn.SWITCH(L359,3,1,
           4,1,
           5,1,
           6,1,0)</f>
        <v>0</v>
      </c>
      <c r="AH359" s="146">
        <f t="shared" si="262"/>
        <v>80101101</v>
      </c>
      <c r="AI359" s="90">
        <v>0</v>
      </c>
      <c r="AJ359" s="90">
        <v>0</v>
      </c>
      <c r="AK359" s="27">
        <v>0</v>
      </c>
      <c r="AL359" s="123">
        <f>_xlfn.XLOOKUP(H359,'#각종 참고'!$B$11:$B$20,'#각종 참고'!$D$11:$D$20)</f>
        <v>0</v>
      </c>
      <c r="AM359" s="27">
        <v>1</v>
      </c>
      <c r="AN359" s="27">
        <v>1</v>
      </c>
      <c r="AO359" s="124">
        <f t="shared" si="278"/>
        <v>1</v>
      </c>
      <c r="AP359" s="27">
        <v>1</v>
      </c>
      <c r="AQ359" s="21">
        <v>13114021</v>
      </c>
      <c r="AR359" s="68" t="s">
        <v>2462</v>
      </c>
    </row>
    <row r="360" spans="1:47" x14ac:dyDescent="0.3">
      <c r="A360" s="19"/>
      <c r="B360" s="109">
        <v>13124001</v>
      </c>
      <c r="C360" s="99" t="str">
        <f t="shared" si="267"/>
        <v>3</v>
      </c>
      <c r="D360" s="121">
        <f>COUNTIFS($F$33:F360,F360, $G$33:G360,G360, $C$33:C360,C360, $L$33:L360,L360)</f>
        <v>1</v>
      </c>
      <c r="E360" s="20">
        <v>1</v>
      </c>
      <c r="F360" s="20">
        <v>4</v>
      </c>
      <c r="G360" s="20">
        <v>1</v>
      </c>
      <c r="H360" s="103" t="s">
        <v>963</v>
      </c>
      <c r="I360" s="20" t="s">
        <v>1722</v>
      </c>
      <c r="J360" s="104" t="str">
        <f t="shared" si="231"/>
        <v>Item_Name_13124001</v>
      </c>
      <c r="K360" s="20">
        <v>10103001</v>
      </c>
      <c r="L360" s="108">
        <f t="shared" si="236"/>
        <v>2</v>
      </c>
      <c r="M360" s="105">
        <f>IF(D360=0, 0, _xlfn.XLOOKUP($F360,'#무게관련'!$B:$B,'#무게관련'!$C:$C)*_xlfn.XLOOKUP($L360,'#무게관련'!$F:$F,'#무게관련'!$G:$G)*100)</f>
        <v>6000</v>
      </c>
      <c r="N360" s="20">
        <v>20700</v>
      </c>
      <c r="O360" s="20">
        <v>3</v>
      </c>
      <c r="P360" s="20">
        <v>15</v>
      </c>
      <c r="Q360" s="20">
        <v>1</v>
      </c>
      <c r="R360" s="20">
        <v>100</v>
      </c>
      <c r="S360" s="20">
        <v>1</v>
      </c>
      <c r="T360" s="20" t="s">
        <v>1870</v>
      </c>
      <c r="U360" s="104" t="str">
        <f t="shared" si="224"/>
        <v>item_bg_grade_02</v>
      </c>
      <c r="V360" s="20" t="s">
        <v>527</v>
      </c>
      <c r="W360" s="20" t="s">
        <v>331</v>
      </c>
      <c r="X360" s="104">
        <v>0</v>
      </c>
      <c r="Y360" s="104">
        <v>0</v>
      </c>
      <c r="Z360" s="104">
        <v>0</v>
      </c>
      <c r="AA360" s="104">
        <v>0</v>
      </c>
      <c r="AB360" s="104">
        <v>0</v>
      </c>
      <c r="AC360" s="104">
        <v>0</v>
      </c>
      <c r="AD360" s="142">
        <v>0</v>
      </c>
      <c r="AE360" s="112">
        <f t="shared" si="238"/>
        <v>20</v>
      </c>
      <c r="AF360" s="70">
        <v>3204010</v>
      </c>
      <c r="AG360" s="105" cm="1">
        <f t="array" ref="AG360">_xlfn.SWITCH(L360,3,1,
           4,1,
           5,1,
           6,1,0)</f>
        <v>0</v>
      </c>
      <c r="AH360" s="146">
        <f t="shared" si="262"/>
        <v>80101201</v>
      </c>
      <c r="AI360" s="90">
        <v>6000</v>
      </c>
      <c r="AJ360" s="90">
        <v>3001</v>
      </c>
      <c r="AK360" s="27">
        <v>2004</v>
      </c>
      <c r="AL360" s="123">
        <f>_xlfn.XLOOKUP(H360,'#각종 참고'!$B$11:$B$20,'#각종 참고'!$D$11:$D$20)</f>
        <v>0</v>
      </c>
      <c r="AM360" s="27">
        <v>1</v>
      </c>
      <c r="AN360" s="27">
        <v>1</v>
      </c>
      <c r="AO360" s="124">
        <f t="shared" si="278"/>
        <v>1</v>
      </c>
      <c r="AP360" s="27">
        <v>1</v>
      </c>
      <c r="AQ360" s="21">
        <v>13124001</v>
      </c>
      <c r="AR360" s="21" t="s">
        <v>1722</v>
      </c>
      <c r="AS360" s="68"/>
      <c r="AT360" s="68"/>
      <c r="AU360" s="68"/>
    </row>
    <row r="361" spans="1:47" x14ac:dyDescent="0.3">
      <c r="A361" s="19"/>
      <c r="B361" s="109">
        <v>13124002</v>
      </c>
      <c r="C361" s="99" t="str">
        <f t="shared" ref="C361:C362" si="281">IF(K361&gt;0,MID(K361,5, 1), 0)</f>
        <v>3</v>
      </c>
      <c r="D361" s="121">
        <f>COUNTIFS($F$33:F361,F361, $G$33:G361,G361, $C$33:C361,C361, $L$33:L361,L361)</f>
        <v>2</v>
      </c>
      <c r="E361" s="20">
        <v>1</v>
      </c>
      <c r="F361" s="20">
        <v>4</v>
      </c>
      <c r="G361" s="20">
        <v>1</v>
      </c>
      <c r="H361" s="103" t="s">
        <v>963</v>
      </c>
      <c r="I361" s="20" t="s">
        <v>1724</v>
      </c>
      <c r="J361" s="104" t="str">
        <f t="shared" si="231"/>
        <v>Item_Name_13124002</v>
      </c>
      <c r="K361" s="20">
        <v>10103001</v>
      </c>
      <c r="L361" s="108">
        <f t="shared" si="236"/>
        <v>2</v>
      </c>
      <c r="M361" s="105">
        <f>IF(D361=0, 0, _xlfn.XLOOKUP($F361,'#무게관련'!$B:$B,'#무게관련'!$C:$C)*_xlfn.XLOOKUP($L361,'#무게관련'!$F:$F,'#무게관련'!$G:$G)*100)</f>
        <v>6000</v>
      </c>
      <c r="N361" s="20">
        <v>20700</v>
      </c>
      <c r="O361" s="20">
        <v>3</v>
      </c>
      <c r="P361" s="20">
        <v>15</v>
      </c>
      <c r="Q361" s="20">
        <v>1</v>
      </c>
      <c r="R361" s="20">
        <v>100</v>
      </c>
      <c r="S361" s="20">
        <v>1</v>
      </c>
      <c r="T361" s="20" t="s">
        <v>1870</v>
      </c>
      <c r="U361" s="104" t="str">
        <f t="shared" ref="U361:U362" si="282">"item_bg_grade_0"&amp;L361</f>
        <v>item_bg_grade_02</v>
      </c>
      <c r="V361" s="20" t="s">
        <v>527</v>
      </c>
      <c r="W361" s="20" t="s">
        <v>331</v>
      </c>
      <c r="X361" s="104">
        <v>0</v>
      </c>
      <c r="Y361" s="104">
        <v>0</v>
      </c>
      <c r="Z361" s="104">
        <v>0</v>
      </c>
      <c r="AA361" s="104">
        <v>0</v>
      </c>
      <c r="AB361" s="104">
        <v>0</v>
      </c>
      <c r="AC361" s="104">
        <v>0</v>
      </c>
      <c r="AD361" s="142">
        <v>0</v>
      </c>
      <c r="AE361" s="112">
        <f t="shared" si="238"/>
        <v>20</v>
      </c>
      <c r="AF361" s="70">
        <v>3204020</v>
      </c>
      <c r="AG361" s="105" cm="1">
        <f t="array" ref="AG361">_xlfn.SWITCH(L361,3,1,
           4,1,
           5,1,
           6,1,0)</f>
        <v>0</v>
      </c>
      <c r="AH361" s="146">
        <f t="shared" si="262"/>
        <v>80101201</v>
      </c>
      <c r="AI361" s="90">
        <v>6000</v>
      </c>
      <c r="AJ361" s="90">
        <v>3001</v>
      </c>
      <c r="AK361" s="27">
        <v>2004</v>
      </c>
      <c r="AL361" s="123">
        <f>_xlfn.XLOOKUP(H361,'#각종 참고'!$B$11:$B$20,'#각종 참고'!$D$11:$D$20)</f>
        <v>0</v>
      </c>
      <c r="AM361" s="27">
        <v>1</v>
      </c>
      <c r="AN361" s="27">
        <v>1</v>
      </c>
      <c r="AO361" s="124">
        <f t="shared" si="278"/>
        <v>1</v>
      </c>
      <c r="AP361" s="27">
        <v>1</v>
      </c>
      <c r="AQ361" s="21">
        <v>13124011</v>
      </c>
      <c r="AR361" s="21" t="s">
        <v>2463</v>
      </c>
      <c r="AS361" s="68"/>
      <c r="AT361" s="68"/>
      <c r="AU361" s="68"/>
    </row>
    <row r="362" spans="1:47" x14ac:dyDescent="0.3">
      <c r="A362" s="19"/>
      <c r="B362" s="109">
        <v>13124003</v>
      </c>
      <c r="C362" s="99" t="str">
        <f t="shared" si="281"/>
        <v>3</v>
      </c>
      <c r="D362" s="121">
        <f>COUNTIFS($F$33:F362,F362, $G$33:G362,G362, $C$33:C362,C362, $L$33:L362,L362)</f>
        <v>3</v>
      </c>
      <c r="E362" s="20">
        <v>1</v>
      </c>
      <c r="F362" s="20">
        <v>4</v>
      </c>
      <c r="G362" s="20">
        <v>1</v>
      </c>
      <c r="H362" s="103" t="s">
        <v>963</v>
      </c>
      <c r="I362" s="20" t="s">
        <v>2016</v>
      </c>
      <c r="J362" s="104" t="str">
        <f t="shared" si="231"/>
        <v>Item_Name_13124003</v>
      </c>
      <c r="K362" s="20">
        <v>10103001</v>
      </c>
      <c r="L362" s="108">
        <f t="shared" si="236"/>
        <v>2</v>
      </c>
      <c r="M362" s="105">
        <f>IF(D362=0, 0, _xlfn.XLOOKUP($F362,'#무게관련'!$B:$B,'#무게관련'!$C:$C)*_xlfn.XLOOKUP($L362,'#무게관련'!$F:$F,'#무게관련'!$G:$G)*100)</f>
        <v>6000</v>
      </c>
      <c r="N362" s="20">
        <v>20700</v>
      </c>
      <c r="O362" s="20">
        <v>3</v>
      </c>
      <c r="P362" s="20">
        <v>15</v>
      </c>
      <c r="Q362" s="20">
        <v>1</v>
      </c>
      <c r="R362" s="20">
        <v>100</v>
      </c>
      <c r="S362" s="20">
        <v>1</v>
      </c>
      <c r="T362" s="20" t="s">
        <v>1870</v>
      </c>
      <c r="U362" s="104" t="str">
        <f t="shared" si="282"/>
        <v>item_bg_grade_02</v>
      </c>
      <c r="V362" s="20" t="s">
        <v>527</v>
      </c>
      <c r="W362" s="20" t="s">
        <v>331</v>
      </c>
      <c r="X362" s="104">
        <v>0</v>
      </c>
      <c r="Y362" s="104">
        <v>0</v>
      </c>
      <c r="Z362" s="104">
        <v>0</v>
      </c>
      <c r="AA362" s="104">
        <v>0</v>
      </c>
      <c r="AB362" s="104">
        <v>0</v>
      </c>
      <c r="AC362" s="104">
        <v>0</v>
      </c>
      <c r="AD362" s="142">
        <v>0</v>
      </c>
      <c r="AE362" s="112">
        <f t="shared" si="238"/>
        <v>20</v>
      </c>
      <c r="AF362" s="70">
        <v>3204030</v>
      </c>
      <c r="AG362" s="105" cm="1">
        <f t="array" ref="AG362">_xlfn.SWITCH(L362,3,1,
           4,1,
           5,1,
           6,1,0)</f>
        <v>0</v>
      </c>
      <c r="AH362" s="146">
        <f t="shared" si="262"/>
        <v>80101201</v>
      </c>
      <c r="AI362" s="90">
        <v>6000</v>
      </c>
      <c r="AJ362" s="90">
        <v>3001</v>
      </c>
      <c r="AK362" s="27">
        <v>2004</v>
      </c>
      <c r="AL362" s="123">
        <f>_xlfn.XLOOKUP(H362,'#각종 참고'!$B$11:$B$20,'#각종 참고'!$D$11:$D$20)</f>
        <v>0</v>
      </c>
      <c r="AM362" s="27">
        <v>1</v>
      </c>
      <c r="AN362" s="27">
        <v>1</v>
      </c>
      <c r="AO362" s="124">
        <f t="shared" si="278"/>
        <v>1</v>
      </c>
      <c r="AP362" s="27">
        <v>1</v>
      </c>
      <c r="AQ362" s="21">
        <v>13124021</v>
      </c>
      <c r="AR362" s="21" t="s">
        <v>2464</v>
      </c>
      <c r="AS362" s="68"/>
      <c r="AT362" s="68"/>
      <c r="AU362" s="68"/>
    </row>
    <row r="363" spans="1:47" x14ac:dyDescent="0.3">
      <c r="A363" s="19"/>
      <c r="B363" s="109">
        <v>13134001</v>
      </c>
      <c r="C363" s="99" t="str">
        <f t="shared" si="267"/>
        <v>3</v>
      </c>
      <c r="D363" s="121">
        <f>COUNTIFS($F$33:F363,F363, $G$33:G363,G363, $C$33:C363,C363, $L$33:L363,L363)</f>
        <v>1</v>
      </c>
      <c r="E363" s="20">
        <v>1</v>
      </c>
      <c r="F363" s="20">
        <v>4</v>
      </c>
      <c r="G363" s="20">
        <v>1</v>
      </c>
      <c r="H363" s="103" t="s">
        <v>963</v>
      </c>
      <c r="I363" s="20" t="s">
        <v>1723</v>
      </c>
      <c r="J363" s="104" t="str">
        <f t="shared" si="231"/>
        <v>Item_Name_13134001</v>
      </c>
      <c r="K363" s="20">
        <v>10103001</v>
      </c>
      <c r="L363" s="108">
        <f t="shared" si="236"/>
        <v>3</v>
      </c>
      <c r="M363" s="105">
        <f>IF(D363=0, 0, _xlfn.XLOOKUP($F363,'#무게관련'!$B:$B,'#무게관련'!$C:$C)*_xlfn.XLOOKUP($L363,'#무게관련'!$F:$F,'#무게관련'!$G:$G)*100)</f>
        <v>6000</v>
      </c>
      <c r="N363" s="20">
        <v>20700</v>
      </c>
      <c r="O363" s="20">
        <v>3</v>
      </c>
      <c r="P363" s="20">
        <v>15</v>
      </c>
      <c r="Q363" s="20">
        <v>1</v>
      </c>
      <c r="R363" s="20">
        <v>100</v>
      </c>
      <c r="S363" s="20">
        <v>1</v>
      </c>
      <c r="T363" s="20" t="s">
        <v>1871</v>
      </c>
      <c r="U363" s="104" t="str">
        <f t="shared" si="224"/>
        <v>item_bg_grade_03</v>
      </c>
      <c r="V363" s="20" t="s">
        <v>527</v>
      </c>
      <c r="W363" s="20" t="s">
        <v>331</v>
      </c>
      <c r="X363" s="104">
        <v>0</v>
      </c>
      <c r="Y363" s="104">
        <v>0</v>
      </c>
      <c r="Z363" s="104">
        <v>0</v>
      </c>
      <c r="AA363" s="104">
        <v>0</v>
      </c>
      <c r="AB363" s="104">
        <v>0</v>
      </c>
      <c r="AC363" s="104">
        <v>0</v>
      </c>
      <c r="AD363" s="142">
        <v>0</v>
      </c>
      <c r="AE363" s="112">
        <f t="shared" si="238"/>
        <v>30</v>
      </c>
      <c r="AF363" s="70">
        <v>3304010</v>
      </c>
      <c r="AG363" s="105" cm="1">
        <f t="array" ref="AG363">_xlfn.SWITCH(L363,3,1,
           4,1,
           5,1,
           6,1,0)</f>
        <v>1</v>
      </c>
      <c r="AH363" s="146">
        <f t="shared" si="262"/>
        <v>80101301</v>
      </c>
      <c r="AI363" s="90">
        <v>6001</v>
      </c>
      <c r="AJ363" s="90">
        <v>3003</v>
      </c>
      <c r="AK363" s="27">
        <v>3004</v>
      </c>
      <c r="AL363" s="123">
        <f>_xlfn.XLOOKUP(H363,'#각종 참고'!$B$11:$B$20,'#각종 참고'!$D$11:$D$20)</f>
        <v>0</v>
      </c>
      <c r="AM363" s="27">
        <v>1</v>
      </c>
      <c r="AN363" s="27">
        <v>1</v>
      </c>
      <c r="AO363" s="124">
        <f t="shared" si="278"/>
        <v>1</v>
      </c>
      <c r="AP363" s="27">
        <v>1</v>
      </c>
      <c r="AQ363" s="21">
        <v>13134001</v>
      </c>
      <c r="AR363" s="21" t="s">
        <v>1723</v>
      </c>
      <c r="AS363" s="68"/>
      <c r="AT363" s="68"/>
      <c r="AU363" s="68"/>
    </row>
    <row r="364" spans="1:47" x14ac:dyDescent="0.3">
      <c r="A364" s="19"/>
      <c r="B364" s="109">
        <v>13134002</v>
      </c>
      <c r="C364" s="99" t="str">
        <f t="shared" ref="C364:C365" si="283">IF(K364&gt;0,MID(K364,5, 1), 0)</f>
        <v>3</v>
      </c>
      <c r="D364" s="121">
        <f>COUNTIFS($F$33:F364,F364, $G$33:G364,G364, $C$33:C364,C364, $L$33:L364,L364)</f>
        <v>2</v>
      </c>
      <c r="E364" s="20">
        <v>1</v>
      </c>
      <c r="F364" s="20">
        <v>4</v>
      </c>
      <c r="G364" s="20">
        <v>1</v>
      </c>
      <c r="H364" s="103" t="s">
        <v>963</v>
      </c>
      <c r="I364" s="20" t="s">
        <v>1728</v>
      </c>
      <c r="J364" s="104" t="str">
        <f t="shared" si="231"/>
        <v>Item_Name_13134002</v>
      </c>
      <c r="K364" s="20">
        <v>10103001</v>
      </c>
      <c r="L364" s="108">
        <f t="shared" si="236"/>
        <v>3</v>
      </c>
      <c r="M364" s="105">
        <f>IF(D364=0, 0, _xlfn.XLOOKUP($F364,'#무게관련'!$B:$B,'#무게관련'!$C:$C)*_xlfn.XLOOKUP($L364,'#무게관련'!$F:$F,'#무게관련'!$G:$G)*100)</f>
        <v>6000</v>
      </c>
      <c r="N364" s="20">
        <v>20700</v>
      </c>
      <c r="O364" s="20">
        <v>3</v>
      </c>
      <c r="P364" s="20">
        <v>15</v>
      </c>
      <c r="Q364" s="20">
        <v>1</v>
      </c>
      <c r="R364" s="20">
        <v>100</v>
      </c>
      <c r="S364" s="20">
        <v>1</v>
      </c>
      <c r="T364" s="20" t="s">
        <v>1871</v>
      </c>
      <c r="U364" s="104" t="str">
        <f t="shared" ref="U364:U365" si="284">"item_bg_grade_0"&amp;L364</f>
        <v>item_bg_grade_03</v>
      </c>
      <c r="V364" s="20" t="s">
        <v>527</v>
      </c>
      <c r="W364" s="20" t="s">
        <v>331</v>
      </c>
      <c r="X364" s="104">
        <v>0</v>
      </c>
      <c r="Y364" s="104">
        <v>0</v>
      </c>
      <c r="Z364" s="104">
        <v>0</v>
      </c>
      <c r="AA364" s="104">
        <v>0</v>
      </c>
      <c r="AB364" s="104">
        <v>0</v>
      </c>
      <c r="AC364" s="104">
        <v>0</v>
      </c>
      <c r="AD364" s="142">
        <v>0</v>
      </c>
      <c r="AE364" s="112">
        <f t="shared" si="238"/>
        <v>30</v>
      </c>
      <c r="AF364" s="70">
        <v>3304020</v>
      </c>
      <c r="AG364" s="105" cm="1">
        <f t="array" ref="AG364">_xlfn.SWITCH(L364,3,1,
           4,1,
           5,1,
           6,1,0)</f>
        <v>1</v>
      </c>
      <c r="AH364" s="146">
        <f t="shared" si="262"/>
        <v>80101301</v>
      </c>
      <c r="AI364" s="90">
        <v>6001</v>
      </c>
      <c r="AJ364" s="90">
        <v>3003</v>
      </c>
      <c r="AK364" s="27">
        <v>3004</v>
      </c>
      <c r="AL364" s="123">
        <f>_xlfn.XLOOKUP(H364,'#각종 참고'!$B$11:$B$20,'#각종 참고'!$D$11:$D$20)</f>
        <v>0</v>
      </c>
      <c r="AM364" s="27">
        <v>1</v>
      </c>
      <c r="AN364" s="27">
        <v>1</v>
      </c>
      <c r="AO364" s="124">
        <f t="shared" si="278"/>
        <v>1</v>
      </c>
      <c r="AP364" s="27">
        <v>1</v>
      </c>
      <c r="AQ364" s="21">
        <v>13134011</v>
      </c>
      <c r="AR364" s="21" t="s">
        <v>2465</v>
      </c>
      <c r="AS364" s="68"/>
      <c r="AT364" s="68"/>
      <c r="AU364" s="68"/>
    </row>
    <row r="365" spans="1:47" ht="11.25" customHeight="1" x14ac:dyDescent="0.3">
      <c r="A365" s="19"/>
      <c r="B365" s="109">
        <v>13134003</v>
      </c>
      <c r="C365" s="99" t="str">
        <f t="shared" si="283"/>
        <v>3</v>
      </c>
      <c r="D365" s="121">
        <f>COUNTIFS($F$33:F365,F365, $G$33:G365,G365, $C$33:C365,C365, $L$33:L365,L365)</f>
        <v>3</v>
      </c>
      <c r="E365" s="20">
        <v>1</v>
      </c>
      <c r="F365" s="20">
        <v>4</v>
      </c>
      <c r="G365" s="20">
        <v>1</v>
      </c>
      <c r="H365" s="103" t="s">
        <v>963</v>
      </c>
      <c r="I365" s="20" t="s">
        <v>1726</v>
      </c>
      <c r="J365" s="104" t="str">
        <f t="shared" ref="J365:J428" si="285">"Item_Name_"&amp;$B365</f>
        <v>Item_Name_13134003</v>
      </c>
      <c r="K365" s="20">
        <v>10103001</v>
      </c>
      <c r="L365" s="108">
        <f t="shared" si="236"/>
        <v>3</v>
      </c>
      <c r="M365" s="105">
        <f>IF(D365=0, 0, _xlfn.XLOOKUP($F365,'#무게관련'!$B:$B,'#무게관련'!$C:$C)*_xlfn.XLOOKUP($L365,'#무게관련'!$F:$F,'#무게관련'!$G:$G)*100)</f>
        <v>6000</v>
      </c>
      <c r="N365" s="20">
        <v>20700</v>
      </c>
      <c r="O365" s="20">
        <v>3</v>
      </c>
      <c r="P365" s="20">
        <v>15</v>
      </c>
      <c r="Q365" s="20">
        <v>1</v>
      </c>
      <c r="R365" s="20">
        <v>100</v>
      </c>
      <c r="S365" s="20">
        <v>1</v>
      </c>
      <c r="T365" s="20" t="s">
        <v>1871</v>
      </c>
      <c r="U365" s="104" t="str">
        <f t="shared" si="284"/>
        <v>item_bg_grade_03</v>
      </c>
      <c r="V365" s="20" t="s">
        <v>527</v>
      </c>
      <c r="W365" s="20" t="s">
        <v>331</v>
      </c>
      <c r="X365" s="104">
        <v>0</v>
      </c>
      <c r="Y365" s="104">
        <v>0</v>
      </c>
      <c r="Z365" s="104">
        <v>0</v>
      </c>
      <c r="AA365" s="104">
        <v>0</v>
      </c>
      <c r="AB365" s="104">
        <v>0</v>
      </c>
      <c r="AC365" s="104">
        <v>0</v>
      </c>
      <c r="AD365" s="142">
        <v>0</v>
      </c>
      <c r="AE365" s="112">
        <f t="shared" si="238"/>
        <v>30</v>
      </c>
      <c r="AF365" s="70">
        <v>3304030</v>
      </c>
      <c r="AG365" s="105" cm="1">
        <f t="array" ref="AG365">_xlfn.SWITCH(L365,3,1,
           4,1,
           5,1,
           6,1,0)</f>
        <v>1</v>
      </c>
      <c r="AH365" s="146">
        <f t="shared" si="262"/>
        <v>80101301</v>
      </c>
      <c r="AI365" s="90">
        <v>6001</v>
      </c>
      <c r="AJ365" s="90">
        <v>3003</v>
      </c>
      <c r="AK365" s="27">
        <v>3004</v>
      </c>
      <c r="AL365" s="123">
        <f>_xlfn.XLOOKUP(H365,'#각종 참고'!$B$11:$B$20,'#각종 참고'!$D$11:$D$20)</f>
        <v>0</v>
      </c>
      <c r="AM365" s="27">
        <v>1</v>
      </c>
      <c r="AN365" s="27">
        <v>1</v>
      </c>
      <c r="AO365" s="124">
        <f t="shared" si="278"/>
        <v>1</v>
      </c>
      <c r="AP365" s="27">
        <v>1</v>
      </c>
      <c r="AQ365" s="21">
        <v>13134021</v>
      </c>
      <c r="AR365" s="21" t="s">
        <v>2466</v>
      </c>
      <c r="AS365" s="68"/>
      <c r="AT365" s="68"/>
      <c r="AU365" s="68"/>
    </row>
    <row r="366" spans="1:47" x14ac:dyDescent="0.3">
      <c r="A366" s="19"/>
      <c r="B366" s="109">
        <v>13144001</v>
      </c>
      <c r="C366" s="99" t="str">
        <f t="shared" si="267"/>
        <v>3</v>
      </c>
      <c r="D366" s="121">
        <f>COUNTIFS($F$33:F366,F366, $G$33:G366,G366, $C$33:C366,C366, $L$33:L366,L366)</f>
        <v>1</v>
      </c>
      <c r="E366" s="20">
        <v>1</v>
      </c>
      <c r="F366" s="20">
        <v>4</v>
      </c>
      <c r="G366" s="20">
        <v>1</v>
      </c>
      <c r="H366" s="103" t="s">
        <v>963</v>
      </c>
      <c r="I366" s="20" t="s">
        <v>1725</v>
      </c>
      <c r="J366" s="104" t="str">
        <f t="shared" si="285"/>
        <v>Item_Name_13144001</v>
      </c>
      <c r="K366" s="20">
        <v>10103001</v>
      </c>
      <c r="L366" s="108">
        <f t="shared" si="236"/>
        <v>4</v>
      </c>
      <c r="M366" s="105">
        <f>IF(D366=0, 0, _xlfn.XLOOKUP($F366,'#무게관련'!$B:$B,'#무게관련'!$C:$C)*_xlfn.XLOOKUP($L366,'#무게관련'!$F:$F,'#무게관련'!$G:$G)*100)</f>
        <v>6000</v>
      </c>
      <c r="N366" s="20">
        <v>20700</v>
      </c>
      <c r="O366" s="20">
        <v>3</v>
      </c>
      <c r="P366" s="20">
        <v>15</v>
      </c>
      <c r="Q366" s="20">
        <v>1</v>
      </c>
      <c r="R366" s="20">
        <v>100</v>
      </c>
      <c r="S366" s="20">
        <v>1</v>
      </c>
      <c r="T366" s="20" t="s">
        <v>1872</v>
      </c>
      <c r="U366" s="104" t="str">
        <f t="shared" si="224"/>
        <v>item_bg_grade_04</v>
      </c>
      <c r="V366" s="20" t="s">
        <v>527</v>
      </c>
      <c r="W366" s="20" t="s">
        <v>331</v>
      </c>
      <c r="X366" s="104">
        <v>0</v>
      </c>
      <c r="Y366" s="104">
        <v>0</v>
      </c>
      <c r="Z366" s="104">
        <v>0</v>
      </c>
      <c r="AA366" s="104">
        <v>0</v>
      </c>
      <c r="AB366" s="104">
        <v>0</v>
      </c>
      <c r="AC366" s="104">
        <v>0</v>
      </c>
      <c r="AD366" s="142">
        <v>0</v>
      </c>
      <c r="AE366" s="112">
        <f t="shared" si="238"/>
        <v>40</v>
      </c>
      <c r="AF366" s="70">
        <v>3404010</v>
      </c>
      <c r="AG366" s="105" cm="1">
        <f t="array" ref="AG366">_xlfn.SWITCH(L366,3,1,
           4,1,
           5,1,
           6,1,0)</f>
        <v>1</v>
      </c>
      <c r="AH366" s="146">
        <f t="shared" si="262"/>
        <v>80101401</v>
      </c>
      <c r="AI366" s="90">
        <v>6002</v>
      </c>
      <c r="AJ366" s="90">
        <v>3005</v>
      </c>
      <c r="AK366" s="27">
        <v>4004</v>
      </c>
      <c r="AL366" s="123">
        <f>_xlfn.XLOOKUP(H366,'#각종 참고'!$B$11:$B$20,'#각종 참고'!$D$11:$D$20)</f>
        <v>0</v>
      </c>
      <c r="AM366" s="27">
        <v>1</v>
      </c>
      <c r="AN366" s="27">
        <v>1</v>
      </c>
      <c r="AO366" s="124">
        <f t="shared" si="278"/>
        <v>1</v>
      </c>
      <c r="AP366" s="27">
        <v>1</v>
      </c>
      <c r="AQ366" s="21">
        <v>13144001</v>
      </c>
      <c r="AR366" s="21" t="s">
        <v>1725</v>
      </c>
      <c r="AS366" s="68"/>
      <c r="AT366" s="68"/>
      <c r="AU366" s="68"/>
    </row>
    <row r="367" spans="1:47" x14ac:dyDescent="0.3">
      <c r="A367" s="19"/>
      <c r="B367" s="109">
        <v>13144002</v>
      </c>
      <c r="C367" s="99" t="str">
        <f t="shared" ref="C367:C368" si="286">IF(K367&gt;0,MID(K367,5, 1), 0)</f>
        <v>3</v>
      </c>
      <c r="D367" s="121">
        <f>COUNTIFS($F$33:F367,F367, $G$33:G367,G367, $C$33:C367,C367, $L$33:L367,L367)</f>
        <v>2</v>
      </c>
      <c r="E367" s="20">
        <v>1</v>
      </c>
      <c r="F367" s="20">
        <v>4</v>
      </c>
      <c r="G367" s="20">
        <v>1</v>
      </c>
      <c r="H367" s="103" t="s">
        <v>963</v>
      </c>
      <c r="I367" s="20" t="s">
        <v>2151</v>
      </c>
      <c r="J367" s="104" t="str">
        <f t="shared" si="285"/>
        <v>Item_Name_13144002</v>
      </c>
      <c r="K367" s="20">
        <v>10103001</v>
      </c>
      <c r="L367" s="108">
        <f t="shared" si="236"/>
        <v>4</v>
      </c>
      <c r="M367" s="105">
        <f>IF(D367=0, 0, _xlfn.XLOOKUP($F367,'#무게관련'!$B:$B,'#무게관련'!$C:$C)*_xlfn.XLOOKUP($L367,'#무게관련'!$F:$F,'#무게관련'!$G:$G)*100)</f>
        <v>6000</v>
      </c>
      <c r="N367" s="20">
        <v>20700</v>
      </c>
      <c r="O367" s="20">
        <v>3</v>
      </c>
      <c r="P367" s="20">
        <v>15</v>
      </c>
      <c r="Q367" s="20">
        <v>1</v>
      </c>
      <c r="R367" s="20">
        <v>100</v>
      </c>
      <c r="S367" s="20">
        <v>1</v>
      </c>
      <c r="T367" s="20" t="s">
        <v>1872</v>
      </c>
      <c r="U367" s="104" t="str">
        <f t="shared" ref="U367:U368" si="287">"item_bg_grade_0"&amp;L367</f>
        <v>item_bg_grade_04</v>
      </c>
      <c r="V367" s="20" t="s">
        <v>527</v>
      </c>
      <c r="W367" s="20" t="s">
        <v>331</v>
      </c>
      <c r="X367" s="104">
        <v>0</v>
      </c>
      <c r="Y367" s="104">
        <v>0</v>
      </c>
      <c r="Z367" s="104">
        <v>0</v>
      </c>
      <c r="AA367" s="104">
        <v>0</v>
      </c>
      <c r="AB367" s="104">
        <v>0</v>
      </c>
      <c r="AC367" s="104">
        <v>0</v>
      </c>
      <c r="AD367" s="142">
        <v>0</v>
      </c>
      <c r="AE367" s="112">
        <f t="shared" si="238"/>
        <v>40</v>
      </c>
      <c r="AF367" s="70">
        <v>3404020</v>
      </c>
      <c r="AG367" s="105" cm="1">
        <f t="array" ref="AG367">_xlfn.SWITCH(L367,3,1,
           4,1,
           5,1,
           6,1,0)</f>
        <v>1</v>
      </c>
      <c r="AH367" s="146">
        <f t="shared" si="262"/>
        <v>80101401</v>
      </c>
      <c r="AI367" s="90">
        <v>6002</v>
      </c>
      <c r="AJ367" s="90">
        <v>3005</v>
      </c>
      <c r="AK367" s="27">
        <v>4004</v>
      </c>
      <c r="AL367" s="123">
        <f>_xlfn.XLOOKUP(H367,'#각종 참고'!$B$11:$B$20,'#각종 참고'!$D$11:$D$20)</f>
        <v>0</v>
      </c>
      <c r="AM367" s="27">
        <v>1</v>
      </c>
      <c r="AN367" s="27">
        <v>1</v>
      </c>
      <c r="AO367" s="124">
        <f t="shared" si="278"/>
        <v>1</v>
      </c>
      <c r="AP367" s="27">
        <v>1</v>
      </c>
      <c r="AQ367" s="21">
        <v>13144011</v>
      </c>
      <c r="AR367" s="21" t="s">
        <v>2467</v>
      </c>
      <c r="AS367" s="68"/>
      <c r="AT367" s="68"/>
      <c r="AU367" s="68"/>
    </row>
    <row r="368" spans="1:47" x14ac:dyDescent="0.3">
      <c r="A368" s="19"/>
      <c r="B368" s="109">
        <v>13144003</v>
      </c>
      <c r="C368" s="99" t="str">
        <f t="shared" si="286"/>
        <v>3</v>
      </c>
      <c r="D368" s="121">
        <f>COUNTIFS($F$33:F368,F368, $G$33:G368,G368, $C$33:C368,C368, $L$33:L368,L368)</f>
        <v>3</v>
      </c>
      <c r="E368" s="20">
        <v>1</v>
      </c>
      <c r="F368" s="20">
        <v>4</v>
      </c>
      <c r="G368" s="20">
        <v>1</v>
      </c>
      <c r="H368" s="103" t="s">
        <v>963</v>
      </c>
      <c r="I368" s="20" t="s">
        <v>1992</v>
      </c>
      <c r="J368" s="104" t="str">
        <f t="shared" si="285"/>
        <v>Item_Name_13144003</v>
      </c>
      <c r="K368" s="20">
        <v>10103001</v>
      </c>
      <c r="L368" s="108">
        <f t="shared" si="236"/>
        <v>4</v>
      </c>
      <c r="M368" s="105">
        <f>IF(D368=0, 0, _xlfn.XLOOKUP($F368,'#무게관련'!$B:$B,'#무게관련'!$C:$C)*_xlfn.XLOOKUP($L368,'#무게관련'!$F:$F,'#무게관련'!$G:$G)*100)</f>
        <v>6000</v>
      </c>
      <c r="N368" s="20">
        <v>20700</v>
      </c>
      <c r="O368" s="20">
        <v>3</v>
      </c>
      <c r="P368" s="20">
        <v>15</v>
      </c>
      <c r="Q368" s="20">
        <v>1</v>
      </c>
      <c r="R368" s="20">
        <v>100</v>
      </c>
      <c r="S368" s="20">
        <v>1</v>
      </c>
      <c r="T368" s="20" t="s">
        <v>1872</v>
      </c>
      <c r="U368" s="104" t="str">
        <f t="shared" si="287"/>
        <v>item_bg_grade_04</v>
      </c>
      <c r="V368" s="20" t="s">
        <v>527</v>
      </c>
      <c r="W368" s="20" t="s">
        <v>331</v>
      </c>
      <c r="X368" s="104">
        <v>0</v>
      </c>
      <c r="Y368" s="104">
        <v>0</v>
      </c>
      <c r="Z368" s="104">
        <v>0</v>
      </c>
      <c r="AA368" s="104">
        <v>0</v>
      </c>
      <c r="AB368" s="104">
        <v>0</v>
      </c>
      <c r="AC368" s="104">
        <v>0</v>
      </c>
      <c r="AD368" s="142">
        <v>0</v>
      </c>
      <c r="AE368" s="112">
        <f t="shared" si="238"/>
        <v>40</v>
      </c>
      <c r="AF368" s="70">
        <v>3404030</v>
      </c>
      <c r="AG368" s="105" cm="1">
        <f t="array" ref="AG368">_xlfn.SWITCH(L368,3,1,
           4,1,
           5,1,
           6,1,0)</f>
        <v>1</v>
      </c>
      <c r="AH368" s="146">
        <f t="shared" si="262"/>
        <v>80101401</v>
      </c>
      <c r="AI368" s="90">
        <v>6002</v>
      </c>
      <c r="AJ368" s="90">
        <v>3005</v>
      </c>
      <c r="AK368" s="27">
        <v>4004</v>
      </c>
      <c r="AL368" s="123">
        <f>_xlfn.XLOOKUP(H368,'#각종 참고'!$B$11:$B$20,'#각종 참고'!$D$11:$D$20)</f>
        <v>0</v>
      </c>
      <c r="AM368" s="27">
        <v>1</v>
      </c>
      <c r="AN368" s="27">
        <v>1</v>
      </c>
      <c r="AO368" s="124">
        <f t="shared" si="278"/>
        <v>1</v>
      </c>
      <c r="AP368" s="27">
        <v>1</v>
      </c>
      <c r="AQ368" s="21">
        <v>13144021</v>
      </c>
      <c r="AR368" s="21" t="s">
        <v>2468</v>
      </c>
      <c r="AS368" s="68"/>
      <c r="AT368" s="68"/>
      <c r="AU368" s="68"/>
    </row>
    <row r="369" spans="1:47" x14ac:dyDescent="0.3">
      <c r="A369" s="19"/>
      <c r="B369" s="109">
        <v>13154001</v>
      </c>
      <c r="C369" s="99" t="str">
        <f t="shared" ref="C369:C372" si="288">IF(K369&gt;0,MID(K369,5, 1), 0)</f>
        <v>3</v>
      </c>
      <c r="D369" s="121">
        <f>COUNTIFS($F$33:F369,F369, $G$33:G369,G369, $C$33:C369,C369, $L$33:L369,L369)</f>
        <v>1</v>
      </c>
      <c r="E369" s="20">
        <v>1</v>
      </c>
      <c r="F369" s="20">
        <v>4</v>
      </c>
      <c r="G369" s="20">
        <v>1</v>
      </c>
      <c r="H369" s="103" t="s">
        <v>963</v>
      </c>
      <c r="I369" s="20" t="s">
        <v>1727</v>
      </c>
      <c r="J369" s="104" t="str">
        <f t="shared" si="285"/>
        <v>Item_Name_13154001</v>
      </c>
      <c r="K369" s="20">
        <v>10103001</v>
      </c>
      <c r="L369" s="108">
        <f t="shared" si="236"/>
        <v>5</v>
      </c>
      <c r="M369" s="105">
        <f>IF(D369=0, 0, _xlfn.XLOOKUP($F369,'#무게관련'!$B:$B,'#무게관련'!$C:$C)*_xlfn.XLOOKUP($L369,'#무게관련'!$F:$F,'#무게관련'!$G:$G)*100)</f>
        <v>6000</v>
      </c>
      <c r="N369" s="20">
        <v>20700</v>
      </c>
      <c r="O369" s="20">
        <v>3</v>
      </c>
      <c r="P369" s="20">
        <v>15</v>
      </c>
      <c r="Q369" s="20">
        <v>1</v>
      </c>
      <c r="R369" s="20">
        <v>100</v>
      </c>
      <c r="S369" s="20">
        <v>1</v>
      </c>
      <c r="T369" s="20" t="s">
        <v>1873</v>
      </c>
      <c r="U369" s="104" t="str">
        <f t="shared" ref="U369:U372" si="289">"item_bg_grade_0"&amp;L369</f>
        <v>item_bg_grade_05</v>
      </c>
      <c r="V369" s="20" t="s">
        <v>527</v>
      </c>
      <c r="W369" s="20" t="s">
        <v>331</v>
      </c>
      <c r="X369" s="104">
        <v>0</v>
      </c>
      <c r="Y369" s="104">
        <v>0</v>
      </c>
      <c r="Z369" s="104">
        <v>0</v>
      </c>
      <c r="AA369" s="104">
        <v>0</v>
      </c>
      <c r="AB369" s="104">
        <v>0</v>
      </c>
      <c r="AC369" s="104">
        <v>0</v>
      </c>
      <c r="AD369" s="142">
        <v>0</v>
      </c>
      <c r="AE369" s="112">
        <f t="shared" si="238"/>
        <v>50</v>
      </c>
      <c r="AF369" s="70">
        <v>3504010</v>
      </c>
      <c r="AG369" s="105" cm="1">
        <f t="array" ref="AG369">_xlfn.SWITCH(L369,3,1,
           4,1,
           5,1,
           6,1,0)</f>
        <v>1</v>
      </c>
      <c r="AH369" s="146">
        <f t="shared" si="262"/>
        <v>80101501</v>
      </c>
      <c r="AI369" s="90">
        <v>6003</v>
      </c>
      <c r="AJ369" s="90">
        <v>3007</v>
      </c>
      <c r="AK369" s="27">
        <v>5004</v>
      </c>
      <c r="AL369" s="123">
        <f>_xlfn.XLOOKUP(H369,'#각종 참고'!$B$11:$B$20,'#각종 참고'!$D$11:$D$20)</f>
        <v>0</v>
      </c>
      <c r="AM369" s="27">
        <v>1</v>
      </c>
      <c r="AN369" s="27">
        <v>1</v>
      </c>
      <c r="AO369" s="124">
        <f t="shared" si="278"/>
        <v>1</v>
      </c>
      <c r="AP369" s="27">
        <v>1</v>
      </c>
      <c r="AQ369" s="21">
        <v>13154001</v>
      </c>
      <c r="AR369" s="21" t="s">
        <v>1727</v>
      </c>
      <c r="AS369" s="68"/>
      <c r="AT369" s="68"/>
      <c r="AU369" s="68"/>
    </row>
    <row r="370" spans="1:47" x14ac:dyDescent="0.3">
      <c r="A370" s="19"/>
      <c r="B370" s="109">
        <v>13154002</v>
      </c>
      <c r="C370" s="99" t="str">
        <f t="shared" ref="C370:C371" si="290">IF(K370&gt;0,MID(K370,5, 1), 0)</f>
        <v>3</v>
      </c>
      <c r="D370" s="121">
        <f>COUNTIFS($F$33:F370,F370, $G$33:G370,G370, $C$33:C370,C370, $L$33:L370,L370)</f>
        <v>2</v>
      </c>
      <c r="E370" s="20">
        <v>1</v>
      </c>
      <c r="F370" s="20">
        <v>4</v>
      </c>
      <c r="G370" s="20">
        <v>1</v>
      </c>
      <c r="H370" s="103" t="s">
        <v>963</v>
      </c>
      <c r="I370" s="20" t="s">
        <v>2152</v>
      </c>
      <c r="J370" s="104" t="str">
        <f t="shared" si="285"/>
        <v>Item_Name_13154002</v>
      </c>
      <c r="K370" s="20">
        <v>10103001</v>
      </c>
      <c r="L370" s="108">
        <f t="shared" si="236"/>
        <v>5</v>
      </c>
      <c r="M370" s="105">
        <f>IF(D370=0, 0, _xlfn.XLOOKUP($F370,'#무게관련'!$B:$B,'#무게관련'!$C:$C)*_xlfn.XLOOKUP($L370,'#무게관련'!$F:$F,'#무게관련'!$G:$G)*100)</f>
        <v>6000</v>
      </c>
      <c r="N370" s="20">
        <v>20700</v>
      </c>
      <c r="O370" s="20">
        <v>3</v>
      </c>
      <c r="P370" s="20">
        <v>15</v>
      </c>
      <c r="Q370" s="20">
        <v>1</v>
      </c>
      <c r="R370" s="20">
        <v>100</v>
      </c>
      <c r="S370" s="20">
        <v>1</v>
      </c>
      <c r="T370" s="20" t="s">
        <v>1873</v>
      </c>
      <c r="U370" s="104" t="str">
        <f t="shared" ref="U370:U371" si="291">"item_bg_grade_0"&amp;L370</f>
        <v>item_bg_grade_05</v>
      </c>
      <c r="V370" s="20" t="s">
        <v>527</v>
      </c>
      <c r="W370" s="20" t="s">
        <v>331</v>
      </c>
      <c r="X370" s="104">
        <v>0</v>
      </c>
      <c r="Y370" s="104">
        <v>0</v>
      </c>
      <c r="Z370" s="104">
        <v>0</v>
      </c>
      <c r="AA370" s="104">
        <v>0</v>
      </c>
      <c r="AB370" s="104">
        <v>0</v>
      </c>
      <c r="AC370" s="104">
        <v>0</v>
      </c>
      <c r="AD370" s="142">
        <v>0</v>
      </c>
      <c r="AE370" s="112">
        <f t="shared" si="238"/>
        <v>50</v>
      </c>
      <c r="AF370" s="70">
        <v>3504020</v>
      </c>
      <c r="AG370" s="105" cm="1">
        <f t="array" ref="AG370">_xlfn.SWITCH(L370,3,1,
           4,1,
           5,1,
           6,1,0)</f>
        <v>1</v>
      </c>
      <c r="AH370" s="146">
        <f t="shared" si="262"/>
        <v>80101501</v>
      </c>
      <c r="AI370" s="90">
        <v>6003</v>
      </c>
      <c r="AJ370" s="90">
        <v>3007</v>
      </c>
      <c r="AK370" s="27">
        <v>5004</v>
      </c>
      <c r="AL370" s="123">
        <f>_xlfn.XLOOKUP(H370,'#각종 참고'!$B$11:$B$20,'#각종 참고'!$D$11:$D$20)</f>
        <v>0</v>
      </c>
      <c r="AM370" s="27">
        <v>1</v>
      </c>
      <c r="AN370" s="27">
        <v>1</v>
      </c>
      <c r="AO370" s="124">
        <f t="shared" si="278"/>
        <v>1</v>
      </c>
      <c r="AP370" s="27">
        <v>1</v>
      </c>
      <c r="AQ370" s="21">
        <v>13154011</v>
      </c>
      <c r="AR370" s="21" t="s">
        <v>2469</v>
      </c>
      <c r="AS370" s="68"/>
      <c r="AT370" s="68"/>
      <c r="AU370" s="68"/>
    </row>
    <row r="371" spans="1:47" x14ac:dyDescent="0.3">
      <c r="A371" s="19"/>
      <c r="B371" s="109">
        <v>13154003</v>
      </c>
      <c r="C371" s="99" t="str">
        <f t="shared" si="290"/>
        <v>3</v>
      </c>
      <c r="D371" s="121">
        <f>COUNTIFS($F$33:F371,F371, $G$33:G371,G371, $C$33:C371,C371, $L$33:L371,L371)</f>
        <v>3</v>
      </c>
      <c r="E371" s="20">
        <v>1</v>
      </c>
      <c r="F371" s="20">
        <v>4</v>
      </c>
      <c r="G371" s="20">
        <v>1</v>
      </c>
      <c r="H371" s="103" t="s">
        <v>963</v>
      </c>
      <c r="I371" s="20" t="s">
        <v>1960</v>
      </c>
      <c r="J371" s="104" t="str">
        <f t="shared" si="285"/>
        <v>Item_Name_13154003</v>
      </c>
      <c r="K371" s="20">
        <v>10103001</v>
      </c>
      <c r="L371" s="108">
        <f t="shared" ref="L371:L434" si="292">L353</f>
        <v>5</v>
      </c>
      <c r="M371" s="105">
        <f>IF(D371=0, 0, _xlfn.XLOOKUP($F371,'#무게관련'!$B:$B,'#무게관련'!$C:$C)*_xlfn.XLOOKUP($L371,'#무게관련'!$F:$F,'#무게관련'!$G:$G)*100)</f>
        <v>6000</v>
      </c>
      <c r="N371" s="20">
        <v>20700</v>
      </c>
      <c r="O371" s="20">
        <v>3</v>
      </c>
      <c r="P371" s="20">
        <v>15</v>
      </c>
      <c r="Q371" s="20">
        <v>1</v>
      </c>
      <c r="R371" s="20">
        <v>100</v>
      </c>
      <c r="S371" s="20">
        <v>1</v>
      </c>
      <c r="T371" s="20" t="s">
        <v>1873</v>
      </c>
      <c r="U371" s="104" t="str">
        <f t="shared" si="291"/>
        <v>item_bg_grade_05</v>
      </c>
      <c r="V371" s="20" t="s">
        <v>527</v>
      </c>
      <c r="W371" s="20" t="s">
        <v>331</v>
      </c>
      <c r="X371" s="104">
        <v>0</v>
      </c>
      <c r="Y371" s="104">
        <v>0</v>
      </c>
      <c r="Z371" s="104">
        <v>0</v>
      </c>
      <c r="AA371" s="104">
        <v>0</v>
      </c>
      <c r="AB371" s="104">
        <v>0</v>
      </c>
      <c r="AC371" s="104">
        <v>0</v>
      </c>
      <c r="AD371" s="142">
        <v>0</v>
      </c>
      <c r="AE371" s="112">
        <f t="shared" ref="AE371:AE434" si="293">AE353</f>
        <v>50</v>
      </c>
      <c r="AF371" s="70">
        <v>3504030</v>
      </c>
      <c r="AG371" s="105" cm="1">
        <f t="array" ref="AG371">_xlfn.SWITCH(L371,3,1,
           4,1,
           5,1,
           6,1,0)</f>
        <v>1</v>
      </c>
      <c r="AH371" s="146">
        <f t="shared" ref="AH371:AH392" si="294">AH353</f>
        <v>80101501</v>
      </c>
      <c r="AI371" s="90">
        <v>6003</v>
      </c>
      <c r="AJ371" s="90">
        <v>3007</v>
      </c>
      <c r="AK371" s="27">
        <v>5004</v>
      </c>
      <c r="AL371" s="123">
        <f>_xlfn.XLOOKUP(H371,'#각종 참고'!$B$11:$B$20,'#각종 참고'!$D$11:$D$20)</f>
        <v>0</v>
      </c>
      <c r="AM371" s="27">
        <v>1</v>
      </c>
      <c r="AN371" s="27">
        <v>1</v>
      </c>
      <c r="AO371" s="124">
        <f t="shared" si="278"/>
        <v>1</v>
      </c>
      <c r="AP371" s="27">
        <v>1</v>
      </c>
      <c r="AQ371" s="21">
        <v>13154021</v>
      </c>
      <c r="AR371" s="21" t="s">
        <v>2470</v>
      </c>
      <c r="AS371" s="68"/>
      <c r="AT371" s="68"/>
      <c r="AU371" s="68"/>
    </row>
    <row r="372" spans="1:47" x14ac:dyDescent="0.3">
      <c r="A372" s="19"/>
      <c r="B372" s="109">
        <v>13164001</v>
      </c>
      <c r="C372" s="99" t="str">
        <f t="shared" si="288"/>
        <v>3</v>
      </c>
      <c r="D372" s="121">
        <f>COUNTIFS($F$33:F372,F372, $G$33:G372,G372, $C$33:C372,C372, $L$33:L372,L372)</f>
        <v>1</v>
      </c>
      <c r="E372" s="20">
        <v>1</v>
      </c>
      <c r="F372" s="20">
        <v>4</v>
      </c>
      <c r="G372" s="20">
        <v>1</v>
      </c>
      <c r="H372" s="103" t="s">
        <v>963</v>
      </c>
      <c r="I372" s="20" t="s">
        <v>1729</v>
      </c>
      <c r="J372" s="104" t="str">
        <f t="shared" si="285"/>
        <v>Item_Name_13164001</v>
      </c>
      <c r="K372" s="20">
        <v>10103001</v>
      </c>
      <c r="L372" s="108">
        <f t="shared" si="292"/>
        <v>6</v>
      </c>
      <c r="M372" s="105">
        <f>IF(D372=0, 0, _xlfn.XLOOKUP($F372,'#무게관련'!$B:$B,'#무게관련'!$C:$C)*_xlfn.XLOOKUP($L372,'#무게관련'!$F:$F,'#무게관련'!$G:$G)*100)</f>
        <v>6000</v>
      </c>
      <c r="N372" s="20">
        <v>20700</v>
      </c>
      <c r="O372" s="20">
        <v>3</v>
      </c>
      <c r="P372" s="20">
        <v>15</v>
      </c>
      <c r="Q372" s="20">
        <v>1</v>
      </c>
      <c r="R372" s="20">
        <v>100</v>
      </c>
      <c r="S372" s="20">
        <v>1</v>
      </c>
      <c r="T372" s="109" t="s">
        <v>1873</v>
      </c>
      <c r="U372" s="104" t="str">
        <f t="shared" si="289"/>
        <v>item_bg_grade_06</v>
      </c>
      <c r="V372" s="20" t="s">
        <v>527</v>
      </c>
      <c r="W372" s="20" t="s">
        <v>331</v>
      </c>
      <c r="X372" s="104">
        <v>0</v>
      </c>
      <c r="Y372" s="104">
        <v>0</v>
      </c>
      <c r="Z372" s="104">
        <v>0</v>
      </c>
      <c r="AA372" s="104">
        <v>0</v>
      </c>
      <c r="AB372" s="104">
        <v>0</v>
      </c>
      <c r="AC372" s="104">
        <v>0</v>
      </c>
      <c r="AD372" s="142">
        <v>0</v>
      </c>
      <c r="AE372" s="112">
        <f t="shared" si="293"/>
        <v>70</v>
      </c>
      <c r="AF372" s="70">
        <v>3504010</v>
      </c>
      <c r="AG372" s="105" cm="1">
        <f t="array" ref="AG372">_xlfn.SWITCH(L372,3,1,
           4,1,
           5,1,
           6,1,0)</f>
        <v>1</v>
      </c>
      <c r="AH372" s="146">
        <f t="shared" si="294"/>
        <v>0</v>
      </c>
      <c r="AI372" s="90">
        <v>6004</v>
      </c>
      <c r="AJ372" s="90">
        <v>3009</v>
      </c>
      <c r="AK372" s="27">
        <v>6004</v>
      </c>
      <c r="AL372" s="123">
        <f>_xlfn.XLOOKUP(H372,'#각종 참고'!$B$11:$B$20,'#각종 참고'!$D$11:$D$20)</f>
        <v>0</v>
      </c>
      <c r="AM372" s="27">
        <v>1</v>
      </c>
      <c r="AN372" s="27">
        <v>1</v>
      </c>
      <c r="AO372" s="124">
        <f t="shared" si="278"/>
        <v>1</v>
      </c>
      <c r="AP372" s="27">
        <v>1</v>
      </c>
      <c r="AQ372" s="21">
        <v>13164001</v>
      </c>
      <c r="AR372" s="21" t="s">
        <v>1729</v>
      </c>
      <c r="AS372" s="68"/>
      <c r="AT372" s="68"/>
      <c r="AU372" s="68"/>
    </row>
    <row r="373" spans="1:47" x14ac:dyDescent="0.3">
      <c r="A373" s="19" t="s">
        <v>513</v>
      </c>
      <c r="B373" s="109">
        <v>13164002</v>
      </c>
      <c r="C373" s="99" t="str">
        <f t="shared" ref="C373:C374" si="295">IF(K373&gt;0,MID(K373,5, 1), 0)</f>
        <v>3</v>
      </c>
      <c r="D373" s="121">
        <f>COUNTIFS($F$33:F373,F373, $G$33:G373,G373, $C$33:C373,C373, $L$33:L373,L373)</f>
        <v>2</v>
      </c>
      <c r="E373" s="20">
        <v>1</v>
      </c>
      <c r="F373" s="20">
        <v>4</v>
      </c>
      <c r="G373" s="20">
        <v>1</v>
      </c>
      <c r="H373" s="103" t="s">
        <v>963</v>
      </c>
      <c r="I373" s="20" t="s">
        <v>2154</v>
      </c>
      <c r="J373" s="104" t="str">
        <f t="shared" si="285"/>
        <v>Item_Name_13164002</v>
      </c>
      <c r="K373" s="20">
        <v>10103001</v>
      </c>
      <c r="L373" s="108">
        <f t="shared" si="292"/>
        <v>6</v>
      </c>
      <c r="M373" s="105">
        <f>IF(D373=0, 0, _xlfn.XLOOKUP($F373,'#무게관련'!$B:$B,'#무게관련'!$C:$C)*_xlfn.XLOOKUP($L373,'#무게관련'!$F:$F,'#무게관련'!$G:$G)*100)</f>
        <v>6000</v>
      </c>
      <c r="N373" s="20">
        <v>20700</v>
      </c>
      <c r="O373" s="20">
        <v>3</v>
      </c>
      <c r="P373" s="20">
        <v>15</v>
      </c>
      <c r="Q373" s="20">
        <v>1</v>
      </c>
      <c r="R373" s="20">
        <v>100</v>
      </c>
      <c r="S373" s="20">
        <v>1</v>
      </c>
      <c r="T373" s="109" t="s">
        <v>1873</v>
      </c>
      <c r="U373" s="104" t="str">
        <f t="shared" ref="U373:U374" si="296">"item_bg_grade_0"&amp;L373</f>
        <v>item_bg_grade_06</v>
      </c>
      <c r="V373" s="20" t="s">
        <v>527</v>
      </c>
      <c r="W373" s="20" t="s">
        <v>331</v>
      </c>
      <c r="X373" s="104">
        <v>0</v>
      </c>
      <c r="Y373" s="104">
        <v>0</v>
      </c>
      <c r="Z373" s="104">
        <v>0</v>
      </c>
      <c r="AA373" s="104">
        <v>0</v>
      </c>
      <c r="AB373" s="104">
        <v>0</v>
      </c>
      <c r="AC373" s="104">
        <v>0</v>
      </c>
      <c r="AD373" s="142">
        <v>0</v>
      </c>
      <c r="AE373" s="112">
        <f t="shared" si="293"/>
        <v>70</v>
      </c>
      <c r="AF373" s="70">
        <v>3504010</v>
      </c>
      <c r="AG373" s="105" cm="1">
        <f t="array" ref="AG373">_xlfn.SWITCH(L373,3,1,
           4,1,
           5,1,
           6,1,0)</f>
        <v>1</v>
      </c>
      <c r="AH373" s="146">
        <f t="shared" si="294"/>
        <v>0</v>
      </c>
      <c r="AI373" s="90">
        <v>6004</v>
      </c>
      <c r="AJ373" s="90">
        <v>3009</v>
      </c>
      <c r="AK373" s="27">
        <v>6004</v>
      </c>
      <c r="AL373" s="123">
        <f>_xlfn.XLOOKUP(H373,'#각종 참고'!$B$11:$B$20,'#각종 참고'!$D$11:$D$20)</f>
        <v>0</v>
      </c>
      <c r="AM373" s="27">
        <v>1</v>
      </c>
      <c r="AN373" s="27">
        <v>1</v>
      </c>
      <c r="AO373" s="124">
        <f t="shared" si="278"/>
        <v>1</v>
      </c>
      <c r="AP373" s="27">
        <v>1</v>
      </c>
      <c r="AQ373" s="21">
        <v>13164011</v>
      </c>
      <c r="AR373" s="21" t="s">
        <v>2471</v>
      </c>
      <c r="AS373" s="68"/>
      <c r="AT373" s="68"/>
      <c r="AU373" s="68"/>
    </row>
    <row r="374" spans="1:47" x14ac:dyDescent="0.3">
      <c r="A374" s="19" t="s">
        <v>513</v>
      </c>
      <c r="B374" s="109">
        <v>13164003</v>
      </c>
      <c r="C374" s="99" t="str">
        <f t="shared" si="295"/>
        <v>3</v>
      </c>
      <c r="D374" s="121">
        <f>COUNTIFS($F$33:F374,F374, $G$33:G374,G374, $C$33:C374,C374, $L$33:L374,L374)</f>
        <v>3</v>
      </c>
      <c r="E374" s="20">
        <v>1</v>
      </c>
      <c r="F374" s="20">
        <v>4</v>
      </c>
      <c r="G374" s="20">
        <v>1</v>
      </c>
      <c r="H374" s="103" t="s">
        <v>963</v>
      </c>
      <c r="I374" s="20" t="s">
        <v>2153</v>
      </c>
      <c r="J374" s="104" t="str">
        <f t="shared" si="285"/>
        <v>Item_Name_13164003</v>
      </c>
      <c r="K374" s="20">
        <v>10103001</v>
      </c>
      <c r="L374" s="108">
        <f t="shared" si="292"/>
        <v>6</v>
      </c>
      <c r="M374" s="105">
        <f>IF(D374=0, 0, _xlfn.XLOOKUP($F374,'#무게관련'!$B:$B,'#무게관련'!$C:$C)*_xlfn.XLOOKUP($L374,'#무게관련'!$F:$F,'#무게관련'!$G:$G)*100)</f>
        <v>6000</v>
      </c>
      <c r="N374" s="20">
        <v>20700</v>
      </c>
      <c r="O374" s="20">
        <v>3</v>
      </c>
      <c r="P374" s="20">
        <v>15</v>
      </c>
      <c r="Q374" s="20">
        <v>1</v>
      </c>
      <c r="R374" s="20">
        <v>100</v>
      </c>
      <c r="S374" s="20">
        <v>1</v>
      </c>
      <c r="T374" s="109" t="s">
        <v>1873</v>
      </c>
      <c r="U374" s="104" t="str">
        <f t="shared" si="296"/>
        <v>item_bg_grade_06</v>
      </c>
      <c r="V374" s="20" t="s">
        <v>527</v>
      </c>
      <c r="W374" s="20" t="s">
        <v>331</v>
      </c>
      <c r="X374" s="104">
        <v>0</v>
      </c>
      <c r="Y374" s="104">
        <v>0</v>
      </c>
      <c r="Z374" s="104">
        <v>0</v>
      </c>
      <c r="AA374" s="104">
        <v>0</v>
      </c>
      <c r="AB374" s="104">
        <v>0</v>
      </c>
      <c r="AC374" s="104">
        <v>0</v>
      </c>
      <c r="AD374" s="142">
        <v>0</v>
      </c>
      <c r="AE374" s="112">
        <f t="shared" si="293"/>
        <v>70</v>
      </c>
      <c r="AF374" s="70">
        <v>3504010</v>
      </c>
      <c r="AG374" s="105" cm="1">
        <f t="array" ref="AG374">_xlfn.SWITCH(L374,3,1,
           4,1,
           5,1,
           6,1,0)</f>
        <v>1</v>
      </c>
      <c r="AH374" s="146">
        <f t="shared" si="294"/>
        <v>0</v>
      </c>
      <c r="AI374" s="90">
        <v>6004</v>
      </c>
      <c r="AJ374" s="90">
        <v>3009</v>
      </c>
      <c r="AK374" s="27">
        <v>6004</v>
      </c>
      <c r="AL374" s="123">
        <f>_xlfn.XLOOKUP(H374,'#각종 참고'!$B$11:$B$20,'#각종 참고'!$D$11:$D$20)</f>
        <v>0</v>
      </c>
      <c r="AM374" s="27">
        <v>1</v>
      </c>
      <c r="AN374" s="27">
        <v>1</v>
      </c>
      <c r="AO374" s="124">
        <f t="shared" si="278"/>
        <v>1</v>
      </c>
      <c r="AP374" s="27">
        <v>1</v>
      </c>
      <c r="AQ374" s="21">
        <v>13164021</v>
      </c>
      <c r="AR374" s="21" t="s">
        <v>2472</v>
      </c>
      <c r="AS374" s="68"/>
      <c r="AT374" s="68"/>
      <c r="AU374" s="68"/>
    </row>
    <row r="375" spans="1:47" s="68" customFormat="1" x14ac:dyDescent="0.3">
      <c r="A375" s="65"/>
      <c r="B375" s="110">
        <v>14114001</v>
      </c>
      <c r="C375" s="99" t="str">
        <f t="shared" si="267"/>
        <v>4</v>
      </c>
      <c r="D375" s="120">
        <f>COUNTIFS($F$33:F375,F375, $G$33:G375,G375, $C$33:C375,C375, $L$33:L375,L375)</f>
        <v>1</v>
      </c>
      <c r="E375" s="20">
        <v>1</v>
      </c>
      <c r="F375" s="66">
        <v>4</v>
      </c>
      <c r="G375" s="66">
        <v>1</v>
      </c>
      <c r="H375" s="103" t="s">
        <v>963</v>
      </c>
      <c r="I375" s="66" t="s">
        <v>1730</v>
      </c>
      <c r="J375" s="104" t="str">
        <f t="shared" si="285"/>
        <v>Item_Name_14114001</v>
      </c>
      <c r="K375" s="66">
        <v>10104001</v>
      </c>
      <c r="L375" s="106">
        <f t="shared" si="292"/>
        <v>1</v>
      </c>
      <c r="M375" s="105">
        <f>IF(D375=0, 0, _xlfn.XLOOKUP($F375,'#무게관련'!$B:$B,'#무게관련'!$C:$C)*_xlfn.XLOOKUP($L375,'#무게관련'!$F:$F,'#무게관련'!$G:$G)*100)</f>
        <v>6000</v>
      </c>
      <c r="N375" s="20">
        <v>20700</v>
      </c>
      <c r="O375" s="20">
        <v>4</v>
      </c>
      <c r="P375" s="66">
        <v>15</v>
      </c>
      <c r="Q375" s="20">
        <v>1</v>
      </c>
      <c r="R375" s="66">
        <v>100</v>
      </c>
      <c r="S375" s="66">
        <v>1</v>
      </c>
      <c r="T375" s="66" t="s">
        <v>1869</v>
      </c>
      <c r="U375" s="104" t="str">
        <f t="shared" si="224"/>
        <v>item_bg_grade_01</v>
      </c>
      <c r="V375" s="66" t="s">
        <v>528</v>
      </c>
      <c r="W375" s="66" t="s">
        <v>331</v>
      </c>
      <c r="X375" s="104">
        <v>0</v>
      </c>
      <c r="Y375" s="104">
        <v>0</v>
      </c>
      <c r="Z375" s="104">
        <v>0</v>
      </c>
      <c r="AA375" s="104">
        <v>0</v>
      </c>
      <c r="AB375" s="104">
        <v>0</v>
      </c>
      <c r="AC375" s="104">
        <v>0</v>
      </c>
      <c r="AD375" s="142">
        <v>0</v>
      </c>
      <c r="AE375" s="111">
        <f t="shared" si="293"/>
        <v>10</v>
      </c>
      <c r="AF375" s="70">
        <v>4104010</v>
      </c>
      <c r="AG375" s="105" cm="1">
        <f t="array" ref="AG375">_xlfn.SWITCH(L375,3,1,
           4,1,
           5,1,
           6,1,0)</f>
        <v>0</v>
      </c>
      <c r="AH375" s="146">
        <f t="shared" si="294"/>
        <v>80101101</v>
      </c>
      <c r="AI375" s="90">
        <v>0</v>
      </c>
      <c r="AJ375" s="90">
        <v>0</v>
      </c>
      <c r="AK375" s="27">
        <v>0</v>
      </c>
      <c r="AL375" s="123">
        <f>_xlfn.XLOOKUP(H375,'#각종 참고'!$B$11:$B$20,'#각종 참고'!$D$11:$D$20)</f>
        <v>0</v>
      </c>
      <c r="AM375" s="27">
        <v>1</v>
      </c>
      <c r="AN375" s="27">
        <v>1</v>
      </c>
      <c r="AO375" s="124">
        <f t="shared" si="278"/>
        <v>1</v>
      </c>
      <c r="AP375" s="27">
        <v>1</v>
      </c>
      <c r="AQ375" s="21">
        <v>14114001</v>
      </c>
      <c r="AR375" s="68" t="s">
        <v>1730</v>
      </c>
    </row>
    <row r="376" spans="1:47" s="68" customFormat="1" x14ac:dyDescent="0.3">
      <c r="A376" s="65"/>
      <c r="B376" s="110">
        <v>14114002</v>
      </c>
      <c r="C376" s="99" t="str">
        <f t="shared" ref="C376:C377" si="297">IF(K376&gt;0,MID(K376,5, 1), 0)</f>
        <v>4</v>
      </c>
      <c r="D376" s="120">
        <f>COUNTIFS($F$33:F376,F376, $G$33:G376,G376, $C$33:C376,C376, $L$33:L376,L376)</f>
        <v>2</v>
      </c>
      <c r="E376" s="20">
        <v>1</v>
      </c>
      <c r="F376" s="66">
        <v>4</v>
      </c>
      <c r="G376" s="66">
        <v>1</v>
      </c>
      <c r="H376" s="103" t="s">
        <v>963</v>
      </c>
      <c r="I376" s="66" t="s">
        <v>2156</v>
      </c>
      <c r="J376" s="104" t="str">
        <f t="shared" si="285"/>
        <v>Item_Name_14114002</v>
      </c>
      <c r="K376" s="66">
        <v>10104001</v>
      </c>
      <c r="L376" s="106">
        <f t="shared" si="292"/>
        <v>1</v>
      </c>
      <c r="M376" s="105">
        <f>IF(D376=0, 0, _xlfn.XLOOKUP($F376,'#무게관련'!$B:$B,'#무게관련'!$C:$C)*_xlfn.XLOOKUP($L376,'#무게관련'!$F:$F,'#무게관련'!$G:$G)*100)</f>
        <v>6000</v>
      </c>
      <c r="N376" s="20">
        <v>20700</v>
      </c>
      <c r="O376" s="20">
        <v>4</v>
      </c>
      <c r="P376" s="66">
        <v>15</v>
      </c>
      <c r="Q376" s="20">
        <v>1</v>
      </c>
      <c r="R376" s="66">
        <v>100</v>
      </c>
      <c r="S376" s="66">
        <v>1</v>
      </c>
      <c r="T376" s="66" t="s">
        <v>1869</v>
      </c>
      <c r="U376" s="104" t="str">
        <f t="shared" ref="U376:U377" si="298">"item_bg_grade_0"&amp;L376</f>
        <v>item_bg_grade_01</v>
      </c>
      <c r="V376" s="66" t="s">
        <v>528</v>
      </c>
      <c r="W376" s="66" t="s">
        <v>331</v>
      </c>
      <c r="X376" s="104">
        <v>0</v>
      </c>
      <c r="Y376" s="104">
        <v>0</v>
      </c>
      <c r="Z376" s="104">
        <v>0</v>
      </c>
      <c r="AA376" s="104">
        <v>0</v>
      </c>
      <c r="AB376" s="104">
        <v>0</v>
      </c>
      <c r="AC376" s="104">
        <v>0</v>
      </c>
      <c r="AD376" s="142">
        <v>0</v>
      </c>
      <c r="AE376" s="111">
        <f t="shared" si="293"/>
        <v>10</v>
      </c>
      <c r="AF376" s="70">
        <v>4104020</v>
      </c>
      <c r="AG376" s="105" cm="1">
        <f t="array" ref="AG376">_xlfn.SWITCH(L376,3,1,
           4,1,
           5,1,
           6,1,0)</f>
        <v>0</v>
      </c>
      <c r="AH376" s="146">
        <f t="shared" si="294"/>
        <v>80101101</v>
      </c>
      <c r="AI376" s="90">
        <v>0</v>
      </c>
      <c r="AJ376" s="90">
        <v>0</v>
      </c>
      <c r="AK376" s="27">
        <v>0</v>
      </c>
      <c r="AL376" s="123">
        <f>_xlfn.XLOOKUP(H376,'#각종 참고'!$B$11:$B$20,'#각종 참고'!$D$11:$D$20)</f>
        <v>0</v>
      </c>
      <c r="AM376" s="27">
        <v>1</v>
      </c>
      <c r="AN376" s="27">
        <v>1</v>
      </c>
      <c r="AO376" s="124">
        <f t="shared" si="278"/>
        <v>1</v>
      </c>
      <c r="AP376" s="27">
        <v>1</v>
      </c>
      <c r="AQ376" s="21">
        <v>14114011</v>
      </c>
      <c r="AR376" s="68" t="s">
        <v>2473</v>
      </c>
    </row>
    <row r="377" spans="1:47" s="68" customFormat="1" x14ac:dyDescent="0.3">
      <c r="A377" s="65"/>
      <c r="B377" s="110">
        <v>14114003</v>
      </c>
      <c r="C377" s="99" t="str">
        <f t="shared" si="297"/>
        <v>4</v>
      </c>
      <c r="D377" s="120">
        <f>COUNTIFS($F$33:F377,F377, $G$33:G377,G377, $C$33:C377,C377, $L$33:L377,L377)</f>
        <v>3</v>
      </c>
      <c r="E377" s="20">
        <v>1</v>
      </c>
      <c r="F377" s="66">
        <v>4</v>
      </c>
      <c r="G377" s="66">
        <v>1</v>
      </c>
      <c r="H377" s="103" t="s">
        <v>963</v>
      </c>
      <c r="I377" s="66" t="s">
        <v>2155</v>
      </c>
      <c r="J377" s="104" t="str">
        <f t="shared" si="285"/>
        <v>Item_Name_14114003</v>
      </c>
      <c r="K377" s="66">
        <v>10104001</v>
      </c>
      <c r="L377" s="106">
        <f t="shared" si="292"/>
        <v>1</v>
      </c>
      <c r="M377" s="105">
        <f>IF(D377=0, 0, _xlfn.XLOOKUP($F377,'#무게관련'!$B:$B,'#무게관련'!$C:$C)*_xlfn.XLOOKUP($L377,'#무게관련'!$F:$F,'#무게관련'!$G:$G)*100)</f>
        <v>6000</v>
      </c>
      <c r="N377" s="20">
        <v>20700</v>
      </c>
      <c r="O377" s="20">
        <v>4</v>
      </c>
      <c r="P377" s="66">
        <v>15</v>
      </c>
      <c r="Q377" s="20">
        <v>1</v>
      </c>
      <c r="R377" s="66">
        <v>100</v>
      </c>
      <c r="S377" s="66">
        <v>1</v>
      </c>
      <c r="T377" s="66" t="s">
        <v>1869</v>
      </c>
      <c r="U377" s="104" t="str">
        <f t="shared" si="298"/>
        <v>item_bg_grade_01</v>
      </c>
      <c r="V377" s="66" t="s">
        <v>528</v>
      </c>
      <c r="W377" s="66" t="s">
        <v>331</v>
      </c>
      <c r="X377" s="104">
        <v>0</v>
      </c>
      <c r="Y377" s="104">
        <v>0</v>
      </c>
      <c r="Z377" s="104">
        <v>0</v>
      </c>
      <c r="AA377" s="104">
        <v>0</v>
      </c>
      <c r="AB377" s="104">
        <v>0</v>
      </c>
      <c r="AC377" s="104">
        <v>0</v>
      </c>
      <c r="AD377" s="142">
        <v>0</v>
      </c>
      <c r="AE377" s="111">
        <f t="shared" si="293"/>
        <v>10</v>
      </c>
      <c r="AF377" s="70">
        <v>4104030</v>
      </c>
      <c r="AG377" s="105" cm="1">
        <f t="array" ref="AG377">_xlfn.SWITCH(L377,3,1,
           4,1,
           5,1,
           6,1,0)</f>
        <v>0</v>
      </c>
      <c r="AH377" s="146">
        <f t="shared" si="294"/>
        <v>80101101</v>
      </c>
      <c r="AI377" s="90">
        <v>0</v>
      </c>
      <c r="AJ377" s="90">
        <v>0</v>
      </c>
      <c r="AK377" s="27">
        <v>0</v>
      </c>
      <c r="AL377" s="123">
        <f>_xlfn.XLOOKUP(H377,'#각종 참고'!$B$11:$B$20,'#각종 참고'!$D$11:$D$20)</f>
        <v>0</v>
      </c>
      <c r="AM377" s="27">
        <v>1</v>
      </c>
      <c r="AN377" s="27">
        <v>1</v>
      </c>
      <c r="AO377" s="124">
        <f t="shared" si="278"/>
        <v>1</v>
      </c>
      <c r="AP377" s="27">
        <v>1</v>
      </c>
      <c r="AQ377" s="21">
        <v>14114021</v>
      </c>
      <c r="AR377" s="68" t="s">
        <v>2474</v>
      </c>
    </row>
    <row r="378" spans="1:47" x14ac:dyDescent="0.3">
      <c r="A378" s="19"/>
      <c r="B378" s="109">
        <v>14124001</v>
      </c>
      <c r="C378" s="99" t="str">
        <f t="shared" si="267"/>
        <v>4</v>
      </c>
      <c r="D378" s="121">
        <f>COUNTIFS($F$33:F378,F378, $G$33:G378,G378, $C$33:C378,C378, $L$33:L378,L378)</f>
        <v>1</v>
      </c>
      <c r="E378" s="20">
        <v>1</v>
      </c>
      <c r="F378" s="20">
        <v>4</v>
      </c>
      <c r="G378" s="20">
        <v>1</v>
      </c>
      <c r="H378" s="103" t="s">
        <v>963</v>
      </c>
      <c r="I378" s="20" t="s">
        <v>1731</v>
      </c>
      <c r="J378" s="104" t="str">
        <f t="shared" si="285"/>
        <v>Item_Name_14124001</v>
      </c>
      <c r="K378" s="20">
        <v>10104001</v>
      </c>
      <c r="L378" s="107">
        <f t="shared" si="292"/>
        <v>2</v>
      </c>
      <c r="M378" s="105">
        <f>IF(D378=0, 0, _xlfn.XLOOKUP($F378,'#무게관련'!$B:$B,'#무게관련'!$C:$C)*_xlfn.XLOOKUP($L378,'#무게관련'!$F:$F,'#무게관련'!$G:$G)*100)</f>
        <v>6000</v>
      </c>
      <c r="N378" s="20">
        <v>20700</v>
      </c>
      <c r="O378" s="20">
        <v>4</v>
      </c>
      <c r="P378" s="20">
        <v>15</v>
      </c>
      <c r="Q378" s="20">
        <v>1</v>
      </c>
      <c r="R378" s="20">
        <v>100</v>
      </c>
      <c r="S378" s="20">
        <v>1</v>
      </c>
      <c r="T378" s="20" t="s">
        <v>1870</v>
      </c>
      <c r="U378" s="104" t="str">
        <f t="shared" si="224"/>
        <v>item_bg_grade_02</v>
      </c>
      <c r="V378" s="20" t="s">
        <v>528</v>
      </c>
      <c r="W378" s="20" t="s">
        <v>331</v>
      </c>
      <c r="X378" s="104">
        <v>0</v>
      </c>
      <c r="Y378" s="104">
        <v>0</v>
      </c>
      <c r="Z378" s="104">
        <v>0</v>
      </c>
      <c r="AA378" s="104">
        <v>0</v>
      </c>
      <c r="AB378" s="104">
        <v>0</v>
      </c>
      <c r="AC378" s="104">
        <v>0</v>
      </c>
      <c r="AD378" s="142">
        <v>0</v>
      </c>
      <c r="AE378" s="112">
        <f t="shared" si="293"/>
        <v>20</v>
      </c>
      <c r="AF378" s="70">
        <v>4204010</v>
      </c>
      <c r="AG378" s="105" cm="1">
        <f t="array" ref="AG378">_xlfn.SWITCH(L378,3,1,
           4,1,
           5,1,
           6,1,0)</f>
        <v>0</v>
      </c>
      <c r="AH378" s="146">
        <f t="shared" si="294"/>
        <v>80101201</v>
      </c>
      <c r="AI378" s="90">
        <v>6000</v>
      </c>
      <c r="AJ378" s="90">
        <v>3001</v>
      </c>
      <c r="AK378" s="27">
        <v>2004</v>
      </c>
      <c r="AL378" s="123">
        <f>_xlfn.XLOOKUP(H378,'#각종 참고'!$B$11:$B$20,'#각종 참고'!$D$11:$D$20)</f>
        <v>0</v>
      </c>
      <c r="AM378" s="27">
        <v>1</v>
      </c>
      <c r="AN378" s="27">
        <v>1</v>
      </c>
      <c r="AO378" s="124">
        <f t="shared" si="278"/>
        <v>1</v>
      </c>
      <c r="AP378" s="27">
        <v>1</v>
      </c>
      <c r="AQ378" s="21">
        <v>14124001</v>
      </c>
      <c r="AR378" s="21" t="s">
        <v>1731</v>
      </c>
      <c r="AS378" s="68"/>
      <c r="AT378" s="68"/>
      <c r="AU378" s="68"/>
    </row>
    <row r="379" spans="1:47" x14ac:dyDescent="0.3">
      <c r="A379" s="19"/>
      <c r="B379" s="109">
        <v>14124002</v>
      </c>
      <c r="C379" s="99" t="str">
        <f t="shared" ref="C379:C380" si="299">IF(K379&gt;0,MID(K379,5, 1), 0)</f>
        <v>4</v>
      </c>
      <c r="D379" s="121">
        <f>COUNTIFS($F$33:F379,F379, $G$33:G379,G379, $C$33:C379,C379, $L$33:L379,L379)</f>
        <v>2</v>
      </c>
      <c r="E379" s="20">
        <v>1</v>
      </c>
      <c r="F379" s="20">
        <v>4</v>
      </c>
      <c r="G379" s="20">
        <v>1</v>
      </c>
      <c r="H379" s="103" t="s">
        <v>963</v>
      </c>
      <c r="I379" s="20" t="s">
        <v>2157</v>
      </c>
      <c r="J379" s="104" t="str">
        <f t="shared" si="285"/>
        <v>Item_Name_14124002</v>
      </c>
      <c r="K379" s="20">
        <v>10104001</v>
      </c>
      <c r="L379" s="107">
        <f t="shared" si="292"/>
        <v>2</v>
      </c>
      <c r="M379" s="105">
        <f>IF(D379=0, 0, _xlfn.XLOOKUP($F379,'#무게관련'!$B:$B,'#무게관련'!$C:$C)*_xlfn.XLOOKUP($L379,'#무게관련'!$F:$F,'#무게관련'!$G:$G)*100)</f>
        <v>6000</v>
      </c>
      <c r="N379" s="20">
        <v>20700</v>
      </c>
      <c r="O379" s="20">
        <v>4</v>
      </c>
      <c r="P379" s="20">
        <v>15</v>
      </c>
      <c r="Q379" s="20">
        <v>1</v>
      </c>
      <c r="R379" s="20">
        <v>100</v>
      </c>
      <c r="S379" s="20">
        <v>1</v>
      </c>
      <c r="T379" s="20" t="s">
        <v>1870</v>
      </c>
      <c r="U379" s="104" t="str">
        <f t="shared" ref="U379:U380" si="300">"item_bg_grade_0"&amp;L379</f>
        <v>item_bg_grade_02</v>
      </c>
      <c r="V379" s="20" t="s">
        <v>528</v>
      </c>
      <c r="W379" s="20" t="s">
        <v>331</v>
      </c>
      <c r="X379" s="104">
        <v>0</v>
      </c>
      <c r="Y379" s="104">
        <v>0</v>
      </c>
      <c r="Z379" s="104">
        <v>0</v>
      </c>
      <c r="AA379" s="104">
        <v>0</v>
      </c>
      <c r="AB379" s="104">
        <v>0</v>
      </c>
      <c r="AC379" s="104">
        <v>0</v>
      </c>
      <c r="AD379" s="142">
        <v>0</v>
      </c>
      <c r="AE379" s="112">
        <f t="shared" si="293"/>
        <v>20</v>
      </c>
      <c r="AF379" s="70">
        <v>4204020</v>
      </c>
      <c r="AG379" s="105" cm="1">
        <f t="array" ref="AG379">_xlfn.SWITCH(L379,3,1,
           4,1,
           5,1,
           6,1,0)</f>
        <v>0</v>
      </c>
      <c r="AH379" s="146">
        <f t="shared" si="294"/>
        <v>80101201</v>
      </c>
      <c r="AI379" s="90">
        <v>6000</v>
      </c>
      <c r="AJ379" s="90">
        <v>3001</v>
      </c>
      <c r="AK379" s="27">
        <v>2004</v>
      </c>
      <c r="AL379" s="123">
        <f>_xlfn.XLOOKUP(H379,'#각종 참고'!$B$11:$B$20,'#각종 참고'!$D$11:$D$20)</f>
        <v>0</v>
      </c>
      <c r="AM379" s="27">
        <v>1</v>
      </c>
      <c r="AN379" s="27">
        <v>1</v>
      </c>
      <c r="AO379" s="124">
        <f t="shared" si="278"/>
        <v>1</v>
      </c>
      <c r="AP379" s="27">
        <v>1</v>
      </c>
      <c r="AQ379" s="21">
        <v>14124011</v>
      </c>
      <c r="AR379" s="21" t="s">
        <v>2475</v>
      </c>
      <c r="AS379" s="68"/>
      <c r="AT379" s="68"/>
      <c r="AU379" s="68"/>
    </row>
    <row r="380" spans="1:47" x14ac:dyDescent="0.3">
      <c r="A380" s="19"/>
      <c r="B380" s="109">
        <v>14124003</v>
      </c>
      <c r="C380" s="99" t="str">
        <f t="shared" si="299"/>
        <v>4</v>
      </c>
      <c r="D380" s="121">
        <f>COUNTIFS($F$33:F380,F380, $G$33:G380,G380, $C$33:C380,C380, $L$33:L380,L380)</f>
        <v>3</v>
      </c>
      <c r="E380" s="20">
        <v>1</v>
      </c>
      <c r="F380" s="20">
        <v>4</v>
      </c>
      <c r="G380" s="20">
        <v>1</v>
      </c>
      <c r="H380" s="103" t="s">
        <v>963</v>
      </c>
      <c r="I380" s="20" t="s">
        <v>2023</v>
      </c>
      <c r="J380" s="104" t="str">
        <f t="shared" si="285"/>
        <v>Item_Name_14124003</v>
      </c>
      <c r="K380" s="20">
        <v>10104001</v>
      </c>
      <c r="L380" s="107">
        <f t="shared" si="292"/>
        <v>2</v>
      </c>
      <c r="M380" s="105">
        <f>IF(D380=0, 0, _xlfn.XLOOKUP($F380,'#무게관련'!$B:$B,'#무게관련'!$C:$C)*_xlfn.XLOOKUP($L380,'#무게관련'!$F:$F,'#무게관련'!$G:$G)*100)</f>
        <v>6000</v>
      </c>
      <c r="N380" s="20">
        <v>20700</v>
      </c>
      <c r="O380" s="20">
        <v>4</v>
      </c>
      <c r="P380" s="20">
        <v>15</v>
      </c>
      <c r="Q380" s="20">
        <v>1</v>
      </c>
      <c r="R380" s="20">
        <v>100</v>
      </c>
      <c r="S380" s="20">
        <v>1</v>
      </c>
      <c r="T380" s="20" t="s">
        <v>1870</v>
      </c>
      <c r="U380" s="104" t="str">
        <f t="shared" si="300"/>
        <v>item_bg_grade_02</v>
      </c>
      <c r="V380" s="20" t="s">
        <v>528</v>
      </c>
      <c r="W380" s="20" t="s">
        <v>331</v>
      </c>
      <c r="X380" s="104">
        <v>0</v>
      </c>
      <c r="Y380" s="104">
        <v>0</v>
      </c>
      <c r="Z380" s="104">
        <v>0</v>
      </c>
      <c r="AA380" s="104">
        <v>0</v>
      </c>
      <c r="AB380" s="104">
        <v>0</v>
      </c>
      <c r="AC380" s="104">
        <v>0</v>
      </c>
      <c r="AD380" s="142">
        <v>0</v>
      </c>
      <c r="AE380" s="112">
        <f t="shared" si="293"/>
        <v>20</v>
      </c>
      <c r="AF380" s="70">
        <v>4204030</v>
      </c>
      <c r="AG380" s="105" cm="1">
        <f t="array" ref="AG380">_xlfn.SWITCH(L380,3,1,
           4,1,
           5,1,
           6,1,0)</f>
        <v>0</v>
      </c>
      <c r="AH380" s="146">
        <f t="shared" si="294"/>
        <v>80101201</v>
      </c>
      <c r="AI380" s="90">
        <v>6000</v>
      </c>
      <c r="AJ380" s="90">
        <v>3001</v>
      </c>
      <c r="AK380" s="27">
        <v>2004</v>
      </c>
      <c r="AL380" s="123">
        <f>_xlfn.XLOOKUP(H380,'#각종 참고'!$B$11:$B$20,'#각종 참고'!$D$11:$D$20)</f>
        <v>0</v>
      </c>
      <c r="AM380" s="27">
        <v>1</v>
      </c>
      <c r="AN380" s="27">
        <v>1</v>
      </c>
      <c r="AO380" s="124">
        <f t="shared" si="278"/>
        <v>1</v>
      </c>
      <c r="AP380" s="27">
        <v>1</v>
      </c>
      <c r="AQ380" s="21">
        <v>14124021</v>
      </c>
      <c r="AR380" s="21" t="s">
        <v>2476</v>
      </c>
      <c r="AS380" s="68"/>
      <c r="AT380" s="68"/>
      <c r="AU380" s="68"/>
    </row>
    <row r="381" spans="1:47" x14ac:dyDescent="0.3">
      <c r="A381" s="19"/>
      <c r="B381" s="109">
        <v>14134001</v>
      </c>
      <c r="C381" s="99" t="str">
        <f t="shared" si="267"/>
        <v>4</v>
      </c>
      <c r="D381" s="121">
        <f>COUNTIFS($F$33:F381,F381, $G$33:G381,G381, $C$33:C381,C381, $L$33:L381,L381)</f>
        <v>1</v>
      </c>
      <c r="E381" s="20">
        <v>1</v>
      </c>
      <c r="F381" s="20">
        <v>4</v>
      </c>
      <c r="G381" s="20">
        <v>1</v>
      </c>
      <c r="H381" s="103" t="s">
        <v>963</v>
      </c>
      <c r="I381" s="20" t="s">
        <v>1732</v>
      </c>
      <c r="J381" s="104" t="str">
        <f t="shared" si="285"/>
        <v>Item_Name_14134001</v>
      </c>
      <c r="K381" s="20">
        <v>10104001</v>
      </c>
      <c r="L381" s="107">
        <f t="shared" si="292"/>
        <v>3</v>
      </c>
      <c r="M381" s="105">
        <f>IF(D381=0, 0, _xlfn.XLOOKUP($F381,'#무게관련'!$B:$B,'#무게관련'!$C:$C)*_xlfn.XLOOKUP($L381,'#무게관련'!$F:$F,'#무게관련'!$G:$G)*100)</f>
        <v>6000</v>
      </c>
      <c r="N381" s="20">
        <v>20700</v>
      </c>
      <c r="O381" s="20">
        <v>4</v>
      </c>
      <c r="P381" s="20">
        <v>15</v>
      </c>
      <c r="Q381" s="20">
        <v>1</v>
      </c>
      <c r="R381" s="20">
        <v>100</v>
      </c>
      <c r="S381" s="20">
        <v>1</v>
      </c>
      <c r="T381" s="20" t="s">
        <v>1871</v>
      </c>
      <c r="U381" s="104" t="str">
        <f t="shared" si="224"/>
        <v>item_bg_grade_03</v>
      </c>
      <c r="V381" s="20" t="s">
        <v>528</v>
      </c>
      <c r="W381" s="20" t="s">
        <v>331</v>
      </c>
      <c r="X381" s="104">
        <v>0</v>
      </c>
      <c r="Y381" s="104">
        <v>0</v>
      </c>
      <c r="Z381" s="104">
        <v>0</v>
      </c>
      <c r="AA381" s="104">
        <v>0</v>
      </c>
      <c r="AB381" s="104">
        <v>0</v>
      </c>
      <c r="AC381" s="104">
        <v>0</v>
      </c>
      <c r="AD381" s="142">
        <v>0</v>
      </c>
      <c r="AE381" s="112">
        <f t="shared" si="293"/>
        <v>30</v>
      </c>
      <c r="AF381" s="70">
        <v>4304010</v>
      </c>
      <c r="AG381" s="105" cm="1">
        <f t="array" ref="AG381">_xlfn.SWITCH(L381,3,1,
           4,1,
           5,1,
           6,1,0)</f>
        <v>1</v>
      </c>
      <c r="AH381" s="146">
        <f t="shared" si="294"/>
        <v>80101301</v>
      </c>
      <c r="AI381" s="90">
        <v>6001</v>
      </c>
      <c r="AJ381" s="90">
        <v>3003</v>
      </c>
      <c r="AK381" s="27">
        <v>3004</v>
      </c>
      <c r="AL381" s="123">
        <f>_xlfn.XLOOKUP(H381,'#각종 참고'!$B$11:$B$20,'#각종 참고'!$D$11:$D$20)</f>
        <v>0</v>
      </c>
      <c r="AM381" s="27">
        <v>1</v>
      </c>
      <c r="AN381" s="27">
        <v>1</v>
      </c>
      <c r="AO381" s="124">
        <f t="shared" si="278"/>
        <v>1</v>
      </c>
      <c r="AP381" s="27">
        <v>1</v>
      </c>
      <c r="AQ381" s="21">
        <v>14134001</v>
      </c>
      <c r="AR381" s="21" t="s">
        <v>1732</v>
      </c>
      <c r="AS381" s="68"/>
      <c r="AT381" s="68"/>
      <c r="AU381" s="68"/>
    </row>
    <row r="382" spans="1:47" x14ac:dyDescent="0.3">
      <c r="A382" s="19"/>
      <c r="B382" s="109">
        <v>14134002</v>
      </c>
      <c r="C382" s="99" t="str">
        <f t="shared" ref="C382:C383" si="301">IF(K382&gt;0,MID(K382,5, 1), 0)</f>
        <v>4</v>
      </c>
      <c r="D382" s="121">
        <f>COUNTIFS($F$33:F382,F382, $G$33:G382,G382, $C$33:C382,C382, $L$33:L382,L382)</f>
        <v>2</v>
      </c>
      <c r="E382" s="20">
        <v>1</v>
      </c>
      <c r="F382" s="20">
        <v>4</v>
      </c>
      <c r="G382" s="20">
        <v>1</v>
      </c>
      <c r="H382" s="103" t="s">
        <v>963</v>
      </c>
      <c r="I382" s="20" t="s">
        <v>1733</v>
      </c>
      <c r="J382" s="104" t="str">
        <f t="shared" si="285"/>
        <v>Item_Name_14134002</v>
      </c>
      <c r="K382" s="20">
        <v>10104001</v>
      </c>
      <c r="L382" s="107">
        <f t="shared" si="292"/>
        <v>3</v>
      </c>
      <c r="M382" s="105">
        <f>IF(D382=0, 0, _xlfn.XLOOKUP($F382,'#무게관련'!$B:$B,'#무게관련'!$C:$C)*_xlfn.XLOOKUP($L382,'#무게관련'!$F:$F,'#무게관련'!$G:$G)*100)</f>
        <v>6000</v>
      </c>
      <c r="N382" s="20">
        <v>20700</v>
      </c>
      <c r="O382" s="20">
        <v>4</v>
      </c>
      <c r="P382" s="20">
        <v>15</v>
      </c>
      <c r="Q382" s="20">
        <v>1</v>
      </c>
      <c r="R382" s="20">
        <v>100</v>
      </c>
      <c r="S382" s="20">
        <v>1</v>
      </c>
      <c r="T382" s="20" t="s">
        <v>1871</v>
      </c>
      <c r="U382" s="104" t="str">
        <f t="shared" ref="U382:U383" si="302">"item_bg_grade_0"&amp;L382</f>
        <v>item_bg_grade_03</v>
      </c>
      <c r="V382" s="20" t="s">
        <v>528</v>
      </c>
      <c r="W382" s="20" t="s">
        <v>331</v>
      </c>
      <c r="X382" s="104">
        <v>0</v>
      </c>
      <c r="Y382" s="104">
        <v>0</v>
      </c>
      <c r="Z382" s="104">
        <v>0</v>
      </c>
      <c r="AA382" s="104">
        <v>0</v>
      </c>
      <c r="AB382" s="104">
        <v>0</v>
      </c>
      <c r="AC382" s="104">
        <v>0</v>
      </c>
      <c r="AD382" s="142">
        <v>0</v>
      </c>
      <c r="AE382" s="112">
        <f t="shared" si="293"/>
        <v>30</v>
      </c>
      <c r="AF382" s="70">
        <v>4304020</v>
      </c>
      <c r="AG382" s="105" cm="1">
        <f t="array" ref="AG382">_xlfn.SWITCH(L382,3,1,
           4,1,
           5,1,
           6,1,0)</f>
        <v>1</v>
      </c>
      <c r="AH382" s="146">
        <f t="shared" si="294"/>
        <v>80101301</v>
      </c>
      <c r="AI382" s="90">
        <v>6001</v>
      </c>
      <c r="AJ382" s="90">
        <v>3003</v>
      </c>
      <c r="AK382" s="27">
        <v>3004</v>
      </c>
      <c r="AL382" s="123">
        <f>_xlfn.XLOOKUP(H382,'#각종 참고'!$B$11:$B$20,'#각종 참고'!$D$11:$D$20)</f>
        <v>0</v>
      </c>
      <c r="AM382" s="27">
        <v>1</v>
      </c>
      <c r="AN382" s="27">
        <v>1</v>
      </c>
      <c r="AO382" s="124">
        <f t="shared" si="278"/>
        <v>1</v>
      </c>
      <c r="AP382" s="27">
        <v>1</v>
      </c>
      <c r="AQ382" s="21">
        <v>14134011</v>
      </c>
      <c r="AR382" s="21" t="s">
        <v>2477</v>
      </c>
      <c r="AS382" s="68"/>
      <c r="AT382" s="68"/>
      <c r="AU382" s="68"/>
    </row>
    <row r="383" spans="1:47" x14ac:dyDescent="0.3">
      <c r="A383" s="19"/>
      <c r="B383" s="109">
        <v>14134003</v>
      </c>
      <c r="C383" s="99" t="str">
        <f t="shared" si="301"/>
        <v>4</v>
      </c>
      <c r="D383" s="121">
        <f>COUNTIFS($F$33:F383,F383, $G$33:G383,G383, $C$33:C383,C383, $L$33:L383,L383)</f>
        <v>3</v>
      </c>
      <c r="E383" s="20">
        <v>1</v>
      </c>
      <c r="F383" s="20">
        <v>4</v>
      </c>
      <c r="G383" s="20">
        <v>1</v>
      </c>
      <c r="H383" s="103" t="s">
        <v>963</v>
      </c>
      <c r="I383" s="20" t="s">
        <v>2158</v>
      </c>
      <c r="J383" s="104" t="str">
        <f t="shared" si="285"/>
        <v>Item_Name_14134003</v>
      </c>
      <c r="K383" s="20">
        <v>10104001</v>
      </c>
      <c r="L383" s="107">
        <f t="shared" si="292"/>
        <v>3</v>
      </c>
      <c r="M383" s="105">
        <f>IF(D383=0, 0, _xlfn.XLOOKUP($F383,'#무게관련'!$B:$B,'#무게관련'!$C:$C)*_xlfn.XLOOKUP($L383,'#무게관련'!$F:$F,'#무게관련'!$G:$G)*100)</f>
        <v>6000</v>
      </c>
      <c r="N383" s="20">
        <v>20700</v>
      </c>
      <c r="O383" s="20">
        <v>4</v>
      </c>
      <c r="P383" s="20">
        <v>15</v>
      </c>
      <c r="Q383" s="20">
        <v>1</v>
      </c>
      <c r="R383" s="20">
        <v>100</v>
      </c>
      <c r="S383" s="20">
        <v>1</v>
      </c>
      <c r="T383" s="20" t="s">
        <v>1871</v>
      </c>
      <c r="U383" s="104" t="str">
        <f t="shared" si="302"/>
        <v>item_bg_grade_03</v>
      </c>
      <c r="V383" s="20" t="s">
        <v>528</v>
      </c>
      <c r="W383" s="20" t="s">
        <v>331</v>
      </c>
      <c r="X383" s="104">
        <v>0</v>
      </c>
      <c r="Y383" s="104">
        <v>0</v>
      </c>
      <c r="Z383" s="104">
        <v>0</v>
      </c>
      <c r="AA383" s="104">
        <v>0</v>
      </c>
      <c r="AB383" s="104">
        <v>0</v>
      </c>
      <c r="AC383" s="104">
        <v>0</v>
      </c>
      <c r="AD383" s="142">
        <v>0</v>
      </c>
      <c r="AE383" s="112">
        <f t="shared" si="293"/>
        <v>30</v>
      </c>
      <c r="AF383" s="70">
        <v>4304030</v>
      </c>
      <c r="AG383" s="105" cm="1">
        <f t="array" ref="AG383">_xlfn.SWITCH(L383,3,1,
           4,1,
           5,1,
           6,1,0)</f>
        <v>1</v>
      </c>
      <c r="AH383" s="146">
        <f t="shared" si="294"/>
        <v>80101301</v>
      </c>
      <c r="AI383" s="90">
        <v>6001</v>
      </c>
      <c r="AJ383" s="90">
        <v>3003</v>
      </c>
      <c r="AK383" s="27">
        <v>3004</v>
      </c>
      <c r="AL383" s="123">
        <f>_xlfn.XLOOKUP(H383,'#각종 참고'!$B$11:$B$20,'#각종 참고'!$D$11:$D$20)</f>
        <v>0</v>
      </c>
      <c r="AM383" s="27">
        <v>1</v>
      </c>
      <c r="AN383" s="27">
        <v>1</v>
      </c>
      <c r="AO383" s="124">
        <f t="shared" si="278"/>
        <v>1</v>
      </c>
      <c r="AP383" s="27">
        <v>1</v>
      </c>
      <c r="AQ383" s="21">
        <v>14134021</v>
      </c>
      <c r="AR383" s="21" t="s">
        <v>2478</v>
      </c>
      <c r="AS383" s="68"/>
      <c r="AT383" s="68"/>
      <c r="AU383" s="68"/>
    </row>
    <row r="384" spans="1:47" x14ac:dyDescent="0.3">
      <c r="A384" s="19"/>
      <c r="B384" s="109">
        <v>14144001</v>
      </c>
      <c r="C384" s="99" t="str">
        <f t="shared" si="267"/>
        <v>4</v>
      </c>
      <c r="D384" s="121">
        <f>COUNTIFS($F$33:F384,F384, $G$33:G384,G384, $C$33:C384,C384, $L$33:L384,L384)</f>
        <v>1</v>
      </c>
      <c r="E384" s="20">
        <v>1</v>
      </c>
      <c r="F384" s="20">
        <v>4</v>
      </c>
      <c r="G384" s="20">
        <v>1</v>
      </c>
      <c r="H384" s="103" t="s">
        <v>963</v>
      </c>
      <c r="I384" s="20" t="s">
        <v>1734</v>
      </c>
      <c r="J384" s="104" t="str">
        <f t="shared" si="285"/>
        <v>Item_Name_14144001</v>
      </c>
      <c r="K384" s="20">
        <v>10104001</v>
      </c>
      <c r="L384" s="107">
        <f t="shared" si="292"/>
        <v>4</v>
      </c>
      <c r="M384" s="105">
        <f>IF(D384=0, 0, _xlfn.XLOOKUP($F384,'#무게관련'!$B:$B,'#무게관련'!$C:$C)*_xlfn.XLOOKUP($L384,'#무게관련'!$F:$F,'#무게관련'!$G:$G)*100)</f>
        <v>6000</v>
      </c>
      <c r="N384" s="20">
        <v>20700</v>
      </c>
      <c r="O384" s="20">
        <v>4</v>
      </c>
      <c r="P384" s="20">
        <v>15</v>
      </c>
      <c r="Q384" s="20">
        <v>1</v>
      </c>
      <c r="R384" s="20">
        <v>100</v>
      </c>
      <c r="S384" s="20">
        <v>1</v>
      </c>
      <c r="T384" s="20" t="s">
        <v>1872</v>
      </c>
      <c r="U384" s="104" t="str">
        <f t="shared" si="224"/>
        <v>item_bg_grade_04</v>
      </c>
      <c r="V384" s="20" t="s">
        <v>528</v>
      </c>
      <c r="W384" s="20" t="s">
        <v>331</v>
      </c>
      <c r="X384" s="104">
        <v>0</v>
      </c>
      <c r="Y384" s="104">
        <v>0</v>
      </c>
      <c r="Z384" s="104">
        <v>0</v>
      </c>
      <c r="AA384" s="104">
        <v>0</v>
      </c>
      <c r="AB384" s="104">
        <v>0</v>
      </c>
      <c r="AC384" s="104">
        <v>0</v>
      </c>
      <c r="AD384" s="142">
        <v>0</v>
      </c>
      <c r="AE384" s="112">
        <f t="shared" si="293"/>
        <v>40</v>
      </c>
      <c r="AF384" s="70">
        <v>4404010</v>
      </c>
      <c r="AG384" s="105" cm="1">
        <f t="array" ref="AG384">_xlfn.SWITCH(L384,3,1,
           4,1,
           5,1,
           6,1,0)</f>
        <v>1</v>
      </c>
      <c r="AH384" s="146">
        <f t="shared" si="294"/>
        <v>80101401</v>
      </c>
      <c r="AI384" s="90">
        <v>6002</v>
      </c>
      <c r="AJ384" s="90">
        <v>3005</v>
      </c>
      <c r="AK384" s="27">
        <v>4004</v>
      </c>
      <c r="AL384" s="123">
        <f>_xlfn.XLOOKUP(H384,'#각종 참고'!$B$11:$B$20,'#각종 참고'!$D$11:$D$20)</f>
        <v>0</v>
      </c>
      <c r="AM384" s="27">
        <v>1</v>
      </c>
      <c r="AN384" s="27">
        <v>1</v>
      </c>
      <c r="AO384" s="124">
        <f t="shared" si="278"/>
        <v>1</v>
      </c>
      <c r="AP384" s="27">
        <v>1</v>
      </c>
      <c r="AQ384" s="21">
        <v>14144001</v>
      </c>
      <c r="AR384" s="21" t="s">
        <v>1734</v>
      </c>
      <c r="AS384" s="68"/>
      <c r="AT384" s="68"/>
      <c r="AU384" s="68"/>
    </row>
    <row r="385" spans="1:47" x14ac:dyDescent="0.3">
      <c r="A385" s="19"/>
      <c r="B385" s="109">
        <v>14144002</v>
      </c>
      <c r="C385" s="99" t="str">
        <f t="shared" ref="C385:C386" si="303">IF(K385&gt;0,MID(K385,5, 1), 0)</f>
        <v>4</v>
      </c>
      <c r="D385" s="121">
        <f>COUNTIFS($F$33:F385,F385, $G$33:G385,G385, $C$33:C385,C385, $L$33:L385,L385)</f>
        <v>2</v>
      </c>
      <c r="E385" s="20">
        <v>1</v>
      </c>
      <c r="F385" s="20">
        <v>4</v>
      </c>
      <c r="G385" s="20">
        <v>1</v>
      </c>
      <c r="H385" s="103" t="s">
        <v>963</v>
      </c>
      <c r="I385" s="20" t="s">
        <v>2159</v>
      </c>
      <c r="J385" s="104" t="str">
        <f t="shared" si="285"/>
        <v>Item_Name_14144002</v>
      </c>
      <c r="K385" s="20">
        <v>10104001</v>
      </c>
      <c r="L385" s="107">
        <f t="shared" si="292"/>
        <v>4</v>
      </c>
      <c r="M385" s="105">
        <f>IF(D385=0, 0, _xlfn.XLOOKUP($F385,'#무게관련'!$B:$B,'#무게관련'!$C:$C)*_xlfn.XLOOKUP($L385,'#무게관련'!$F:$F,'#무게관련'!$G:$G)*100)</f>
        <v>6000</v>
      </c>
      <c r="N385" s="20">
        <v>20700</v>
      </c>
      <c r="O385" s="20">
        <v>4</v>
      </c>
      <c r="P385" s="20">
        <v>15</v>
      </c>
      <c r="Q385" s="20">
        <v>1</v>
      </c>
      <c r="R385" s="20">
        <v>100</v>
      </c>
      <c r="S385" s="20">
        <v>1</v>
      </c>
      <c r="T385" s="20" t="s">
        <v>1872</v>
      </c>
      <c r="U385" s="104" t="str">
        <f t="shared" ref="U385:U386" si="304">"item_bg_grade_0"&amp;L385</f>
        <v>item_bg_grade_04</v>
      </c>
      <c r="V385" s="20" t="s">
        <v>528</v>
      </c>
      <c r="W385" s="20" t="s">
        <v>331</v>
      </c>
      <c r="X385" s="104">
        <v>0</v>
      </c>
      <c r="Y385" s="104">
        <v>0</v>
      </c>
      <c r="Z385" s="104">
        <v>0</v>
      </c>
      <c r="AA385" s="104">
        <v>0</v>
      </c>
      <c r="AB385" s="104">
        <v>0</v>
      </c>
      <c r="AC385" s="104">
        <v>0</v>
      </c>
      <c r="AD385" s="142">
        <v>0</v>
      </c>
      <c r="AE385" s="112">
        <f t="shared" si="293"/>
        <v>40</v>
      </c>
      <c r="AF385" s="70">
        <v>4404020</v>
      </c>
      <c r="AG385" s="105" cm="1">
        <f t="array" ref="AG385">_xlfn.SWITCH(L385,3,1,
           4,1,
           5,1,
           6,1,0)</f>
        <v>1</v>
      </c>
      <c r="AH385" s="146">
        <f t="shared" si="294"/>
        <v>80101401</v>
      </c>
      <c r="AI385" s="90">
        <v>6002</v>
      </c>
      <c r="AJ385" s="90">
        <v>3005</v>
      </c>
      <c r="AK385" s="27">
        <v>4004</v>
      </c>
      <c r="AL385" s="123">
        <f>_xlfn.XLOOKUP(H385,'#각종 참고'!$B$11:$B$20,'#각종 참고'!$D$11:$D$20)</f>
        <v>0</v>
      </c>
      <c r="AM385" s="27">
        <v>1</v>
      </c>
      <c r="AN385" s="27">
        <v>1</v>
      </c>
      <c r="AO385" s="124">
        <f t="shared" si="278"/>
        <v>1</v>
      </c>
      <c r="AP385" s="27">
        <v>1</v>
      </c>
      <c r="AQ385" s="21">
        <v>14144011</v>
      </c>
      <c r="AR385" s="21" t="s">
        <v>2479</v>
      </c>
      <c r="AS385" s="68"/>
      <c r="AT385" s="68"/>
      <c r="AU385" s="68"/>
    </row>
    <row r="386" spans="1:47" x14ac:dyDescent="0.3">
      <c r="A386" s="19"/>
      <c r="B386" s="109">
        <v>14144003</v>
      </c>
      <c r="C386" s="99" t="str">
        <f t="shared" si="303"/>
        <v>4</v>
      </c>
      <c r="D386" s="121">
        <f>COUNTIFS($F$33:F386,F386, $G$33:G386,G386, $C$33:C386,C386, $L$33:L386,L386)</f>
        <v>3</v>
      </c>
      <c r="E386" s="20">
        <v>1</v>
      </c>
      <c r="F386" s="20">
        <v>4</v>
      </c>
      <c r="G386" s="20">
        <v>1</v>
      </c>
      <c r="H386" s="103" t="s">
        <v>963</v>
      </c>
      <c r="I386" s="20" t="s">
        <v>1735</v>
      </c>
      <c r="J386" s="104" t="str">
        <f t="shared" si="285"/>
        <v>Item_Name_14144003</v>
      </c>
      <c r="K386" s="20">
        <v>10104001</v>
      </c>
      <c r="L386" s="107">
        <f t="shared" si="292"/>
        <v>4</v>
      </c>
      <c r="M386" s="105">
        <f>IF(D386=0, 0, _xlfn.XLOOKUP($F386,'#무게관련'!$B:$B,'#무게관련'!$C:$C)*_xlfn.XLOOKUP($L386,'#무게관련'!$F:$F,'#무게관련'!$G:$G)*100)</f>
        <v>6000</v>
      </c>
      <c r="N386" s="20">
        <v>20700</v>
      </c>
      <c r="O386" s="20">
        <v>4</v>
      </c>
      <c r="P386" s="20">
        <v>15</v>
      </c>
      <c r="Q386" s="20">
        <v>1</v>
      </c>
      <c r="R386" s="20">
        <v>100</v>
      </c>
      <c r="S386" s="20">
        <v>1</v>
      </c>
      <c r="T386" s="20" t="s">
        <v>1872</v>
      </c>
      <c r="U386" s="104" t="str">
        <f t="shared" si="304"/>
        <v>item_bg_grade_04</v>
      </c>
      <c r="V386" s="20" t="s">
        <v>528</v>
      </c>
      <c r="W386" s="20" t="s">
        <v>331</v>
      </c>
      <c r="X386" s="104">
        <v>0</v>
      </c>
      <c r="Y386" s="104">
        <v>0</v>
      </c>
      <c r="Z386" s="104">
        <v>0</v>
      </c>
      <c r="AA386" s="104">
        <v>0</v>
      </c>
      <c r="AB386" s="104">
        <v>0</v>
      </c>
      <c r="AC386" s="104">
        <v>0</v>
      </c>
      <c r="AD386" s="142">
        <v>0</v>
      </c>
      <c r="AE386" s="112">
        <f t="shared" si="293"/>
        <v>40</v>
      </c>
      <c r="AF386" s="70">
        <v>4404030</v>
      </c>
      <c r="AG386" s="105" cm="1">
        <f t="array" ref="AG386">_xlfn.SWITCH(L386,3,1,
           4,1,
           5,1,
           6,1,0)</f>
        <v>1</v>
      </c>
      <c r="AH386" s="146">
        <f t="shared" si="294"/>
        <v>80101401</v>
      </c>
      <c r="AI386" s="90">
        <v>6002</v>
      </c>
      <c r="AJ386" s="90">
        <v>3005</v>
      </c>
      <c r="AK386" s="27">
        <v>4004</v>
      </c>
      <c r="AL386" s="123">
        <f>_xlfn.XLOOKUP(H386,'#각종 참고'!$B$11:$B$20,'#각종 참고'!$D$11:$D$20)</f>
        <v>0</v>
      </c>
      <c r="AM386" s="27">
        <v>1</v>
      </c>
      <c r="AN386" s="27">
        <v>1</v>
      </c>
      <c r="AO386" s="124">
        <f t="shared" si="278"/>
        <v>1</v>
      </c>
      <c r="AP386" s="27">
        <v>1</v>
      </c>
      <c r="AQ386" s="21">
        <v>14144021</v>
      </c>
      <c r="AR386" s="21" t="s">
        <v>2480</v>
      </c>
      <c r="AS386" s="68"/>
      <c r="AT386" s="68"/>
      <c r="AU386" s="68"/>
    </row>
    <row r="387" spans="1:47" x14ac:dyDescent="0.3">
      <c r="A387" s="19"/>
      <c r="B387" s="109">
        <v>14154001</v>
      </c>
      <c r="C387" s="99" t="str">
        <f t="shared" ref="C387:C390" si="305">IF(K387&gt;0,MID(K387,5, 1), 0)</f>
        <v>4</v>
      </c>
      <c r="D387" s="121">
        <f>COUNTIFS($F$33:F387,F387, $G$33:G387,G387, $C$33:C387,C387, $L$33:L387,L387)</f>
        <v>1</v>
      </c>
      <c r="E387" s="20">
        <v>1</v>
      </c>
      <c r="F387" s="20">
        <v>4</v>
      </c>
      <c r="G387" s="20">
        <v>1</v>
      </c>
      <c r="H387" s="103" t="s">
        <v>963</v>
      </c>
      <c r="I387" s="20" t="s">
        <v>1736</v>
      </c>
      <c r="J387" s="104" t="str">
        <f t="shared" si="285"/>
        <v>Item_Name_14154001</v>
      </c>
      <c r="K387" s="20">
        <v>10104001</v>
      </c>
      <c r="L387" s="107">
        <f t="shared" si="292"/>
        <v>5</v>
      </c>
      <c r="M387" s="105">
        <f>IF(D387=0, 0, _xlfn.XLOOKUP($F387,'#무게관련'!$B:$B,'#무게관련'!$C:$C)*_xlfn.XLOOKUP($L387,'#무게관련'!$F:$F,'#무게관련'!$G:$G)*100)</f>
        <v>6000</v>
      </c>
      <c r="N387" s="20">
        <v>20700</v>
      </c>
      <c r="O387" s="20">
        <v>4</v>
      </c>
      <c r="P387" s="20">
        <v>15</v>
      </c>
      <c r="Q387" s="20">
        <v>1</v>
      </c>
      <c r="R387" s="20">
        <v>100</v>
      </c>
      <c r="S387" s="20">
        <v>1</v>
      </c>
      <c r="T387" s="20" t="s">
        <v>1873</v>
      </c>
      <c r="U387" s="104" t="str">
        <f t="shared" ref="U387:U390" si="306">"item_bg_grade_0"&amp;L387</f>
        <v>item_bg_grade_05</v>
      </c>
      <c r="V387" s="20" t="s">
        <v>528</v>
      </c>
      <c r="W387" s="20" t="s">
        <v>331</v>
      </c>
      <c r="X387" s="104">
        <v>0</v>
      </c>
      <c r="Y387" s="104">
        <v>0</v>
      </c>
      <c r="Z387" s="104">
        <v>0</v>
      </c>
      <c r="AA387" s="104">
        <v>0</v>
      </c>
      <c r="AB387" s="104">
        <v>0</v>
      </c>
      <c r="AC387" s="104">
        <v>0</v>
      </c>
      <c r="AD387" s="142">
        <v>0</v>
      </c>
      <c r="AE387" s="112">
        <f t="shared" si="293"/>
        <v>50</v>
      </c>
      <c r="AF387" s="70">
        <v>4504010</v>
      </c>
      <c r="AG387" s="105" cm="1">
        <f t="array" ref="AG387">_xlfn.SWITCH(L387,3,1,
           4,1,
           5,1,
           6,1,0)</f>
        <v>1</v>
      </c>
      <c r="AH387" s="146">
        <f t="shared" si="294"/>
        <v>80101501</v>
      </c>
      <c r="AI387" s="90">
        <v>6003</v>
      </c>
      <c r="AJ387" s="90">
        <v>3007</v>
      </c>
      <c r="AK387" s="27">
        <v>5004</v>
      </c>
      <c r="AL387" s="123">
        <f>_xlfn.XLOOKUP(H387,'#각종 참고'!$B$11:$B$20,'#각종 참고'!$D$11:$D$20)</f>
        <v>0</v>
      </c>
      <c r="AM387" s="27">
        <v>1</v>
      </c>
      <c r="AN387" s="27">
        <v>1</v>
      </c>
      <c r="AO387" s="124">
        <f t="shared" si="278"/>
        <v>1</v>
      </c>
      <c r="AP387" s="27">
        <v>1</v>
      </c>
      <c r="AQ387" s="21">
        <v>14154001</v>
      </c>
      <c r="AR387" s="21" t="s">
        <v>1736</v>
      </c>
      <c r="AS387" s="68"/>
      <c r="AT387" s="68"/>
      <c r="AU387" s="68"/>
    </row>
    <row r="388" spans="1:47" x14ac:dyDescent="0.3">
      <c r="A388" s="19"/>
      <c r="B388" s="109">
        <v>14154002</v>
      </c>
      <c r="C388" s="99" t="str">
        <f t="shared" ref="C388:C389" si="307">IF(K388&gt;0,MID(K388,5, 1), 0)</f>
        <v>4</v>
      </c>
      <c r="D388" s="121">
        <f>COUNTIFS($F$33:F388,F388, $G$33:G388,G388, $C$33:C388,C388, $L$33:L388,L388)</f>
        <v>2</v>
      </c>
      <c r="E388" s="20">
        <v>1</v>
      </c>
      <c r="F388" s="20">
        <v>4</v>
      </c>
      <c r="G388" s="20">
        <v>1</v>
      </c>
      <c r="H388" s="103" t="s">
        <v>963</v>
      </c>
      <c r="I388" s="20" t="s">
        <v>2161</v>
      </c>
      <c r="J388" s="104" t="str">
        <f t="shared" si="285"/>
        <v>Item_Name_14154002</v>
      </c>
      <c r="K388" s="20">
        <v>10104001</v>
      </c>
      <c r="L388" s="107">
        <f t="shared" si="292"/>
        <v>5</v>
      </c>
      <c r="M388" s="105">
        <f>IF(D388=0, 0, _xlfn.XLOOKUP($F388,'#무게관련'!$B:$B,'#무게관련'!$C:$C)*_xlfn.XLOOKUP($L388,'#무게관련'!$F:$F,'#무게관련'!$G:$G)*100)</f>
        <v>6000</v>
      </c>
      <c r="N388" s="20">
        <v>20700</v>
      </c>
      <c r="O388" s="20">
        <v>4</v>
      </c>
      <c r="P388" s="20">
        <v>15</v>
      </c>
      <c r="Q388" s="20">
        <v>1</v>
      </c>
      <c r="R388" s="20">
        <v>100</v>
      </c>
      <c r="S388" s="20">
        <v>1</v>
      </c>
      <c r="T388" s="20" t="s">
        <v>1873</v>
      </c>
      <c r="U388" s="104" t="str">
        <f t="shared" ref="U388:U389" si="308">"item_bg_grade_0"&amp;L388</f>
        <v>item_bg_grade_05</v>
      </c>
      <c r="V388" s="20" t="s">
        <v>528</v>
      </c>
      <c r="W388" s="20" t="s">
        <v>331</v>
      </c>
      <c r="X388" s="104">
        <v>0</v>
      </c>
      <c r="Y388" s="104">
        <v>0</v>
      </c>
      <c r="Z388" s="104">
        <v>0</v>
      </c>
      <c r="AA388" s="104">
        <v>0</v>
      </c>
      <c r="AB388" s="104">
        <v>0</v>
      </c>
      <c r="AC388" s="104">
        <v>0</v>
      </c>
      <c r="AD388" s="142">
        <v>0</v>
      </c>
      <c r="AE388" s="112">
        <f t="shared" si="293"/>
        <v>50</v>
      </c>
      <c r="AF388" s="70">
        <v>4504020</v>
      </c>
      <c r="AG388" s="105" cm="1">
        <f t="array" ref="AG388">_xlfn.SWITCH(L388,3,1,
           4,1,
           5,1,
           6,1,0)</f>
        <v>1</v>
      </c>
      <c r="AH388" s="146">
        <f t="shared" si="294"/>
        <v>80101501</v>
      </c>
      <c r="AI388" s="90">
        <v>6003</v>
      </c>
      <c r="AJ388" s="90">
        <v>3007</v>
      </c>
      <c r="AK388" s="27">
        <v>5004</v>
      </c>
      <c r="AL388" s="123">
        <f>_xlfn.XLOOKUP(H388,'#각종 참고'!$B$11:$B$20,'#각종 참고'!$D$11:$D$20)</f>
        <v>0</v>
      </c>
      <c r="AM388" s="27">
        <v>1</v>
      </c>
      <c r="AN388" s="27">
        <v>1</v>
      </c>
      <c r="AO388" s="124">
        <f t="shared" si="278"/>
        <v>1</v>
      </c>
      <c r="AP388" s="27">
        <v>1</v>
      </c>
      <c r="AQ388" s="21">
        <v>14154011</v>
      </c>
      <c r="AR388" s="21" t="s">
        <v>2481</v>
      </c>
      <c r="AS388" s="68"/>
      <c r="AT388" s="68"/>
      <c r="AU388" s="68"/>
    </row>
    <row r="389" spans="1:47" x14ac:dyDescent="0.3">
      <c r="A389" s="19"/>
      <c r="B389" s="109">
        <v>14154003</v>
      </c>
      <c r="C389" s="99" t="str">
        <f t="shared" si="307"/>
        <v>4</v>
      </c>
      <c r="D389" s="121">
        <f>COUNTIFS($F$33:F389,F389, $G$33:G389,G389, $C$33:C389,C389, $L$33:L389,L389)</f>
        <v>3</v>
      </c>
      <c r="E389" s="20">
        <v>1</v>
      </c>
      <c r="F389" s="20">
        <v>4</v>
      </c>
      <c r="G389" s="20">
        <v>1</v>
      </c>
      <c r="H389" s="103" t="s">
        <v>963</v>
      </c>
      <c r="I389" s="20" t="s">
        <v>2160</v>
      </c>
      <c r="J389" s="104" t="str">
        <f t="shared" si="285"/>
        <v>Item_Name_14154003</v>
      </c>
      <c r="K389" s="20">
        <v>10104001</v>
      </c>
      <c r="L389" s="107">
        <f t="shared" si="292"/>
        <v>5</v>
      </c>
      <c r="M389" s="105">
        <f>IF(D389=0, 0, _xlfn.XLOOKUP($F389,'#무게관련'!$B:$B,'#무게관련'!$C:$C)*_xlfn.XLOOKUP($L389,'#무게관련'!$F:$F,'#무게관련'!$G:$G)*100)</f>
        <v>6000</v>
      </c>
      <c r="N389" s="20">
        <v>20700</v>
      </c>
      <c r="O389" s="20">
        <v>4</v>
      </c>
      <c r="P389" s="20">
        <v>15</v>
      </c>
      <c r="Q389" s="20">
        <v>1</v>
      </c>
      <c r="R389" s="20">
        <v>100</v>
      </c>
      <c r="S389" s="20">
        <v>1</v>
      </c>
      <c r="T389" s="20" t="s">
        <v>1873</v>
      </c>
      <c r="U389" s="104" t="str">
        <f t="shared" si="308"/>
        <v>item_bg_grade_05</v>
      </c>
      <c r="V389" s="20" t="s">
        <v>528</v>
      </c>
      <c r="W389" s="20" t="s">
        <v>331</v>
      </c>
      <c r="X389" s="104">
        <v>0</v>
      </c>
      <c r="Y389" s="104">
        <v>0</v>
      </c>
      <c r="Z389" s="104">
        <v>0</v>
      </c>
      <c r="AA389" s="104">
        <v>0</v>
      </c>
      <c r="AB389" s="104">
        <v>0</v>
      </c>
      <c r="AC389" s="104">
        <v>0</v>
      </c>
      <c r="AD389" s="142">
        <v>0</v>
      </c>
      <c r="AE389" s="112">
        <f t="shared" si="293"/>
        <v>50</v>
      </c>
      <c r="AF389" s="70">
        <v>4504030</v>
      </c>
      <c r="AG389" s="105" cm="1">
        <f t="array" ref="AG389">_xlfn.SWITCH(L389,3,1,
           4,1,
           5,1,
           6,1,0)</f>
        <v>1</v>
      </c>
      <c r="AH389" s="146">
        <f t="shared" si="294"/>
        <v>80101501</v>
      </c>
      <c r="AI389" s="90">
        <v>6003</v>
      </c>
      <c r="AJ389" s="90">
        <v>3007</v>
      </c>
      <c r="AK389" s="27">
        <v>5004</v>
      </c>
      <c r="AL389" s="123">
        <f>_xlfn.XLOOKUP(H389,'#각종 참고'!$B$11:$B$20,'#각종 참고'!$D$11:$D$20)</f>
        <v>0</v>
      </c>
      <c r="AM389" s="27">
        <v>1</v>
      </c>
      <c r="AN389" s="27">
        <v>1</v>
      </c>
      <c r="AO389" s="124">
        <f t="shared" si="278"/>
        <v>1</v>
      </c>
      <c r="AP389" s="27">
        <v>1</v>
      </c>
      <c r="AQ389" s="21">
        <v>14154021</v>
      </c>
      <c r="AR389" s="21" t="s">
        <v>2482</v>
      </c>
      <c r="AS389" s="68"/>
      <c r="AT389" s="68"/>
      <c r="AU389" s="68"/>
    </row>
    <row r="390" spans="1:47" x14ac:dyDescent="0.3">
      <c r="A390" s="19"/>
      <c r="B390" s="109">
        <v>14164001</v>
      </c>
      <c r="C390" s="99" t="str">
        <f t="shared" si="305"/>
        <v>4</v>
      </c>
      <c r="D390" s="121">
        <f>COUNTIFS($F$33:F390,F390, $G$33:G390,G390, $C$33:C390,C390, $L$33:L390,L390)</f>
        <v>1</v>
      </c>
      <c r="E390" s="20">
        <v>1</v>
      </c>
      <c r="F390" s="20">
        <v>4</v>
      </c>
      <c r="G390" s="20">
        <v>1</v>
      </c>
      <c r="H390" s="103" t="s">
        <v>963</v>
      </c>
      <c r="I390" s="20" t="s">
        <v>1738</v>
      </c>
      <c r="J390" s="104" t="str">
        <f t="shared" si="285"/>
        <v>Item_Name_14164001</v>
      </c>
      <c r="K390" s="20">
        <v>10104001</v>
      </c>
      <c r="L390" s="107">
        <f t="shared" si="292"/>
        <v>6</v>
      </c>
      <c r="M390" s="105">
        <f>IF(D390=0, 0, _xlfn.XLOOKUP($F390,'#무게관련'!$B:$B,'#무게관련'!$C:$C)*_xlfn.XLOOKUP($L390,'#무게관련'!$F:$F,'#무게관련'!$G:$G)*100)</f>
        <v>6000</v>
      </c>
      <c r="N390" s="20">
        <v>20700</v>
      </c>
      <c r="O390" s="20">
        <v>4</v>
      </c>
      <c r="P390" s="20">
        <v>15</v>
      </c>
      <c r="Q390" s="20">
        <v>1</v>
      </c>
      <c r="R390" s="20">
        <v>100</v>
      </c>
      <c r="S390" s="20">
        <v>1</v>
      </c>
      <c r="T390" s="109" t="s">
        <v>1873</v>
      </c>
      <c r="U390" s="104" t="str">
        <f t="shared" si="306"/>
        <v>item_bg_grade_06</v>
      </c>
      <c r="V390" s="20" t="s">
        <v>528</v>
      </c>
      <c r="W390" s="20" t="s">
        <v>331</v>
      </c>
      <c r="X390" s="104">
        <v>0</v>
      </c>
      <c r="Y390" s="104">
        <v>0</v>
      </c>
      <c r="Z390" s="104">
        <v>0</v>
      </c>
      <c r="AA390" s="104">
        <v>0</v>
      </c>
      <c r="AB390" s="104">
        <v>0</v>
      </c>
      <c r="AC390" s="104">
        <v>0</v>
      </c>
      <c r="AD390" s="142">
        <v>0</v>
      </c>
      <c r="AE390" s="112">
        <f t="shared" si="293"/>
        <v>70</v>
      </c>
      <c r="AF390" s="70">
        <v>4604010</v>
      </c>
      <c r="AG390" s="105" cm="1">
        <f t="array" ref="AG390">_xlfn.SWITCH(L390,3,1,
           4,1,
           5,1,
           6,1,0)</f>
        <v>1</v>
      </c>
      <c r="AH390" s="146">
        <f t="shared" si="294"/>
        <v>0</v>
      </c>
      <c r="AI390" s="90">
        <v>6004</v>
      </c>
      <c r="AJ390" s="90">
        <v>3009</v>
      </c>
      <c r="AK390" s="27">
        <v>6004</v>
      </c>
      <c r="AL390" s="123">
        <f>_xlfn.XLOOKUP(H390,'#각종 참고'!$B$11:$B$20,'#각종 참고'!$D$11:$D$20)</f>
        <v>0</v>
      </c>
      <c r="AM390" s="27">
        <v>1</v>
      </c>
      <c r="AN390" s="27">
        <v>1</v>
      </c>
      <c r="AO390" s="124">
        <f t="shared" si="278"/>
        <v>1</v>
      </c>
      <c r="AP390" s="27">
        <v>1</v>
      </c>
      <c r="AQ390" s="21">
        <v>14164001</v>
      </c>
      <c r="AR390" s="21" t="s">
        <v>1738</v>
      </c>
      <c r="AS390" s="68"/>
      <c r="AT390" s="68"/>
      <c r="AU390" s="68"/>
    </row>
    <row r="391" spans="1:47" x14ac:dyDescent="0.3">
      <c r="A391" s="19" t="s">
        <v>513</v>
      </c>
      <c r="B391" s="109">
        <v>14164002</v>
      </c>
      <c r="C391" s="99" t="str">
        <f t="shared" ref="C391:C392" si="309">IF(K391&gt;0,MID(K391,5, 1), 0)</f>
        <v>4</v>
      </c>
      <c r="D391" s="121">
        <f>COUNTIFS($F$33:F391,F391, $G$33:G391,G391, $C$33:C391,C391, $L$33:L391,L391)</f>
        <v>2</v>
      </c>
      <c r="E391" s="20">
        <v>1</v>
      </c>
      <c r="F391" s="20">
        <v>4</v>
      </c>
      <c r="G391" s="20">
        <v>1</v>
      </c>
      <c r="H391" s="103" t="s">
        <v>963</v>
      </c>
      <c r="I391" s="20" t="s">
        <v>1737</v>
      </c>
      <c r="J391" s="104" t="str">
        <f t="shared" si="285"/>
        <v>Item_Name_14164002</v>
      </c>
      <c r="K391" s="20">
        <v>10104001</v>
      </c>
      <c r="L391" s="107">
        <f t="shared" si="292"/>
        <v>6</v>
      </c>
      <c r="M391" s="105">
        <f>IF(D391=0, 0, _xlfn.XLOOKUP($F391,'#무게관련'!$B:$B,'#무게관련'!$C:$C)*_xlfn.XLOOKUP($L391,'#무게관련'!$F:$F,'#무게관련'!$G:$G)*100)</f>
        <v>6000</v>
      </c>
      <c r="N391" s="20">
        <v>20700</v>
      </c>
      <c r="O391" s="20">
        <v>4</v>
      </c>
      <c r="P391" s="20">
        <v>15</v>
      </c>
      <c r="Q391" s="20">
        <v>1</v>
      </c>
      <c r="R391" s="20">
        <v>100</v>
      </c>
      <c r="S391" s="20">
        <v>1</v>
      </c>
      <c r="T391" s="109" t="s">
        <v>1873</v>
      </c>
      <c r="U391" s="104" t="str">
        <f t="shared" ref="U391:U392" si="310">"item_bg_grade_0"&amp;L391</f>
        <v>item_bg_grade_06</v>
      </c>
      <c r="V391" s="20" t="s">
        <v>528</v>
      </c>
      <c r="W391" s="20" t="s">
        <v>331</v>
      </c>
      <c r="X391" s="104">
        <v>0</v>
      </c>
      <c r="Y391" s="104">
        <v>0</v>
      </c>
      <c r="Z391" s="104">
        <v>0</v>
      </c>
      <c r="AA391" s="104">
        <v>0</v>
      </c>
      <c r="AB391" s="104">
        <v>0</v>
      </c>
      <c r="AC391" s="104">
        <v>0</v>
      </c>
      <c r="AD391" s="142">
        <v>0</v>
      </c>
      <c r="AE391" s="112">
        <f t="shared" si="293"/>
        <v>70</v>
      </c>
      <c r="AF391" s="70">
        <v>4604010</v>
      </c>
      <c r="AG391" s="105" cm="1">
        <f t="array" ref="AG391">_xlfn.SWITCH(L391,3,1,
           4,1,
           5,1,
           6,1,0)</f>
        <v>1</v>
      </c>
      <c r="AH391" s="146">
        <f t="shared" si="294"/>
        <v>0</v>
      </c>
      <c r="AI391" s="90">
        <v>6004</v>
      </c>
      <c r="AJ391" s="90">
        <v>3009</v>
      </c>
      <c r="AK391" s="27">
        <v>6004</v>
      </c>
      <c r="AL391" s="123">
        <f>_xlfn.XLOOKUP(H391,'#각종 참고'!$B$11:$B$20,'#각종 참고'!$D$11:$D$20)</f>
        <v>0</v>
      </c>
      <c r="AM391" s="27">
        <v>1</v>
      </c>
      <c r="AN391" s="27">
        <v>1</v>
      </c>
      <c r="AO391" s="124">
        <f t="shared" si="278"/>
        <v>1</v>
      </c>
      <c r="AP391" s="27">
        <v>1</v>
      </c>
      <c r="AQ391" s="21">
        <v>14164011</v>
      </c>
      <c r="AR391" s="21" t="s">
        <v>2483</v>
      </c>
      <c r="AS391" s="68"/>
      <c r="AT391" s="68"/>
      <c r="AU391" s="68"/>
    </row>
    <row r="392" spans="1:47" x14ac:dyDescent="0.3">
      <c r="A392" s="19" t="s">
        <v>513</v>
      </c>
      <c r="B392" s="109">
        <v>14164003</v>
      </c>
      <c r="C392" s="99" t="str">
        <f t="shared" si="309"/>
        <v>4</v>
      </c>
      <c r="D392" s="121">
        <f>COUNTIFS($F$33:F392,F392, $G$33:G392,G392, $C$33:C392,C392, $L$33:L392,L392)</f>
        <v>3</v>
      </c>
      <c r="E392" s="20">
        <v>1</v>
      </c>
      <c r="F392" s="20">
        <v>4</v>
      </c>
      <c r="G392" s="20">
        <v>1</v>
      </c>
      <c r="H392" s="103" t="s">
        <v>963</v>
      </c>
      <c r="I392" s="20" t="s">
        <v>2162</v>
      </c>
      <c r="J392" s="104" t="str">
        <f t="shared" si="285"/>
        <v>Item_Name_14164003</v>
      </c>
      <c r="K392" s="20">
        <v>10104001</v>
      </c>
      <c r="L392" s="107">
        <f t="shared" si="292"/>
        <v>6</v>
      </c>
      <c r="M392" s="105">
        <f>IF(D392=0, 0, _xlfn.XLOOKUP($F392,'#무게관련'!$B:$B,'#무게관련'!$C:$C)*_xlfn.XLOOKUP($L392,'#무게관련'!$F:$F,'#무게관련'!$G:$G)*100)</f>
        <v>6000</v>
      </c>
      <c r="N392" s="20">
        <v>20700</v>
      </c>
      <c r="O392" s="20">
        <v>4</v>
      </c>
      <c r="P392" s="20">
        <v>15</v>
      </c>
      <c r="Q392" s="20">
        <v>1</v>
      </c>
      <c r="R392" s="20">
        <v>100</v>
      </c>
      <c r="S392" s="20">
        <v>1</v>
      </c>
      <c r="T392" s="109" t="s">
        <v>1873</v>
      </c>
      <c r="U392" s="104" t="str">
        <f t="shared" si="310"/>
        <v>item_bg_grade_06</v>
      </c>
      <c r="V392" s="20" t="s">
        <v>528</v>
      </c>
      <c r="W392" s="20" t="s">
        <v>331</v>
      </c>
      <c r="X392" s="104">
        <v>0</v>
      </c>
      <c r="Y392" s="104">
        <v>0</v>
      </c>
      <c r="Z392" s="104">
        <v>0</v>
      </c>
      <c r="AA392" s="104">
        <v>0</v>
      </c>
      <c r="AB392" s="104">
        <v>0</v>
      </c>
      <c r="AC392" s="104">
        <v>0</v>
      </c>
      <c r="AD392" s="142">
        <v>0</v>
      </c>
      <c r="AE392" s="112">
        <f t="shared" si="293"/>
        <v>70</v>
      </c>
      <c r="AF392" s="70">
        <v>4604010</v>
      </c>
      <c r="AG392" s="105" cm="1">
        <f t="array" ref="AG392">_xlfn.SWITCH(L392,3,1,
           4,1,
           5,1,
           6,1,0)</f>
        <v>1</v>
      </c>
      <c r="AH392" s="146">
        <f t="shared" si="294"/>
        <v>0</v>
      </c>
      <c r="AI392" s="90">
        <v>6004</v>
      </c>
      <c r="AJ392" s="90">
        <v>3009</v>
      </c>
      <c r="AK392" s="27">
        <v>6004</v>
      </c>
      <c r="AL392" s="123">
        <f>_xlfn.XLOOKUP(H392,'#각종 참고'!$B$11:$B$20,'#각종 참고'!$D$11:$D$20)</f>
        <v>0</v>
      </c>
      <c r="AM392" s="27">
        <v>1</v>
      </c>
      <c r="AN392" s="27">
        <v>1</v>
      </c>
      <c r="AO392" s="124">
        <f t="shared" si="278"/>
        <v>1</v>
      </c>
      <c r="AP392" s="27">
        <v>1</v>
      </c>
      <c r="AQ392" s="21">
        <v>14164021</v>
      </c>
      <c r="AR392" s="21" t="s">
        <v>2484</v>
      </c>
      <c r="AS392" s="68"/>
      <c r="AT392" s="68"/>
      <c r="AU392" s="68"/>
    </row>
    <row r="393" spans="1:47" s="68" customFormat="1" x14ac:dyDescent="0.3">
      <c r="A393" s="65"/>
      <c r="B393" s="110">
        <v>11115001</v>
      </c>
      <c r="C393" s="99" t="str">
        <f t="shared" si="267"/>
        <v>1</v>
      </c>
      <c r="D393" s="120">
        <f>COUNTIFS($F$33:F393,F393, $G$33:G393,G393, $C$33:C393,C393, $L$33:L393,L393)</f>
        <v>1</v>
      </c>
      <c r="E393" s="20">
        <v>1</v>
      </c>
      <c r="F393" s="66">
        <v>5</v>
      </c>
      <c r="G393" s="66">
        <v>1</v>
      </c>
      <c r="H393" s="103" t="s">
        <v>964</v>
      </c>
      <c r="I393" s="66" t="s">
        <v>1739</v>
      </c>
      <c r="J393" s="104" t="str">
        <f t="shared" si="285"/>
        <v>Item_Name_11115001</v>
      </c>
      <c r="K393" s="66">
        <v>10101001</v>
      </c>
      <c r="L393" s="106">
        <f t="shared" si="292"/>
        <v>1</v>
      </c>
      <c r="M393" s="105">
        <f>IF(D393=0, 0, _xlfn.XLOOKUP($F393,'#무게관련'!$B:$B,'#무게관련'!$C:$C)*_xlfn.XLOOKUP($L393,'#무게관련'!$F:$F,'#무게관련'!$G:$G)*100)</f>
        <v>10000</v>
      </c>
      <c r="N393" s="20">
        <v>20500</v>
      </c>
      <c r="O393" s="20">
        <v>1</v>
      </c>
      <c r="P393" s="66">
        <v>15</v>
      </c>
      <c r="Q393" s="20">
        <v>1</v>
      </c>
      <c r="R393" s="66">
        <v>100</v>
      </c>
      <c r="S393" s="66">
        <v>1</v>
      </c>
      <c r="T393" s="66" t="s">
        <v>1874</v>
      </c>
      <c r="U393" s="104" t="str">
        <f t="shared" si="224"/>
        <v>item_bg_grade_01</v>
      </c>
      <c r="V393" s="66" t="s">
        <v>325</v>
      </c>
      <c r="W393" s="66" t="s">
        <v>400</v>
      </c>
      <c r="X393" s="104">
        <v>0</v>
      </c>
      <c r="Y393" s="104">
        <v>0</v>
      </c>
      <c r="Z393" s="104">
        <v>0</v>
      </c>
      <c r="AA393" s="104">
        <v>0</v>
      </c>
      <c r="AB393" s="104">
        <v>0</v>
      </c>
      <c r="AC393" s="104">
        <v>0</v>
      </c>
      <c r="AD393" s="142">
        <v>0</v>
      </c>
      <c r="AE393" s="111">
        <f t="shared" si="293"/>
        <v>10</v>
      </c>
      <c r="AF393" s="70">
        <v>1105010</v>
      </c>
      <c r="AG393" s="105" cm="1">
        <f t="array" ref="AG393">_xlfn.SWITCH(L393,3,1,
           4,1,
           5,1,
           6,1,0)</f>
        <v>0</v>
      </c>
      <c r="AH393" s="147">
        <v>80101101</v>
      </c>
      <c r="AI393" s="90">
        <v>0</v>
      </c>
      <c r="AJ393" s="90">
        <v>0</v>
      </c>
      <c r="AK393" s="27">
        <v>0</v>
      </c>
      <c r="AL393" s="123">
        <f>_xlfn.XLOOKUP(H393,'#각종 참고'!$B$11:$B$20,'#각종 참고'!$D$11:$D$20)</f>
        <v>0</v>
      </c>
      <c r="AM393" s="27">
        <v>1</v>
      </c>
      <c r="AN393" s="27">
        <v>1</v>
      </c>
      <c r="AO393" s="124">
        <f t="shared" si="278"/>
        <v>1</v>
      </c>
      <c r="AP393" s="27">
        <v>1</v>
      </c>
      <c r="AQ393" s="21">
        <v>11115001</v>
      </c>
      <c r="AR393" s="68" t="s">
        <v>1739</v>
      </c>
    </row>
    <row r="394" spans="1:47" s="68" customFormat="1" x14ac:dyDescent="0.3">
      <c r="A394" s="65"/>
      <c r="B394" s="110">
        <v>11115002</v>
      </c>
      <c r="C394" s="99" t="str">
        <f t="shared" ref="C394:C395" si="311">IF(K394&gt;0,MID(K394,5, 1), 0)</f>
        <v>1</v>
      </c>
      <c r="D394" s="120">
        <f>COUNTIFS($F$33:F394,F394, $G$33:G394,G394, $C$33:C394,C394, $L$33:L394,L394)</f>
        <v>2</v>
      </c>
      <c r="E394" s="20">
        <v>1</v>
      </c>
      <c r="F394" s="66">
        <v>5</v>
      </c>
      <c r="G394" s="66">
        <v>1</v>
      </c>
      <c r="H394" s="103" t="s">
        <v>964</v>
      </c>
      <c r="I394" s="66" t="s">
        <v>2164</v>
      </c>
      <c r="J394" s="104" t="str">
        <f t="shared" si="285"/>
        <v>Item_Name_11115002</v>
      </c>
      <c r="K394" s="66">
        <v>10101001</v>
      </c>
      <c r="L394" s="106">
        <f t="shared" si="292"/>
        <v>1</v>
      </c>
      <c r="M394" s="105">
        <f>IF(D394=0, 0, _xlfn.XLOOKUP($F394,'#무게관련'!$B:$B,'#무게관련'!$C:$C)*_xlfn.XLOOKUP($L394,'#무게관련'!$F:$F,'#무게관련'!$G:$G)*100)</f>
        <v>10000</v>
      </c>
      <c r="N394" s="20">
        <v>20500</v>
      </c>
      <c r="O394" s="20">
        <v>1</v>
      </c>
      <c r="P394" s="66">
        <v>15</v>
      </c>
      <c r="Q394" s="20">
        <v>1</v>
      </c>
      <c r="R394" s="66">
        <v>100</v>
      </c>
      <c r="S394" s="66">
        <v>1</v>
      </c>
      <c r="T394" s="66" t="s">
        <v>1874</v>
      </c>
      <c r="U394" s="104" t="str">
        <f t="shared" ref="U394:U395" si="312">"item_bg_grade_0"&amp;L394</f>
        <v>item_bg_grade_01</v>
      </c>
      <c r="V394" s="66" t="s">
        <v>325</v>
      </c>
      <c r="W394" s="66" t="s">
        <v>400</v>
      </c>
      <c r="X394" s="104">
        <v>0</v>
      </c>
      <c r="Y394" s="104">
        <v>0</v>
      </c>
      <c r="Z394" s="104">
        <v>0</v>
      </c>
      <c r="AA394" s="104">
        <v>0</v>
      </c>
      <c r="AB394" s="104">
        <v>0</v>
      </c>
      <c r="AC394" s="104">
        <v>0</v>
      </c>
      <c r="AD394" s="142">
        <v>0</v>
      </c>
      <c r="AE394" s="111">
        <f t="shared" si="293"/>
        <v>10</v>
      </c>
      <c r="AF394" s="70">
        <v>1105020</v>
      </c>
      <c r="AG394" s="105" cm="1">
        <f t="array" ref="AG394">_xlfn.SWITCH(L394,3,1,
           4,1,
           5,1,
           6,1,0)</f>
        <v>0</v>
      </c>
      <c r="AH394" s="147">
        <v>80101101</v>
      </c>
      <c r="AI394" s="90">
        <v>0</v>
      </c>
      <c r="AJ394" s="90">
        <v>0</v>
      </c>
      <c r="AK394" s="27">
        <v>0</v>
      </c>
      <c r="AL394" s="123">
        <f>_xlfn.XLOOKUP(H394,'#각종 참고'!$B$11:$B$20,'#각종 참고'!$D$11:$D$20)</f>
        <v>0</v>
      </c>
      <c r="AM394" s="27">
        <v>1</v>
      </c>
      <c r="AN394" s="27">
        <v>1</v>
      </c>
      <c r="AO394" s="124">
        <f t="shared" si="278"/>
        <v>1</v>
      </c>
      <c r="AP394" s="27">
        <v>1</v>
      </c>
      <c r="AQ394" s="21">
        <v>11115011</v>
      </c>
      <c r="AR394" s="68" t="s">
        <v>2485</v>
      </c>
    </row>
    <row r="395" spans="1:47" s="68" customFormat="1" x14ac:dyDescent="0.3">
      <c r="A395" s="65"/>
      <c r="B395" s="110">
        <v>11115003</v>
      </c>
      <c r="C395" s="99" t="str">
        <f t="shared" si="311"/>
        <v>1</v>
      </c>
      <c r="D395" s="120">
        <f>COUNTIFS($F$33:F395,F395, $G$33:G395,G395, $C$33:C395,C395, $L$33:L395,L395)</f>
        <v>3</v>
      </c>
      <c r="E395" s="20">
        <v>1</v>
      </c>
      <c r="F395" s="66">
        <v>5</v>
      </c>
      <c r="G395" s="66">
        <v>1</v>
      </c>
      <c r="H395" s="103" t="s">
        <v>964</v>
      </c>
      <c r="I395" s="66" t="s">
        <v>2163</v>
      </c>
      <c r="J395" s="104" t="str">
        <f t="shared" si="285"/>
        <v>Item_Name_11115003</v>
      </c>
      <c r="K395" s="66">
        <v>10101001</v>
      </c>
      <c r="L395" s="106">
        <f t="shared" si="292"/>
        <v>1</v>
      </c>
      <c r="M395" s="105">
        <f>IF(D395=0, 0, _xlfn.XLOOKUP($F395,'#무게관련'!$B:$B,'#무게관련'!$C:$C)*_xlfn.XLOOKUP($L395,'#무게관련'!$F:$F,'#무게관련'!$G:$G)*100)</f>
        <v>10000</v>
      </c>
      <c r="N395" s="20">
        <v>20500</v>
      </c>
      <c r="O395" s="20">
        <v>1</v>
      </c>
      <c r="P395" s="66">
        <v>15</v>
      </c>
      <c r="Q395" s="20">
        <v>1</v>
      </c>
      <c r="R395" s="66">
        <v>100</v>
      </c>
      <c r="S395" s="66">
        <v>1</v>
      </c>
      <c r="T395" s="66" t="s">
        <v>1874</v>
      </c>
      <c r="U395" s="104" t="str">
        <f t="shared" si="312"/>
        <v>item_bg_grade_01</v>
      </c>
      <c r="V395" s="66" t="s">
        <v>325</v>
      </c>
      <c r="W395" s="66" t="s">
        <v>400</v>
      </c>
      <c r="X395" s="104">
        <v>0</v>
      </c>
      <c r="Y395" s="104">
        <v>0</v>
      </c>
      <c r="Z395" s="104">
        <v>0</v>
      </c>
      <c r="AA395" s="104">
        <v>0</v>
      </c>
      <c r="AB395" s="104">
        <v>0</v>
      </c>
      <c r="AC395" s="104">
        <v>0</v>
      </c>
      <c r="AD395" s="142">
        <v>0</v>
      </c>
      <c r="AE395" s="111">
        <f t="shared" si="293"/>
        <v>10</v>
      </c>
      <c r="AF395" s="70">
        <v>1105030</v>
      </c>
      <c r="AG395" s="105" cm="1">
        <f t="array" ref="AG395">_xlfn.SWITCH(L395,3,1,
           4,1,
           5,1,
           6,1,0)</f>
        <v>0</v>
      </c>
      <c r="AH395" s="147">
        <v>80101101</v>
      </c>
      <c r="AI395" s="90">
        <v>0</v>
      </c>
      <c r="AJ395" s="90">
        <v>0</v>
      </c>
      <c r="AK395" s="27">
        <v>0</v>
      </c>
      <c r="AL395" s="123">
        <f>_xlfn.XLOOKUP(H395,'#각종 참고'!$B$11:$B$20,'#각종 참고'!$D$11:$D$20)</f>
        <v>0</v>
      </c>
      <c r="AM395" s="27">
        <v>1</v>
      </c>
      <c r="AN395" s="27">
        <v>1</v>
      </c>
      <c r="AO395" s="124">
        <f t="shared" si="278"/>
        <v>1</v>
      </c>
      <c r="AP395" s="27">
        <v>1</v>
      </c>
      <c r="AQ395" s="21">
        <v>11115021</v>
      </c>
      <c r="AR395" s="68" t="s">
        <v>2486</v>
      </c>
    </row>
    <row r="396" spans="1:47" x14ac:dyDescent="0.3">
      <c r="A396" s="19"/>
      <c r="B396" s="109">
        <v>11125001</v>
      </c>
      <c r="C396" s="99" t="str">
        <f t="shared" si="267"/>
        <v>1</v>
      </c>
      <c r="D396" s="121">
        <f>COUNTIFS($F$33:F396,F396, $G$33:G396,G396, $C$33:C396,C396, $L$33:L396,L396)</f>
        <v>1</v>
      </c>
      <c r="E396" s="20">
        <v>1</v>
      </c>
      <c r="F396" s="20">
        <v>5</v>
      </c>
      <c r="G396" s="20">
        <v>1</v>
      </c>
      <c r="H396" s="103" t="s">
        <v>964</v>
      </c>
      <c r="I396" s="20" t="s">
        <v>1740</v>
      </c>
      <c r="J396" s="104" t="str">
        <f t="shared" si="285"/>
        <v>Item_Name_11125001</v>
      </c>
      <c r="K396" s="20">
        <v>10101001</v>
      </c>
      <c r="L396" s="108">
        <f t="shared" si="292"/>
        <v>2</v>
      </c>
      <c r="M396" s="105">
        <f>IF(D396=0, 0, _xlfn.XLOOKUP($F396,'#무게관련'!$B:$B,'#무게관련'!$C:$C)*_xlfn.XLOOKUP($L396,'#무게관련'!$F:$F,'#무게관련'!$G:$G)*100)</f>
        <v>10000</v>
      </c>
      <c r="N396" s="20">
        <v>20500</v>
      </c>
      <c r="O396" s="20">
        <v>1</v>
      </c>
      <c r="P396" s="20">
        <v>15</v>
      </c>
      <c r="Q396" s="20">
        <v>1</v>
      </c>
      <c r="R396" s="20">
        <v>100</v>
      </c>
      <c r="S396" s="20">
        <v>1</v>
      </c>
      <c r="T396" s="20" t="s">
        <v>1875</v>
      </c>
      <c r="U396" s="104" t="str">
        <f t="shared" si="224"/>
        <v>item_bg_grade_02</v>
      </c>
      <c r="V396" s="20" t="s">
        <v>325</v>
      </c>
      <c r="W396" s="20" t="s">
        <v>400</v>
      </c>
      <c r="X396" s="104">
        <v>0</v>
      </c>
      <c r="Y396" s="104">
        <v>0</v>
      </c>
      <c r="Z396" s="104">
        <v>0</v>
      </c>
      <c r="AA396" s="104">
        <v>0</v>
      </c>
      <c r="AB396" s="104">
        <v>0</v>
      </c>
      <c r="AC396" s="104">
        <v>0</v>
      </c>
      <c r="AD396" s="142">
        <v>0</v>
      </c>
      <c r="AE396" s="112">
        <f t="shared" si="293"/>
        <v>20</v>
      </c>
      <c r="AF396" s="70">
        <v>1205010</v>
      </c>
      <c r="AG396" s="105" cm="1">
        <f t="array" ref="AG396">_xlfn.SWITCH(L396,3,1,
           4,1,
           5,1,
           6,1,0)</f>
        <v>0</v>
      </c>
      <c r="AH396" s="147">
        <v>80101201</v>
      </c>
      <c r="AI396" s="90">
        <v>6000</v>
      </c>
      <c r="AJ396" s="90">
        <v>3002</v>
      </c>
      <c r="AK396" s="27">
        <v>2005</v>
      </c>
      <c r="AL396" s="123">
        <f>_xlfn.XLOOKUP(H396,'#각종 참고'!$B$11:$B$20,'#각종 참고'!$D$11:$D$20)</f>
        <v>0</v>
      </c>
      <c r="AM396" s="27">
        <v>1</v>
      </c>
      <c r="AN396" s="27">
        <v>1</v>
      </c>
      <c r="AO396" s="124">
        <f t="shared" si="278"/>
        <v>1</v>
      </c>
      <c r="AP396" s="27">
        <v>1</v>
      </c>
      <c r="AQ396" s="21">
        <v>11125001</v>
      </c>
      <c r="AR396" s="21" t="s">
        <v>1740</v>
      </c>
      <c r="AS396" s="68"/>
      <c r="AT396" s="68"/>
      <c r="AU396" s="68"/>
    </row>
    <row r="397" spans="1:47" x14ac:dyDescent="0.3">
      <c r="A397" s="19"/>
      <c r="B397" s="109">
        <v>11125002</v>
      </c>
      <c r="C397" s="99" t="str">
        <f t="shared" ref="C397:C398" si="313">IF(K397&gt;0,MID(K397,5, 1), 0)</f>
        <v>1</v>
      </c>
      <c r="D397" s="121">
        <f>COUNTIFS($F$33:F397,F397, $G$33:G397,G397, $C$33:C397,C397, $L$33:L397,L397)</f>
        <v>2</v>
      </c>
      <c r="E397" s="20">
        <v>1</v>
      </c>
      <c r="F397" s="20">
        <v>5</v>
      </c>
      <c r="G397" s="20">
        <v>1</v>
      </c>
      <c r="H397" s="103" t="s">
        <v>964</v>
      </c>
      <c r="I397" s="20" t="s">
        <v>2165</v>
      </c>
      <c r="J397" s="104" t="str">
        <f t="shared" si="285"/>
        <v>Item_Name_11125002</v>
      </c>
      <c r="K397" s="20">
        <v>10101001</v>
      </c>
      <c r="L397" s="108">
        <f t="shared" si="292"/>
        <v>2</v>
      </c>
      <c r="M397" s="105">
        <f>IF(D397=0, 0, _xlfn.XLOOKUP($F397,'#무게관련'!$B:$B,'#무게관련'!$C:$C)*_xlfn.XLOOKUP($L397,'#무게관련'!$F:$F,'#무게관련'!$G:$G)*100)</f>
        <v>10000</v>
      </c>
      <c r="N397" s="20">
        <v>20500</v>
      </c>
      <c r="O397" s="20">
        <v>1</v>
      </c>
      <c r="P397" s="20">
        <v>15</v>
      </c>
      <c r="Q397" s="20">
        <v>1</v>
      </c>
      <c r="R397" s="20">
        <v>100</v>
      </c>
      <c r="S397" s="20">
        <v>1</v>
      </c>
      <c r="T397" s="20" t="s">
        <v>1875</v>
      </c>
      <c r="U397" s="104" t="str">
        <f t="shared" ref="U397:U398" si="314">"item_bg_grade_0"&amp;L397</f>
        <v>item_bg_grade_02</v>
      </c>
      <c r="V397" s="20" t="s">
        <v>325</v>
      </c>
      <c r="W397" s="20" t="s">
        <v>400</v>
      </c>
      <c r="X397" s="104">
        <v>0</v>
      </c>
      <c r="Y397" s="104">
        <v>0</v>
      </c>
      <c r="Z397" s="104">
        <v>0</v>
      </c>
      <c r="AA397" s="104">
        <v>0</v>
      </c>
      <c r="AB397" s="104">
        <v>0</v>
      </c>
      <c r="AC397" s="104">
        <v>0</v>
      </c>
      <c r="AD397" s="142">
        <v>0</v>
      </c>
      <c r="AE397" s="112">
        <f t="shared" si="293"/>
        <v>20</v>
      </c>
      <c r="AF397" s="70">
        <v>1205020</v>
      </c>
      <c r="AG397" s="105" cm="1">
        <f t="array" ref="AG397">_xlfn.SWITCH(L397,3,1,
           4,1,
           5,1,
           6,1,0)</f>
        <v>0</v>
      </c>
      <c r="AH397" s="147">
        <v>80101201</v>
      </c>
      <c r="AI397" s="90">
        <v>6000</v>
      </c>
      <c r="AJ397" s="90">
        <v>3002</v>
      </c>
      <c r="AK397" s="27">
        <v>2005</v>
      </c>
      <c r="AL397" s="123">
        <f>_xlfn.XLOOKUP(H397,'#각종 참고'!$B$11:$B$20,'#각종 참고'!$D$11:$D$20)</f>
        <v>0</v>
      </c>
      <c r="AM397" s="27">
        <v>1</v>
      </c>
      <c r="AN397" s="27">
        <v>1</v>
      </c>
      <c r="AO397" s="124">
        <f t="shared" si="278"/>
        <v>1</v>
      </c>
      <c r="AP397" s="27">
        <v>1</v>
      </c>
      <c r="AQ397" s="21">
        <v>11125011</v>
      </c>
      <c r="AR397" s="21" t="s">
        <v>2487</v>
      </c>
      <c r="AS397" s="68"/>
      <c r="AT397" s="68"/>
      <c r="AU397" s="68"/>
    </row>
    <row r="398" spans="1:47" x14ac:dyDescent="0.3">
      <c r="A398" s="19"/>
      <c r="B398" s="109">
        <v>11125003</v>
      </c>
      <c r="C398" s="99" t="str">
        <f t="shared" si="313"/>
        <v>1</v>
      </c>
      <c r="D398" s="121">
        <f>COUNTIFS($F$33:F398,F398, $G$33:G398,G398, $C$33:C398,C398, $L$33:L398,L398)</f>
        <v>3</v>
      </c>
      <c r="E398" s="20">
        <v>1</v>
      </c>
      <c r="F398" s="20">
        <v>5</v>
      </c>
      <c r="G398" s="20">
        <v>1</v>
      </c>
      <c r="H398" s="103" t="s">
        <v>964</v>
      </c>
      <c r="I398" s="20" t="s">
        <v>1977</v>
      </c>
      <c r="J398" s="104" t="str">
        <f t="shared" si="285"/>
        <v>Item_Name_11125003</v>
      </c>
      <c r="K398" s="20">
        <v>10101001</v>
      </c>
      <c r="L398" s="108">
        <f t="shared" si="292"/>
        <v>2</v>
      </c>
      <c r="M398" s="105">
        <f>IF(D398=0, 0, _xlfn.XLOOKUP($F398,'#무게관련'!$B:$B,'#무게관련'!$C:$C)*_xlfn.XLOOKUP($L398,'#무게관련'!$F:$F,'#무게관련'!$G:$G)*100)</f>
        <v>10000</v>
      </c>
      <c r="N398" s="20">
        <v>20500</v>
      </c>
      <c r="O398" s="20">
        <v>1</v>
      </c>
      <c r="P398" s="20">
        <v>15</v>
      </c>
      <c r="Q398" s="20">
        <v>1</v>
      </c>
      <c r="R398" s="20">
        <v>100</v>
      </c>
      <c r="S398" s="20">
        <v>1</v>
      </c>
      <c r="T398" s="20" t="s">
        <v>1875</v>
      </c>
      <c r="U398" s="104" t="str">
        <f t="shared" si="314"/>
        <v>item_bg_grade_02</v>
      </c>
      <c r="V398" s="20" t="s">
        <v>325</v>
      </c>
      <c r="W398" s="20" t="s">
        <v>400</v>
      </c>
      <c r="X398" s="104">
        <v>0</v>
      </c>
      <c r="Y398" s="104">
        <v>0</v>
      </c>
      <c r="Z398" s="104">
        <v>0</v>
      </c>
      <c r="AA398" s="104">
        <v>0</v>
      </c>
      <c r="AB398" s="104">
        <v>0</v>
      </c>
      <c r="AC398" s="104">
        <v>0</v>
      </c>
      <c r="AD398" s="142">
        <v>0</v>
      </c>
      <c r="AE398" s="112">
        <f t="shared" si="293"/>
        <v>20</v>
      </c>
      <c r="AF398" s="70">
        <v>1205030</v>
      </c>
      <c r="AG398" s="105" cm="1">
        <f t="array" ref="AG398">_xlfn.SWITCH(L398,3,1,
           4,1,
           5,1,
           6,1,0)</f>
        <v>0</v>
      </c>
      <c r="AH398" s="147">
        <v>80101201</v>
      </c>
      <c r="AI398" s="90">
        <v>6000</v>
      </c>
      <c r="AJ398" s="90">
        <v>3002</v>
      </c>
      <c r="AK398" s="27">
        <v>2005</v>
      </c>
      <c r="AL398" s="123">
        <f>_xlfn.XLOOKUP(H398,'#각종 참고'!$B$11:$B$20,'#각종 참고'!$D$11:$D$20)</f>
        <v>0</v>
      </c>
      <c r="AM398" s="27">
        <v>1</v>
      </c>
      <c r="AN398" s="27">
        <v>1</v>
      </c>
      <c r="AO398" s="124">
        <f t="shared" si="278"/>
        <v>1</v>
      </c>
      <c r="AP398" s="27">
        <v>1</v>
      </c>
      <c r="AQ398" s="21">
        <v>11125021</v>
      </c>
      <c r="AR398" s="21" t="s">
        <v>2488</v>
      </c>
      <c r="AS398" s="68"/>
      <c r="AT398" s="68"/>
      <c r="AU398" s="68"/>
    </row>
    <row r="399" spans="1:47" x14ac:dyDescent="0.3">
      <c r="A399" s="19"/>
      <c r="B399" s="109">
        <v>11135001</v>
      </c>
      <c r="C399" s="99" t="str">
        <f t="shared" si="267"/>
        <v>1</v>
      </c>
      <c r="D399" s="121">
        <f>COUNTIFS($F$33:F399,F399, $G$33:G399,G399, $C$33:C399,C399, $L$33:L399,L399)</f>
        <v>1</v>
      </c>
      <c r="E399" s="20">
        <v>1</v>
      </c>
      <c r="F399" s="20">
        <v>5</v>
      </c>
      <c r="G399" s="20">
        <v>1</v>
      </c>
      <c r="H399" s="103" t="s">
        <v>964</v>
      </c>
      <c r="I399" s="20" t="s">
        <v>1741</v>
      </c>
      <c r="J399" s="104" t="str">
        <f t="shared" si="285"/>
        <v>Item_Name_11135001</v>
      </c>
      <c r="K399" s="20">
        <v>10101001</v>
      </c>
      <c r="L399" s="108">
        <f t="shared" si="292"/>
        <v>3</v>
      </c>
      <c r="M399" s="105">
        <f>IF(D399=0, 0, _xlfn.XLOOKUP($F399,'#무게관련'!$B:$B,'#무게관련'!$C:$C)*_xlfn.XLOOKUP($L399,'#무게관련'!$F:$F,'#무게관련'!$G:$G)*100)</f>
        <v>10000</v>
      </c>
      <c r="N399" s="20">
        <v>20500</v>
      </c>
      <c r="O399" s="20">
        <v>1</v>
      </c>
      <c r="P399" s="20">
        <v>15</v>
      </c>
      <c r="Q399" s="20">
        <v>1</v>
      </c>
      <c r="R399" s="20">
        <v>100</v>
      </c>
      <c r="S399" s="20">
        <v>1</v>
      </c>
      <c r="T399" s="20" t="s">
        <v>1876</v>
      </c>
      <c r="U399" s="104" t="str">
        <f t="shared" si="224"/>
        <v>item_bg_grade_03</v>
      </c>
      <c r="V399" s="20" t="s">
        <v>325</v>
      </c>
      <c r="W399" s="20" t="s">
        <v>400</v>
      </c>
      <c r="X399" s="104">
        <v>0</v>
      </c>
      <c r="Y399" s="104">
        <v>0</v>
      </c>
      <c r="Z399" s="104">
        <v>0</v>
      </c>
      <c r="AA399" s="104">
        <v>0</v>
      </c>
      <c r="AB399" s="104">
        <v>0</v>
      </c>
      <c r="AC399" s="104">
        <v>0</v>
      </c>
      <c r="AD399" s="142">
        <v>0</v>
      </c>
      <c r="AE399" s="112">
        <f t="shared" si="293"/>
        <v>30</v>
      </c>
      <c r="AF399" s="70">
        <v>1305010</v>
      </c>
      <c r="AG399" s="105" cm="1">
        <f t="array" ref="AG399">_xlfn.SWITCH(L399,3,1,
           4,1,
           5,1,
           6,1,0)</f>
        <v>1</v>
      </c>
      <c r="AH399" s="147">
        <v>80101301</v>
      </c>
      <c r="AI399" s="90">
        <v>6001</v>
      </c>
      <c r="AJ399" s="90">
        <v>3004</v>
      </c>
      <c r="AK399" s="27">
        <v>3005</v>
      </c>
      <c r="AL399" s="123">
        <f>_xlfn.XLOOKUP(H399,'#각종 참고'!$B$11:$B$20,'#각종 참고'!$D$11:$D$20)</f>
        <v>0</v>
      </c>
      <c r="AM399" s="27">
        <v>1</v>
      </c>
      <c r="AN399" s="27">
        <v>1</v>
      </c>
      <c r="AO399" s="124">
        <f t="shared" si="278"/>
        <v>1</v>
      </c>
      <c r="AP399" s="27">
        <v>1</v>
      </c>
      <c r="AQ399" s="21">
        <v>11135001</v>
      </c>
      <c r="AR399" s="21" t="s">
        <v>1741</v>
      </c>
      <c r="AS399" s="68"/>
      <c r="AT399" s="68"/>
      <c r="AU399" s="68"/>
    </row>
    <row r="400" spans="1:47" x14ac:dyDescent="0.3">
      <c r="A400" s="19"/>
      <c r="B400" s="109">
        <v>11135002</v>
      </c>
      <c r="C400" s="99" t="str">
        <f t="shared" ref="C400:C401" si="315">IF(K400&gt;0,MID(K400,5, 1), 0)</f>
        <v>1</v>
      </c>
      <c r="D400" s="121">
        <f>COUNTIFS($F$33:F400,F400, $G$33:G400,G400, $C$33:C400,C400, $L$33:L400,L400)</f>
        <v>2</v>
      </c>
      <c r="E400" s="20">
        <v>1</v>
      </c>
      <c r="F400" s="20">
        <v>5</v>
      </c>
      <c r="G400" s="20">
        <v>1</v>
      </c>
      <c r="H400" s="103" t="s">
        <v>964</v>
      </c>
      <c r="I400" s="20" t="s">
        <v>1742</v>
      </c>
      <c r="J400" s="104" t="str">
        <f t="shared" si="285"/>
        <v>Item_Name_11135002</v>
      </c>
      <c r="K400" s="20">
        <v>10101001</v>
      </c>
      <c r="L400" s="108">
        <f t="shared" si="292"/>
        <v>3</v>
      </c>
      <c r="M400" s="105">
        <f>IF(D400=0, 0, _xlfn.XLOOKUP($F400,'#무게관련'!$B:$B,'#무게관련'!$C:$C)*_xlfn.XLOOKUP($L400,'#무게관련'!$F:$F,'#무게관련'!$G:$G)*100)</f>
        <v>10000</v>
      </c>
      <c r="N400" s="20">
        <v>20500</v>
      </c>
      <c r="O400" s="20">
        <v>1</v>
      </c>
      <c r="P400" s="20">
        <v>15</v>
      </c>
      <c r="Q400" s="20">
        <v>1</v>
      </c>
      <c r="R400" s="20">
        <v>100</v>
      </c>
      <c r="S400" s="20">
        <v>1</v>
      </c>
      <c r="T400" s="20" t="s">
        <v>1876</v>
      </c>
      <c r="U400" s="104" t="str">
        <f t="shared" ref="U400:U401" si="316">"item_bg_grade_0"&amp;L400</f>
        <v>item_bg_grade_03</v>
      </c>
      <c r="V400" s="20" t="s">
        <v>325</v>
      </c>
      <c r="W400" s="20" t="s">
        <v>400</v>
      </c>
      <c r="X400" s="104">
        <v>0</v>
      </c>
      <c r="Y400" s="104">
        <v>0</v>
      </c>
      <c r="Z400" s="104">
        <v>0</v>
      </c>
      <c r="AA400" s="104">
        <v>0</v>
      </c>
      <c r="AB400" s="104">
        <v>0</v>
      </c>
      <c r="AC400" s="104">
        <v>0</v>
      </c>
      <c r="AD400" s="142">
        <v>0</v>
      </c>
      <c r="AE400" s="112">
        <f t="shared" si="293"/>
        <v>30</v>
      </c>
      <c r="AF400" s="70">
        <v>1305020</v>
      </c>
      <c r="AG400" s="105" cm="1">
        <f t="array" ref="AG400">_xlfn.SWITCH(L400,3,1,
           4,1,
           5,1,
           6,1,0)</f>
        <v>1</v>
      </c>
      <c r="AH400" s="147">
        <v>80101301</v>
      </c>
      <c r="AI400" s="90">
        <v>6001</v>
      </c>
      <c r="AJ400" s="90">
        <v>3004</v>
      </c>
      <c r="AK400" s="27">
        <v>3005</v>
      </c>
      <c r="AL400" s="123">
        <f>_xlfn.XLOOKUP(H400,'#각종 참고'!$B$11:$B$20,'#각종 참고'!$D$11:$D$20)</f>
        <v>0</v>
      </c>
      <c r="AM400" s="27">
        <v>1</v>
      </c>
      <c r="AN400" s="27">
        <v>1</v>
      </c>
      <c r="AO400" s="124">
        <f t="shared" si="278"/>
        <v>1</v>
      </c>
      <c r="AP400" s="27">
        <v>1</v>
      </c>
      <c r="AQ400" s="21">
        <v>11135011</v>
      </c>
      <c r="AR400" s="21" t="s">
        <v>2489</v>
      </c>
      <c r="AS400" s="68"/>
      <c r="AT400" s="68"/>
      <c r="AU400" s="68"/>
    </row>
    <row r="401" spans="1:47" x14ac:dyDescent="0.3">
      <c r="A401" s="19"/>
      <c r="B401" s="109">
        <v>11135003</v>
      </c>
      <c r="C401" s="99" t="str">
        <f t="shared" si="315"/>
        <v>1</v>
      </c>
      <c r="D401" s="121">
        <f>COUNTIFS($F$33:F401,F401, $G$33:G401,G401, $C$33:C401,C401, $L$33:L401,L401)</f>
        <v>3</v>
      </c>
      <c r="E401" s="20">
        <v>1</v>
      </c>
      <c r="F401" s="20">
        <v>5</v>
      </c>
      <c r="G401" s="20">
        <v>1</v>
      </c>
      <c r="H401" s="103" t="s">
        <v>964</v>
      </c>
      <c r="I401" s="20" t="s">
        <v>2166</v>
      </c>
      <c r="J401" s="104" t="str">
        <f t="shared" si="285"/>
        <v>Item_Name_11135003</v>
      </c>
      <c r="K401" s="20">
        <v>10101001</v>
      </c>
      <c r="L401" s="108">
        <f t="shared" si="292"/>
        <v>3</v>
      </c>
      <c r="M401" s="105">
        <f>IF(D401=0, 0, _xlfn.XLOOKUP($F401,'#무게관련'!$B:$B,'#무게관련'!$C:$C)*_xlfn.XLOOKUP($L401,'#무게관련'!$F:$F,'#무게관련'!$G:$G)*100)</f>
        <v>10000</v>
      </c>
      <c r="N401" s="20">
        <v>20500</v>
      </c>
      <c r="O401" s="20">
        <v>1</v>
      </c>
      <c r="P401" s="20">
        <v>15</v>
      </c>
      <c r="Q401" s="20">
        <v>1</v>
      </c>
      <c r="R401" s="20">
        <v>100</v>
      </c>
      <c r="S401" s="20">
        <v>1</v>
      </c>
      <c r="T401" s="20" t="s">
        <v>1876</v>
      </c>
      <c r="U401" s="104" t="str">
        <f t="shared" si="316"/>
        <v>item_bg_grade_03</v>
      </c>
      <c r="V401" s="20" t="s">
        <v>325</v>
      </c>
      <c r="W401" s="20" t="s">
        <v>400</v>
      </c>
      <c r="X401" s="104">
        <v>0</v>
      </c>
      <c r="Y401" s="104">
        <v>0</v>
      </c>
      <c r="Z401" s="104">
        <v>0</v>
      </c>
      <c r="AA401" s="104">
        <v>0</v>
      </c>
      <c r="AB401" s="104">
        <v>0</v>
      </c>
      <c r="AC401" s="104">
        <v>0</v>
      </c>
      <c r="AD401" s="142">
        <v>0</v>
      </c>
      <c r="AE401" s="112">
        <f t="shared" si="293"/>
        <v>30</v>
      </c>
      <c r="AF401" s="70">
        <v>1305030</v>
      </c>
      <c r="AG401" s="105" cm="1">
        <f t="array" ref="AG401">_xlfn.SWITCH(L401,3,1,
           4,1,
           5,1,
           6,1,0)</f>
        <v>1</v>
      </c>
      <c r="AH401" s="147">
        <v>80101301</v>
      </c>
      <c r="AI401" s="90">
        <v>6001</v>
      </c>
      <c r="AJ401" s="90">
        <v>3004</v>
      </c>
      <c r="AK401" s="27">
        <v>3005</v>
      </c>
      <c r="AL401" s="123">
        <f>_xlfn.XLOOKUP(H401,'#각종 참고'!$B$11:$B$20,'#각종 참고'!$D$11:$D$20)</f>
        <v>0</v>
      </c>
      <c r="AM401" s="27">
        <v>1</v>
      </c>
      <c r="AN401" s="27">
        <v>1</v>
      </c>
      <c r="AO401" s="124">
        <f t="shared" ref="AO401:AO440" si="317">IF(AM401=1,AM401,AL401)</f>
        <v>1</v>
      </c>
      <c r="AP401" s="27">
        <v>1</v>
      </c>
      <c r="AQ401" s="21">
        <v>11135021</v>
      </c>
      <c r="AR401" s="21" t="s">
        <v>2490</v>
      </c>
      <c r="AS401" s="68"/>
      <c r="AT401" s="68"/>
      <c r="AU401" s="68"/>
    </row>
    <row r="402" spans="1:47" x14ac:dyDescent="0.3">
      <c r="A402" s="19"/>
      <c r="B402" s="109">
        <v>11145001</v>
      </c>
      <c r="C402" s="99" t="str">
        <f t="shared" si="267"/>
        <v>1</v>
      </c>
      <c r="D402" s="121">
        <f>COUNTIFS($F$33:F402,F402, $G$33:G402,G402, $C$33:C402,C402, $L$33:L402,L402)</f>
        <v>1</v>
      </c>
      <c r="E402" s="20">
        <v>1</v>
      </c>
      <c r="F402" s="20">
        <v>5</v>
      </c>
      <c r="G402" s="20">
        <v>1</v>
      </c>
      <c r="H402" s="103" t="s">
        <v>964</v>
      </c>
      <c r="I402" s="20" t="s">
        <v>1743</v>
      </c>
      <c r="J402" s="104" t="str">
        <f t="shared" si="285"/>
        <v>Item_Name_11145001</v>
      </c>
      <c r="K402" s="20">
        <v>10101001</v>
      </c>
      <c r="L402" s="108">
        <f t="shared" si="292"/>
        <v>4</v>
      </c>
      <c r="M402" s="105">
        <f>IF(D402=0, 0, _xlfn.XLOOKUP($F402,'#무게관련'!$B:$B,'#무게관련'!$C:$C)*_xlfn.XLOOKUP($L402,'#무게관련'!$F:$F,'#무게관련'!$G:$G)*100)</f>
        <v>10000</v>
      </c>
      <c r="N402" s="20">
        <v>20500</v>
      </c>
      <c r="O402" s="20">
        <v>1</v>
      </c>
      <c r="P402" s="20">
        <v>15</v>
      </c>
      <c r="Q402" s="20">
        <v>1</v>
      </c>
      <c r="R402" s="20">
        <v>100</v>
      </c>
      <c r="S402" s="20">
        <v>1</v>
      </c>
      <c r="T402" s="20" t="s">
        <v>1877</v>
      </c>
      <c r="U402" s="104" t="str">
        <f t="shared" si="224"/>
        <v>item_bg_grade_04</v>
      </c>
      <c r="V402" s="20" t="s">
        <v>325</v>
      </c>
      <c r="W402" s="20" t="s">
        <v>400</v>
      </c>
      <c r="X402" s="104">
        <v>0</v>
      </c>
      <c r="Y402" s="104">
        <v>0</v>
      </c>
      <c r="Z402" s="104">
        <v>0</v>
      </c>
      <c r="AA402" s="104">
        <v>0</v>
      </c>
      <c r="AB402" s="104">
        <v>0</v>
      </c>
      <c r="AC402" s="104">
        <v>0</v>
      </c>
      <c r="AD402" s="142">
        <v>0</v>
      </c>
      <c r="AE402" s="112">
        <f t="shared" si="293"/>
        <v>40</v>
      </c>
      <c r="AF402" s="70">
        <v>1405010</v>
      </c>
      <c r="AG402" s="105" cm="1">
        <f t="array" ref="AG402">_xlfn.SWITCH(L402,3,1,
           4,1,
           5,1,
           6,1,0)</f>
        <v>1</v>
      </c>
      <c r="AH402" s="147">
        <v>80101401</v>
      </c>
      <c r="AI402" s="90">
        <v>6002</v>
      </c>
      <c r="AJ402" s="90">
        <v>3006</v>
      </c>
      <c r="AK402" s="27">
        <v>4005</v>
      </c>
      <c r="AL402" s="123">
        <f>_xlfn.XLOOKUP(H402,'#각종 참고'!$B$11:$B$20,'#각종 참고'!$D$11:$D$20)</f>
        <v>0</v>
      </c>
      <c r="AM402" s="27">
        <v>1</v>
      </c>
      <c r="AN402" s="27">
        <v>1</v>
      </c>
      <c r="AO402" s="124">
        <f t="shared" si="317"/>
        <v>1</v>
      </c>
      <c r="AP402" s="27">
        <v>1</v>
      </c>
      <c r="AQ402" s="21">
        <v>11145001</v>
      </c>
      <c r="AR402" s="21" t="s">
        <v>1743</v>
      </c>
      <c r="AS402" s="68"/>
      <c r="AT402" s="68"/>
      <c r="AU402" s="68"/>
    </row>
    <row r="403" spans="1:47" x14ac:dyDescent="0.3">
      <c r="A403" s="19"/>
      <c r="B403" s="109">
        <v>11145002</v>
      </c>
      <c r="C403" s="99" t="str">
        <f t="shared" ref="C403:C404" si="318">IF(K403&gt;0,MID(K403,5, 1), 0)</f>
        <v>1</v>
      </c>
      <c r="D403" s="121">
        <f>COUNTIFS($F$33:F403,F403, $G$33:G403,G403, $C$33:C403,C403, $L$33:L403,L403)</f>
        <v>2</v>
      </c>
      <c r="E403" s="20">
        <v>1</v>
      </c>
      <c r="F403" s="20">
        <v>5</v>
      </c>
      <c r="G403" s="20">
        <v>1</v>
      </c>
      <c r="H403" s="103" t="s">
        <v>964</v>
      </c>
      <c r="I403" s="20" t="s">
        <v>1744</v>
      </c>
      <c r="J403" s="104" t="str">
        <f t="shared" si="285"/>
        <v>Item_Name_11145002</v>
      </c>
      <c r="K403" s="20">
        <v>10101001</v>
      </c>
      <c r="L403" s="108">
        <f t="shared" si="292"/>
        <v>4</v>
      </c>
      <c r="M403" s="105">
        <f>IF(D403=0, 0, _xlfn.XLOOKUP($F403,'#무게관련'!$B:$B,'#무게관련'!$C:$C)*_xlfn.XLOOKUP($L403,'#무게관련'!$F:$F,'#무게관련'!$G:$G)*100)</f>
        <v>10000</v>
      </c>
      <c r="N403" s="20">
        <v>20500</v>
      </c>
      <c r="O403" s="20">
        <v>1</v>
      </c>
      <c r="P403" s="20">
        <v>15</v>
      </c>
      <c r="Q403" s="20">
        <v>1</v>
      </c>
      <c r="R403" s="20">
        <v>100</v>
      </c>
      <c r="S403" s="20">
        <v>1</v>
      </c>
      <c r="T403" s="20" t="s">
        <v>1877</v>
      </c>
      <c r="U403" s="104" t="str">
        <f t="shared" ref="U403:U404" si="319">"item_bg_grade_0"&amp;L403</f>
        <v>item_bg_grade_04</v>
      </c>
      <c r="V403" s="20" t="s">
        <v>325</v>
      </c>
      <c r="W403" s="20" t="s">
        <v>400</v>
      </c>
      <c r="X403" s="104">
        <v>0</v>
      </c>
      <c r="Y403" s="104">
        <v>0</v>
      </c>
      <c r="Z403" s="104">
        <v>0</v>
      </c>
      <c r="AA403" s="104">
        <v>0</v>
      </c>
      <c r="AB403" s="104">
        <v>0</v>
      </c>
      <c r="AC403" s="104">
        <v>0</v>
      </c>
      <c r="AD403" s="142">
        <v>0</v>
      </c>
      <c r="AE403" s="112">
        <f t="shared" si="293"/>
        <v>40</v>
      </c>
      <c r="AF403" s="70">
        <v>1405020</v>
      </c>
      <c r="AG403" s="105" cm="1">
        <f t="array" ref="AG403">_xlfn.SWITCH(L403,3,1,
           4,1,
           5,1,
           6,1,0)</f>
        <v>1</v>
      </c>
      <c r="AH403" s="147">
        <v>80101401</v>
      </c>
      <c r="AI403" s="90">
        <v>6002</v>
      </c>
      <c r="AJ403" s="90">
        <v>3006</v>
      </c>
      <c r="AK403" s="27">
        <v>4005</v>
      </c>
      <c r="AL403" s="123">
        <f>_xlfn.XLOOKUP(H403,'#각종 참고'!$B$11:$B$20,'#각종 참고'!$D$11:$D$20)</f>
        <v>0</v>
      </c>
      <c r="AM403" s="27">
        <v>1</v>
      </c>
      <c r="AN403" s="27">
        <v>1</v>
      </c>
      <c r="AO403" s="124">
        <f t="shared" si="317"/>
        <v>1</v>
      </c>
      <c r="AP403" s="27">
        <v>1</v>
      </c>
      <c r="AQ403" s="21">
        <v>11145011</v>
      </c>
      <c r="AR403" s="21" t="s">
        <v>2491</v>
      </c>
      <c r="AS403" s="68"/>
      <c r="AT403" s="68"/>
      <c r="AU403" s="68"/>
    </row>
    <row r="404" spans="1:47" x14ac:dyDescent="0.3">
      <c r="A404" s="19"/>
      <c r="B404" s="109">
        <v>11145003</v>
      </c>
      <c r="C404" s="99" t="str">
        <f t="shared" si="318"/>
        <v>1</v>
      </c>
      <c r="D404" s="121">
        <f>COUNTIFS($F$33:F404,F404, $G$33:G404,G404, $C$33:C404,C404, $L$33:L404,L404)</f>
        <v>3</v>
      </c>
      <c r="E404" s="20">
        <v>1</v>
      </c>
      <c r="F404" s="20">
        <v>5</v>
      </c>
      <c r="G404" s="20">
        <v>1</v>
      </c>
      <c r="H404" s="103" t="s">
        <v>964</v>
      </c>
      <c r="I404" s="20" t="s">
        <v>2009</v>
      </c>
      <c r="J404" s="104" t="str">
        <f t="shared" si="285"/>
        <v>Item_Name_11145003</v>
      </c>
      <c r="K404" s="20">
        <v>10101001</v>
      </c>
      <c r="L404" s="108">
        <f t="shared" si="292"/>
        <v>4</v>
      </c>
      <c r="M404" s="105">
        <f>IF(D404=0, 0, _xlfn.XLOOKUP($F404,'#무게관련'!$B:$B,'#무게관련'!$C:$C)*_xlfn.XLOOKUP($L404,'#무게관련'!$F:$F,'#무게관련'!$G:$G)*100)</f>
        <v>10000</v>
      </c>
      <c r="N404" s="20">
        <v>20500</v>
      </c>
      <c r="O404" s="20">
        <v>1</v>
      </c>
      <c r="P404" s="20">
        <v>15</v>
      </c>
      <c r="Q404" s="20">
        <v>1</v>
      </c>
      <c r="R404" s="20">
        <v>100</v>
      </c>
      <c r="S404" s="20">
        <v>1</v>
      </c>
      <c r="T404" s="20" t="s">
        <v>1877</v>
      </c>
      <c r="U404" s="104" t="str">
        <f t="shared" si="319"/>
        <v>item_bg_grade_04</v>
      </c>
      <c r="V404" s="20" t="s">
        <v>325</v>
      </c>
      <c r="W404" s="20" t="s">
        <v>400</v>
      </c>
      <c r="X404" s="104">
        <v>0</v>
      </c>
      <c r="Y404" s="104">
        <v>0</v>
      </c>
      <c r="Z404" s="104">
        <v>0</v>
      </c>
      <c r="AA404" s="104">
        <v>0</v>
      </c>
      <c r="AB404" s="104">
        <v>0</v>
      </c>
      <c r="AC404" s="104">
        <v>0</v>
      </c>
      <c r="AD404" s="142">
        <v>0</v>
      </c>
      <c r="AE404" s="112">
        <f t="shared" si="293"/>
        <v>40</v>
      </c>
      <c r="AF404" s="70">
        <v>1405030</v>
      </c>
      <c r="AG404" s="105" cm="1">
        <f t="array" ref="AG404">_xlfn.SWITCH(L404,3,1,
           4,1,
           5,1,
           6,1,0)</f>
        <v>1</v>
      </c>
      <c r="AH404" s="147">
        <v>80101401</v>
      </c>
      <c r="AI404" s="90">
        <v>6002</v>
      </c>
      <c r="AJ404" s="90">
        <v>3006</v>
      </c>
      <c r="AK404" s="27">
        <v>4005</v>
      </c>
      <c r="AL404" s="123">
        <f>_xlfn.XLOOKUP(H404,'#각종 참고'!$B$11:$B$20,'#각종 참고'!$D$11:$D$20)</f>
        <v>0</v>
      </c>
      <c r="AM404" s="27">
        <v>1</v>
      </c>
      <c r="AN404" s="27">
        <v>1</v>
      </c>
      <c r="AO404" s="124">
        <f t="shared" si="317"/>
        <v>1</v>
      </c>
      <c r="AP404" s="27">
        <v>1</v>
      </c>
      <c r="AQ404" s="21">
        <v>11145021</v>
      </c>
      <c r="AR404" s="21" t="s">
        <v>2492</v>
      </c>
      <c r="AS404" s="68"/>
      <c r="AT404" s="68"/>
      <c r="AU404" s="68"/>
    </row>
    <row r="405" spans="1:47" x14ac:dyDescent="0.3">
      <c r="A405" s="19"/>
      <c r="B405" s="109">
        <v>11155001</v>
      </c>
      <c r="C405" s="99" t="str">
        <f t="shared" ref="C405:C408" si="320">IF(K405&gt;0,MID(K405,5, 1), 0)</f>
        <v>1</v>
      </c>
      <c r="D405" s="121">
        <f>COUNTIFS($F$33:F405,F405, $G$33:G405,G405, $C$33:C405,C405, $L$33:L405,L405)</f>
        <v>1</v>
      </c>
      <c r="E405" s="20">
        <v>1</v>
      </c>
      <c r="F405" s="20">
        <v>5</v>
      </c>
      <c r="G405" s="20">
        <v>1</v>
      </c>
      <c r="H405" s="103" t="s">
        <v>964</v>
      </c>
      <c r="I405" s="20" t="s">
        <v>1745</v>
      </c>
      <c r="J405" s="104" t="str">
        <f t="shared" si="285"/>
        <v>Item_Name_11155001</v>
      </c>
      <c r="K405" s="20">
        <v>10101001</v>
      </c>
      <c r="L405" s="108">
        <f t="shared" si="292"/>
        <v>5</v>
      </c>
      <c r="M405" s="105">
        <f>IF(D405=0, 0, _xlfn.XLOOKUP($F405,'#무게관련'!$B:$B,'#무게관련'!$C:$C)*_xlfn.XLOOKUP($L405,'#무게관련'!$F:$F,'#무게관련'!$G:$G)*100)</f>
        <v>10000</v>
      </c>
      <c r="N405" s="20">
        <v>20500</v>
      </c>
      <c r="O405" s="20">
        <v>1</v>
      </c>
      <c r="P405" s="20">
        <v>15</v>
      </c>
      <c r="Q405" s="20">
        <v>1</v>
      </c>
      <c r="R405" s="20">
        <v>100</v>
      </c>
      <c r="S405" s="20">
        <v>1</v>
      </c>
      <c r="T405" s="20" t="s">
        <v>1878</v>
      </c>
      <c r="U405" s="104" t="str">
        <f t="shared" ref="U405:U408" si="321">"item_bg_grade_0"&amp;L405</f>
        <v>item_bg_grade_05</v>
      </c>
      <c r="V405" s="20" t="s">
        <v>325</v>
      </c>
      <c r="W405" s="20" t="s">
        <v>400</v>
      </c>
      <c r="X405" s="104">
        <v>0</v>
      </c>
      <c r="Y405" s="104">
        <v>0</v>
      </c>
      <c r="Z405" s="104">
        <v>0</v>
      </c>
      <c r="AA405" s="104">
        <v>0</v>
      </c>
      <c r="AB405" s="104">
        <v>0</v>
      </c>
      <c r="AC405" s="104">
        <v>0</v>
      </c>
      <c r="AD405" s="142">
        <v>0</v>
      </c>
      <c r="AE405" s="112">
        <f t="shared" si="293"/>
        <v>50</v>
      </c>
      <c r="AF405" s="70">
        <v>1505010</v>
      </c>
      <c r="AG405" s="105" cm="1">
        <f t="array" ref="AG405">_xlfn.SWITCH(L405,3,1,
           4,1,
           5,1,
           6,1,0)</f>
        <v>1</v>
      </c>
      <c r="AH405" s="147">
        <v>80101501</v>
      </c>
      <c r="AI405" s="90">
        <v>6003</v>
      </c>
      <c r="AJ405" s="90">
        <v>3008</v>
      </c>
      <c r="AK405" s="27">
        <v>5005</v>
      </c>
      <c r="AL405" s="123">
        <f>_xlfn.XLOOKUP(H405,'#각종 참고'!$B$11:$B$20,'#각종 참고'!$D$11:$D$20)</f>
        <v>0</v>
      </c>
      <c r="AM405" s="27">
        <v>1</v>
      </c>
      <c r="AN405" s="27">
        <v>1</v>
      </c>
      <c r="AO405" s="124">
        <f t="shared" si="317"/>
        <v>1</v>
      </c>
      <c r="AP405" s="27">
        <v>1</v>
      </c>
      <c r="AQ405" s="21">
        <v>11155001</v>
      </c>
      <c r="AR405" s="21" t="s">
        <v>1745</v>
      </c>
      <c r="AS405" s="68"/>
      <c r="AT405" s="68"/>
      <c r="AU405" s="68"/>
    </row>
    <row r="406" spans="1:47" x14ac:dyDescent="0.3">
      <c r="A406" s="19"/>
      <c r="B406" s="109">
        <v>11155002</v>
      </c>
      <c r="C406" s="99" t="str">
        <f t="shared" ref="C406:C407" si="322">IF(K406&gt;0,MID(K406,5, 1), 0)</f>
        <v>1</v>
      </c>
      <c r="D406" s="121">
        <f>COUNTIFS($F$33:F406,F406, $G$33:G406,G406, $C$33:C406,C406, $L$33:L406,L406)</f>
        <v>2</v>
      </c>
      <c r="E406" s="20">
        <v>1</v>
      </c>
      <c r="F406" s="20">
        <v>5</v>
      </c>
      <c r="G406" s="20">
        <v>1</v>
      </c>
      <c r="H406" s="103" t="s">
        <v>964</v>
      </c>
      <c r="I406" s="20" t="s">
        <v>1746</v>
      </c>
      <c r="J406" s="104" t="str">
        <f t="shared" si="285"/>
        <v>Item_Name_11155002</v>
      </c>
      <c r="K406" s="20">
        <v>10101001</v>
      </c>
      <c r="L406" s="108">
        <f t="shared" si="292"/>
        <v>5</v>
      </c>
      <c r="M406" s="105">
        <f>IF(D406=0, 0, _xlfn.XLOOKUP($F406,'#무게관련'!$B:$B,'#무게관련'!$C:$C)*_xlfn.XLOOKUP($L406,'#무게관련'!$F:$F,'#무게관련'!$G:$G)*100)</f>
        <v>10000</v>
      </c>
      <c r="N406" s="20">
        <v>20500</v>
      </c>
      <c r="O406" s="20">
        <v>1</v>
      </c>
      <c r="P406" s="20">
        <v>15</v>
      </c>
      <c r="Q406" s="20">
        <v>1</v>
      </c>
      <c r="R406" s="20">
        <v>100</v>
      </c>
      <c r="S406" s="20">
        <v>1</v>
      </c>
      <c r="T406" s="20" t="s">
        <v>1878</v>
      </c>
      <c r="U406" s="104" t="str">
        <f t="shared" ref="U406:U407" si="323">"item_bg_grade_0"&amp;L406</f>
        <v>item_bg_grade_05</v>
      </c>
      <c r="V406" s="20" t="s">
        <v>325</v>
      </c>
      <c r="W406" s="20" t="s">
        <v>400</v>
      </c>
      <c r="X406" s="104">
        <v>0</v>
      </c>
      <c r="Y406" s="104">
        <v>0</v>
      </c>
      <c r="Z406" s="104">
        <v>0</v>
      </c>
      <c r="AA406" s="104">
        <v>0</v>
      </c>
      <c r="AB406" s="104">
        <v>0</v>
      </c>
      <c r="AC406" s="104">
        <v>0</v>
      </c>
      <c r="AD406" s="142">
        <v>0</v>
      </c>
      <c r="AE406" s="112">
        <f t="shared" si="293"/>
        <v>50</v>
      </c>
      <c r="AF406" s="70">
        <v>1505020</v>
      </c>
      <c r="AG406" s="105" cm="1">
        <f t="array" ref="AG406">_xlfn.SWITCH(L406,3,1,
           4,1,
           5,1,
           6,1,0)</f>
        <v>1</v>
      </c>
      <c r="AH406" s="147">
        <v>80101501</v>
      </c>
      <c r="AI406" s="90">
        <v>6003</v>
      </c>
      <c r="AJ406" s="90">
        <v>3008</v>
      </c>
      <c r="AK406" s="27">
        <v>5005</v>
      </c>
      <c r="AL406" s="123">
        <f>_xlfn.XLOOKUP(H406,'#각종 참고'!$B$11:$B$20,'#각종 참고'!$D$11:$D$20)</f>
        <v>0</v>
      </c>
      <c r="AM406" s="27">
        <v>1</v>
      </c>
      <c r="AN406" s="27">
        <v>1</v>
      </c>
      <c r="AO406" s="124">
        <f t="shared" si="317"/>
        <v>1</v>
      </c>
      <c r="AP406" s="27">
        <v>1</v>
      </c>
      <c r="AQ406" s="21">
        <v>11155011</v>
      </c>
      <c r="AR406" s="21" t="s">
        <v>2493</v>
      </c>
      <c r="AS406" s="68"/>
      <c r="AT406" s="68"/>
      <c r="AU406" s="68"/>
    </row>
    <row r="407" spans="1:47" x14ac:dyDescent="0.3">
      <c r="A407" s="19"/>
      <c r="B407" s="109">
        <v>11155003</v>
      </c>
      <c r="C407" s="99" t="str">
        <f t="shared" si="322"/>
        <v>1</v>
      </c>
      <c r="D407" s="121">
        <f>COUNTIFS($F$33:F407,F407, $G$33:G407,G407, $C$33:C407,C407, $L$33:L407,L407)</f>
        <v>3</v>
      </c>
      <c r="E407" s="20">
        <v>1</v>
      </c>
      <c r="F407" s="20">
        <v>5</v>
      </c>
      <c r="G407" s="20">
        <v>1</v>
      </c>
      <c r="H407" s="103" t="s">
        <v>964</v>
      </c>
      <c r="I407" s="20" t="s">
        <v>1969</v>
      </c>
      <c r="J407" s="104" t="str">
        <f t="shared" si="285"/>
        <v>Item_Name_11155003</v>
      </c>
      <c r="K407" s="20">
        <v>10101001</v>
      </c>
      <c r="L407" s="108">
        <f t="shared" si="292"/>
        <v>5</v>
      </c>
      <c r="M407" s="105">
        <f>IF(D407=0, 0, _xlfn.XLOOKUP($F407,'#무게관련'!$B:$B,'#무게관련'!$C:$C)*_xlfn.XLOOKUP($L407,'#무게관련'!$F:$F,'#무게관련'!$G:$G)*100)</f>
        <v>10000</v>
      </c>
      <c r="N407" s="20">
        <v>20500</v>
      </c>
      <c r="O407" s="20">
        <v>1</v>
      </c>
      <c r="P407" s="20">
        <v>15</v>
      </c>
      <c r="Q407" s="20">
        <v>1</v>
      </c>
      <c r="R407" s="20">
        <v>100</v>
      </c>
      <c r="S407" s="20">
        <v>1</v>
      </c>
      <c r="T407" s="20" t="s">
        <v>1878</v>
      </c>
      <c r="U407" s="104" t="str">
        <f t="shared" si="323"/>
        <v>item_bg_grade_05</v>
      </c>
      <c r="V407" s="20" t="s">
        <v>325</v>
      </c>
      <c r="W407" s="20" t="s">
        <v>400</v>
      </c>
      <c r="X407" s="104">
        <v>0</v>
      </c>
      <c r="Y407" s="104">
        <v>0</v>
      </c>
      <c r="Z407" s="104">
        <v>0</v>
      </c>
      <c r="AA407" s="104">
        <v>0</v>
      </c>
      <c r="AB407" s="104">
        <v>0</v>
      </c>
      <c r="AC407" s="104">
        <v>0</v>
      </c>
      <c r="AD407" s="142">
        <v>0</v>
      </c>
      <c r="AE407" s="112">
        <f t="shared" si="293"/>
        <v>50</v>
      </c>
      <c r="AF407" s="70">
        <v>1505030</v>
      </c>
      <c r="AG407" s="105" cm="1">
        <f t="array" ref="AG407">_xlfn.SWITCH(L407,3,1,
           4,1,
           5,1,
           6,1,0)</f>
        <v>1</v>
      </c>
      <c r="AH407" s="147">
        <v>80101501</v>
      </c>
      <c r="AI407" s="90">
        <v>6003</v>
      </c>
      <c r="AJ407" s="90">
        <v>3008</v>
      </c>
      <c r="AK407" s="27">
        <v>5005</v>
      </c>
      <c r="AL407" s="123">
        <f>_xlfn.XLOOKUP(H407,'#각종 참고'!$B$11:$B$20,'#각종 참고'!$D$11:$D$20)</f>
        <v>0</v>
      </c>
      <c r="AM407" s="27">
        <v>1</v>
      </c>
      <c r="AN407" s="27">
        <v>1</v>
      </c>
      <c r="AO407" s="124">
        <f t="shared" si="317"/>
        <v>1</v>
      </c>
      <c r="AP407" s="27">
        <v>1</v>
      </c>
      <c r="AQ407" s="21">
        <v>11155021</v>
      </c>
      <c r="AR407" s="21" t="s">
        <v>2494</v>
      </c>
      <c r="AS407" s="68"/>
      <c r="AT407" s="68"/>
      <c r="AU407" s="68"/>
    </row>
    <row r="408" spans="1:47" x14ac:dyDescent="0.3">
      <c r="A408" s="19"/>
      <c r="B408" s="109">
        <v>11165001</v>
      </c>
      <c r="C408" s="99" t="str">
        <f t="shared" si="320"/>
        <v>1</v>
      </c>
      <c r="D408" s="121">
        <f>COUNTIFS($F$33:F408,F408, $G$33:G408,G408, $C$33:C408,C408, $L$33:L408,L408)</f>
        <v>1</v>
      </c>
      <c r="E408" s="20">
        <v>1</v>
      </c>
      <c r="F408" s="20">
        <v>5</v>
      </c>
      <c r="G408" s="20">
        <v>1</v>
      </c>
      <c r="H408" s="103" t="s">
        <v>964</v>
      </c>
      <c r="I408" s="20" t="s">
        <v>1747</v>
      </c>
      <c r="J408" s="104" t="str">
        <f t="shared" si="285"/>
        <v>Item_Name_11165001</v>
      </c>
      <c r="K408" s="20">
        <v>10101001</v>
      </c>
      <c r="L408" s="108">
        <f t="shared" si="292"/>
        <v>6</v>
      </c>
      <c r="M408" s="105">
        <f>IF(D408=0, 0, _xlfn.XLOOKUP($F408,'#무게관련'!$B:$B,'#무게관련'!$C:$C)*_xlfn.XLOOKUP($L408,'#무게관련'!$F:$F,'#무게관련'!$G:$G)*100)</f>
        <v>10000</v>
      </c>
      <c r="N408" s="20">
        <v>20500</v>
      </c>
      <c r="O408" s="20">
        <v>1</v>
      </c>
      <c r="P408" s="20">
        <v>15</v>
      </c>
      <c r="Q408" s="20">
        <v>1</v>
      </c>
      <c r="R408" s="20">
        <v>100</v>
      </c>
      <c r="S408" s="20">
        <v>1</v>
      </c>
      <c r="T408" s="109" t="s">
        <v>1878</v>
      </c>
      <c r="U408" s="104" t="str">
        <f t="shared" si="321"/>
        <v>item_bg_grade_06</v>
      </c>
      <c r="V408" s="20" t="s">
        <v>325</v>
      </c>
      <c r="W408" s="20" t="s">
        <v>400</v>
      </c>
      <c r="X408" s="104">
        <v>0</v>
      </c>
      <c r="Y408" s="104">
        <v>0</v>
      </c>
      <c r="Z408" s="104">
        <v>0</v>
      </c>
      <c r="AA408" s="104">
        <v>0</v>
      </c>
      <c r="AB408" s="104">
        <v>0</v>
      </c>
      <c r="AC408" s="104">
        <v>0</v>
      </c>
      <c r="AD408" s="142">
        <v>0</v>
      </c>
      <c r="AE408" s="112">
        <f t="shared" si="293"/>
        <v>70</v>
      </c>
      <c r="AF408" s="70">
        <v>1605010</v>
      </c>
      <c r="AG408" s="105" cm="1">
        <f t="array" ref="AG408">_xlfn.SWITCH(L408,3,1,
           4,1,
           5,1,
           6,1,0)</f>
        <v>1</v>
      </c>
      <c r="AH408" s="147">
        <v>0</v>
      </c>
      <c r="AI408" s="90">
        <v>6004</v>
      </c>
      <c r="AJ408" s="90">
        <v>3010</v>
      </c>
      <c r="AK408" s="27">
        <v>6005</v>
      </c>
      <c r="AL408" s="123">
        <f>_xlfn.XLOOKUP(H408,'#각종 참고'!$B$11:$B$20,'#각종 참고'!$D$11:$D$20)</f>
        <v>0</v>
      </c>
      <c r="AM408" s="27">
        <v>1</v>
      </c>
      <c r="AN408" s="27">
        <v>1</v>
      </c>
      <c r="AO408" s="124">
        <f t="shared" si="317"/>
        <v>1</v>
      </c>
      <c r="AP408" s="27">
        <v>1</v>
      </c>
      <c r="AQ408" s="21">
        <v>11165001</v>
      </c>
      <c r="AR408" s="21" t="s">
        <v>1747</v>
      </c>
      <c r="AS408" s="68"/>
      <c r="AT408" s="68"/>
      <c r="AU408" s="68"/>
    </row>
    <row r="409" spans="1:47" x14ac:dyDescent="0.3">
      <c r="A409" s="19" t="s">
        <v>513</v>
      </c>
      <c r="B409" s="109">
        <v>11165002</v>
      </c>
      <c r="C409" s="99" t="str">
        <f t="shared" ref="C409:C410" si="324">IF(K409&gt;0,MID(K409,5, 1), 0)</f>
        <v>1</v>
      </c>
      <c r="D409" s="121">
        <f>COUNTIFS($F$33:F409,F409, $G$33:G409,G409, $C$33:C409,C409, $L$33:L409,L409)</f>
        <v>2</v>
      </c>
      <c r="E409" s="20">
        <v>1</v>
      </c>
      <c r="F409" s="20">
        <v>5</v>
      </c>
      <c r="G409" s="20">
        <v>1</v>
      </c>
      <c r="H409" s="103" t="s">
        <v>964</v>
      </c>
      <c r="I409" s="20" t="s">
        <v>2168</v>
      </c>
      <c r="J409" s="104" t="str">
        <f t="shared" si="285"/>
        <v>Item_Name_11165002</v>
      </c>
      <c r="K409" s="20">
        <v>10101001</v>
      </c>
      <c r="L409" s="108">
        <f t="shared" si="292"/>
        <v>6</v>
      </c>
      <c r="M409" s="105">
        <f>IF(D409=0, 0, _xlfn.XLOOKUP($F409,'#무게관련'!$B:$B,'#무게관련'!$C:$C)*_xlfn.XLOOKUP($L409,'#무게관련'!$F:$F,'#무게관련'!$G:$G)*100)</f>
        <v>10000</v>
      </c>
      <c r="N409" s="20">
        <v>20500</v>
      </c>
      <c r="O409" s="20">
        <v>1</v>
      </c>
      <c r="P409" s="20">
        <v>15</v>
      </c>
      <c r="Q409" s="20">
        <v>1</v>
      </c>
      <c r="R409" s="20">
        <v>100</v>
      </c>
      <c r="S409" s="20">
        <v>1</v>
      </c>
      <c r="T409" s="109" t="s">
        <v>1878</v>
      </c>
      <c r="U409" s="104" t="str">
        <f t="shared" ref="U409:U410" si="325">"item_bg_grade_0"&amp;L409</f>
        <v>item_bg_grade_06</v>
      </c>
      <c r="V409" s="20" t="s">
        <v>325</v>
      </c>
      <c r="W409" s="20" t="s">
        <v>400</v>
      </c>
      <c r="X409" s="104">
        <v>0</v>
      </c>
      <c r="Y409" s="104">
        <v>0</v>
      </c>
      <c r="Z409" s="104">
        <v>0</v>
      </c>
      <c r="AA409" s="104">
        <v>0</v>
      </c>
      <c r="AB409" s="104">
        <v>0</v>
      </c>
      <c r="AC409" s="104">
        <v>0</v>
      </c>
      <c r="AD409" s="142">
        <v>0</v>
      </c>
      <c r="AE409" s="112">
        <f t="shared" si="293"/>
        <v>70</v>
      </c>
      <c r="AF409" s="70">
        <v>1605010</v>
      </c>
      <c r="AG409" s="105" cm="1">
        <f t="array" ref="AG409">_xlfn.SWITCH(L409,3,1,
           4,1,
           5,1,
           6,1,0)</f>
        <v>1</v>
      </c>
      <c r="AH409" s="147">
        <v>0</v>
      </c>
      <c r="AI409" s="90">
        <v>6004</v>
      </c>
      <c r="AJ409" s="90">
        <v>3010</v>
      </c>
      <c r="AK409" s="27">
        <v>6005</v>
      </c>
      <c r="AL409" s="123">
        <f>_xlfn.XLOOKUP(H409,'#각종 참고'!$B$11:$B$20,'#각종 참고'!$D$11:$D$20)</f>
        <v>0</v>
      </c>
      <c r="AM409" s="27">
        <v>1</v>
      </c>
      <c r="AN409" s="27">
        <v>1</v>
      </c>
      <c r="AO409" s="124">
        <f t="shared" si="317"/>
        <v>1</v>
      </c>
      <c r="AP409" s="27">
        <v>1</v>
      </c>
      <c r="AQ409" s="21">
        <v>11165011</v>
      </c>
      <c r="AR409" s="21" t="s">
        <v>2495</v>
      </c>
      <c r="AS409" s="68"/>
      <c r="AT409" s="68"/>
      <c r="AU409" s="68"/>
    </row>
    <row r="410" spans="1:47" x14ac:dyDescent="0.3">
      <c r="A410" s="19" t="s">
        <v>513</v>
      </c>
      <c r="B410" s="109">
        <v>11165003</v>
      </c>
      <c r="C410" s="99" t="str">
        <f t="shared" si="324"/>
        <v>1</v>
      </c>
      <c r="D410" s="121">
        <f>COUNTIFS($F$33:F410,F410, $G$33:G410,G410, $C$33:C410,C410, $L$33:L410,L410)</f>
        <v>3</v>
      </c>
      <c r="E410" s="20">
        <v>1</v>
      </c>
      <c r="F410" s="20">
        <v>5</v>
      </c>
      <c r="G410" s="20">
        <v>1</v>
      </c>
      <c r="H410" s="103" t="s">
        <v>964</v>
      </c>
      <c r="I410" s="20" t="s">
        <v>2167</v>
      </c>
      <c r="J410" s="104" t="str">
        <f t="shared" si="285"/>
        <v>Item_Name_11165003</v>
      </c>
      <c r="K410" s="20">
        <v>10101001</v>
      </c>
      <c r="L410" s="108">
        <f t="shared" si="292"/>
        <v>6</v>
      </c>
      <c r="M410" s="105">
        <f>IF(D410=0, 0, _xlfn.XLOOKUP($F410,'#무게관련'!$B:$B,'#무게관련'!$C:$C)*_xlfn.XLOOKUP($L410,'#무게관련'!$F:$F,'#무게관련'!$G:$G)*100)</f>
        <v>10000</v>
      </c>
      <c r="N410" s="20">
        <v>20500</v>
      </c>
      <c r="O410" s="20">
        <v>1</v>
      </c>
      <c r="P410" s="20">
        <v>15</v>
      </c>
      <c r="Q410" s="20">
        <v>1</v>
      </c>
      <c r="R410" s="20">
        <v>100</v>
      </c>
      <c r="S410" s="20">
        <v>1</v>
      </c>
      <c r="T410" s="109" t="s">
        <v>1878</v>
      </c>
      <c r="U410" s="104" t="str">
        <f t="shared" si="325"/>
        <v>item_bg_grade_06</v>
      </c>
      <c r="V410" s="20" t="s">
        <v>325</v>
      </c>
      <c r="W410" s="20" t="s">
        <v>400</v>
      </c>
      <c r="X410" s="104">
        <v>0</v>
      </c>
      <c r="Y410" s="104">
        <v>0</v>
      </c>
      <c r="Z410" s="104">
        <v>0</v>
      </c>
      <c r="AA410" s="104">
        <v>0</v>
      </c>
      <c r="AB410" s="104">
        <v>0</v>
      </c>
      <c r="AC410" s="104">
        <v>0</v>
      </c>
      <c r="AD410" s="142">
        <v>0</v>
      </c>
      <c r="AE410" s="112">
        <f t="shared" si="293"/>
        <v>70</v>
      </c>
      <c r="AF410" s="70">
        <v>1605010</v>
      </c>
      <c r="AG410" s="105" cm="1">
        <f t="array" ref="AG410">_xlfn.SWITCH(L410,3,1,
           4,1,
           5,1,
           6,1,0)</f>
        <v>1</v>
      </c>
      <c r="AH410" s="147">
        <v>0</v>
      </c>
      <c r="AI410" s="90">
        <v>6004</v>
      </c>
      <c r="AJ410" s="90">
        <v>3010</v>
      </c>
      <c r="AK410" s="27">
        <v>6005</v>
      </c>
      <c r="AL410" s="123">
        <f>_xlfn.XLOOKUP(H410,'#각종 참고'!$B$11:$B$20,'#각종 참고'!$D$11:$D$20)</f>
        <v>0</v>
      </c>
      <c r="AM410" s="27">
        <v>1</v>
      </c>
      <c r="AN410" s="27">
        <v>1</v>
      </c>
      <c r="AO410" s="124">
        <f t="shared" si="317"/>
        <v>1</v>
      </c>
      <c r="AP410" s="27">
        <v>1</v>
      </c>
      <c r="AQ410" s="21">
        <v>11165021</v>
      </c>
      <c r="AR410" s="21" t="s">
        <v>2496</v>
      </c>
      <c r="AS410" s="68"/>
      <c r="AT410" s="68"/>
      <c r="AU410" s="68"/>
    </row>
    <row r="411" spans="1:47" s="68" customFormat="1" x14ac:dyDescent="0.3">
      <c r="A411" s="65"/>
      <c r="B411" s="110">
        <v>12115001</v>
      </c>
      <c r="C411" s="99" t="str">
        <f t="shared" si="267"/>
        <v>2</v>
      </c>
      <c r="D411" s="120">
        <f>COUNTIFS($F$33:F411,F411, $G$33:G411,G411, $C$33:C411,C411, $L$33:L411,L411)</f>
        <v>1</v>
      </c>
      <c r="E411" s="20">
        <v>1</v>
      </c>
      <c r="F411" s="66">
        <v>5</v>
      </c>
      <c r="G411" s="66">
        <v>1</v>
      </c>
      <c r="H411" s="103" t="s">
        <v>964</v>
      </c>
      <c r="I411" s="66" t="s">
        <v>1748</v>
      </c>
      <c r="J411" s="104" t="str">
        <f t="shared" si="285"/>
        <v>Item_Name_12115001</v>
      </c>
      <c r="K411" s="66">
        <v>10102001</v>
      </c>
      <c r="L411" s="106">
        <f t="shared" si="292"/>
        <v>1</v>
      </c>
      <c r="M411" s="105">
        <f>IF(D411=0, 0, _xlfn.XLOOKUP($F411,'#무게관련'!$B:$B,'#무게관련'!$C:$C)*_xlfn.XLOOKUP($L411,'#무게관련'!$F:$F,'#무게관련'!$G:$G)*100)</f>
        <v>10000</v>
      </c>
      <c r="N411" s="20">
        <v>20500</v>
      </c>
      <c r="O411" s="20">
        <v>2</v>
      </c>
      <c r="P411" s="66">
        <v>15</v>
      </c>
      <c r="Q411" s="20">
        <v>1</v>
      </c>
      <c r="R411" s="66">
        <v>100</v>
      </c>
      <c r="S411" s="66">
        <v>1</v>
      </c>
      <c r="T411" s="66" t="s">
        <v>1874</v>
      </c>
      <c r="U411" s="104" t="str">
        <f t="shared" si="224"/>
        <v>item_bg_grade_01</v>
      </c>
      <c r="V411" s="66" t="s">
        <v>325</v>
      </c>
      <c r="W411" s="66" t="s">
        <v>400</v>
      </c>
      <c r="X411" s="104">
        <v>0</v>
      </c>
      <c r="Y411" s="104">
        <v>0</v>
      </c>
      <c r="Z411" s="104">
        <v>0</v>
      </c>
      <c r="AA411" s="104">
        <v>0</v>
      </c>
      <c r="AB411" s="104">
        <v>0</v>
      </c>
      <c r="AC411" s="104">
        <v>0</v>
      </c>
      <c r="AD411" s="142">
        <v>0</v>
      </c>
      <c r="AE411" s="111">
        <f t="shared" si="293"/>
        <v>10</v>
      </c>
      <c r="AF411" s="70">
        <v>2105010</v>
      </c>
      <c r="AG411" s="105" cm="1">
        <f t="array" ref="AG411">_xlfn.SWITCH(L411,3,1,
           4,1,
           5,1,
           6,1,0)</f>
        <v>0</v>
      </c>
      <c r="AH411" s="146">
        <f t="shared" ref="AH411:AH442" si="326">AH393</f>
        <v>80101101</v>
      </c>
      <c r="AI411" s="90">
        <v>0</v>
      </c>
      <c r="AJ411" s="90">
        <v>0</v>
      </c>
      <c r="AK411" s="27">
        <v>0</v>
      </c>
      <c r="AL411" s="123">
        <f>_xlfn.XLOOKUP(H411,'#각종 참고'!$B$11:$B$20,'#각종 참고'!$D$11:$D$20)</f>
        <v>0</v>
      </c>
      <c r="AM411" s="27">
        <v>1</v>
      </c>
      <c r="AN411" s="27">
        <v>1</v>
      </c>
      <c r="AO411" s="124">
        <f t="shared" si="317"/>
        <v>1</v>
      </c>
      <c r="AP411" s="27">
        <v>1</v>
      </c>
      <c r="AQ411" s="21">
        <v>12115001</v>
      </c>
      <c r="AR411" s="68" t="s">
        <v>1748</v>
      </c>
    </row>
    <row r="412" spans="1:47" s="68" customFormat="1" x14ac:dyDescent="0.3">
      <c r="A412" s="65"/>
      <c r="B412" s="110">
        <v>12115002</v>
      </c>
      <c r="C412" s="99" t="str">
        <f t="shared" ref="C412:C413" si="327">IF(K412&gt;0,MID(K412,5, 1), 0)</f>
        <v>2</v>
      </c>
      <c r="D412" s="120">
        <f>COUNTIFS($F$33:F412,F412, $G$33:G412,G412, $C$33:C412,C412, $L$33:L412,L412)</f>
        <v>2</v>
      </c>
      <c r="E412" s="20">
        <v>1</v>
      </c>
      <c r="F412" s="66">
        <v>5</v>
      </c>
      <c r="G412" s="66">
        <v>1</v>
      </c>
      <c r="H412" s="103" t="s">
        <v>964</v>
      </c>
      <c r="I412" s="66" t="s">
        <v>2170</v>
      </c>
      <c r="J412" s="104" t="str">
        <f t="shared" si="285"/>
        <v>Item_Name_12115002</v>
      </c>
      <c r="K412" s="66">
        <v>10102001</v>
      </c>
      <c r="L412" s="106">
        <f t="shared" si="292"/>
        <v>1</v>
      </c>
      <c r="M412" s="105">
        <f>IF(D412=0, 0, _xlfn.XLOOKUP($F412,'#무게관련'!$B:$B,'#무게관련'!$C:$C)*_xlfn.XLOOKUP($L412,'#무게관련'!$F:$F,'#무게관련'!$G:$G)*100)</f>
        <v>10000</v>
      </c>
      <c r="N412" s="20">
        <v>20500</v>
      </c>
      <c r="O412" s="20">
        <v>2</v>
      </c>
      <c r="P412" s="66">
        <v>15</v>
      </c>
      <c r="Q412" s="20">
        <v>1</v>
      </c>
      <c r="R412" s="66">
        <v>100</v>
      </c>
      <c r="S412" s="66">
        <v>1</v>
      </c>
      <c r="T412" s="66" t="s">
        <v>1874</v>
      </c>
      <c r="U412" s="104" t="str">
        <f t="shared" ref="U412:U413" si="328">"item_bg_grade_0"&amp;L412</f>
        <v>item_bg_grade_01</v>
      </c>
      <c r="V412" s="66" t="s">
        <v>325</v>
      </c>
      <c r="W412" s="66" t="s">
        <v>400</v>
      </c>
      <c r="X412" s="104">
        <v>0</v>
      </c>
      <c r="Y412" s="104">
        <v>0</v>
      </c>
      <c r="Z412" s="104">
        <v>0</v>
      </c>
      <c r="AA412" s="104">
        <v>0</v>
      </c>
      <c r="AB412" s="104">
        <v>0</v>
      </c>
      <c r="AC412" s="104">
        <v>0</v>
      </c>
      <c r="AD412" s="142">
        <v>0</v>
      </c>
      <c r="AE412" s="111">
        <f t="shared" si="293"/>
        <v>10</v>
      </c>
      <c r="AF412" s="70">
        <v>2105020</v>
      </c>
      <c r="AG412" s="105" cm="1">
        <f t="array" ref="AG412">_xlfn.SWITCH(L412,3,1,
           4,1,
           5,1,
           6,1,0)</f>
        <v>0</v>
      </c>
      <c r="AH412" s="146">
        <f t="shared" si="326"/>
        <v>80101101</v>
      </c>
      <c r="AI412" s="90">
        <v>0</v>
      </c>
      <c r="AJ412" s="90">
        <v>0</v>
      </c>
      <c r="AK412" s="27">
        <v>0</v>
      </c>
      <c r="AL412" s="123">
        <f>_xlfn.XLOOKUP(H412,'#각종 참고'!$B$11:$B$20,'#각종 참고'!$D$11:$D$20)</f>
        <v>0</v>
      </c>
      <c r="AM412" s="27">
        <v>1</v>
      </c>
      <c r="AN412" s="27">
        <v>1</v>
      </c>
      <c r="AO412" s="124">
        <f t="shared" si="317"/>
        <v>1</v>
      </c>
      <c r="AP412" s="27">
        <v>1</v>
      </c>
      <c r="AQ412" s="21">
        <v>12115011</v>
      </c>
      <c r="AR412" s="68" t="s">
        <v>2497</v>
      </c>
    </row>
    <row r="413" spans="1:47" s="68" customFormat="1" x14ac:dyDescent="0.3">
      <c r="A413" s="65"/>
      <c r="B413" s="110">
        <v>12115003</v>
      </c>
      <c r="C413" s="99" t="str">
        <f t="shared" si="327"/>
        <v>2</v>
      </c>
      <c r="D413" s="120">
        <f>COUNTIFS($F$33:F413,F413, $G$33:G413,G413, $C$33:C413,C413, $L$33:L413,L413)</f>
        <v>3</v>
      </c>
      <c r="E413" s="20">
        <v>1</v>
      </c>
      <c r="F413" s="66">
        <v>5</v>
      </c>
      <c r="G413" s="66">
        <v>1</v>
      </c>
      <c r="H413" s="103" t="s">
        <v>964</v>
      </c>
      <c r="I413" s="66" t="s">
        <v>2169</v>
      </c>
      <c r="J413" s="104" t="str">
        <f t="shared" si="285"/>
        <v>Item_Name_12115003</v>
      </c>
      <c r="K413" s="66">
        <v>10102001</v>
      </c>
      <c r="L413" s="106">
        <f t="shared" si="292"/>
        <v>1</v>
      </c>
      <c r="M413" s="105">
        <f>IF(D413=0, 0, _xlfn.XLOOKUP($F413,'#무게관련'!$B:$B,'#무게관련'!$C:$C)*_xlfn.XLOOKUP($L413,'#무게관련'!$F:$F,'#무게관련'!$G:$G)*100)</f>
        <v>10000</v>
      </c>
      <c r="N413" s="20">
        <v>20500</v>
      </c>
      <c r="O413" s="20">
        <v>2</v>
      </c>
      <c r="P413" s="66">
        <v>15</v>
      </c>
      <c r="Q413" s="20">
        <v>1</v>
      </c>
      <c r="R413" s="66">
        <v>100</v>
      </c>
      <c r="S413" s="66">
        <v>1</v>
      </c>
      <c r="T413" s="66" t="s">
        <v>1874</v>
      </c>
      <c r="U413" s="104" t="str">
        <f t="shared" si="328"/>
        <v>item_bg_grade_01</v>
      </c>
      <c r="V413" s="66" t="s">
        <v>325</v>
      </c>
      <c r="W413" s="66" t="s">
        <v>400</v>
      </c>
      <c r="X413" s="104">
        <v>0</v>
      </c>
      <c r="Y413" s="104">
        <v>0</v>
      </c>
      <c r="Z413" s="104">
        <v>0</v>
      </c>
      <c r="AA413" s="104">
        <v>0</v>
      </c>
      <c r="AB413" s="104">
        <v>0</v>
      </c>
      <c r="AC413" s="104">
        <v>0</v>
      </c>
      <c r="AD413" s="142">
        <v>0</v>
      </c>
      <c r="AE413" s="111">
        <f t="shared" si="293"/>
        <v>10</v>
      </c>
      <c r="AF413" s="70">
        <v>2105030</v>
      </c>
      <c r="AG413" s="105" cm="1">
        <f t="array" ref="AG413">_xlfn.SWITCH(L413,3,1,
           4,1,
           5,1,
           6,1,0)</f>
        <v>0</v>
      </c>
      <c r="AH413" s="146">
        <f t="shared" si="326"/>
        <v>80101101</v>
      </c>
      <c r="AI413" s="90">
        <v>0</v>
      </c>
      <c r="AJ413" s="90">
        <v>0</v>
      </c>
      <c r="AK413" s="27">
        <v>0</v>
      </c>
      <c r="AL413" s="123">
        <f>_xlfn.XLOOKUP(H413,'#각종 참고'!$B$11:$B$20,'#각종 참고'!$D$11:$D$20)</f>
        <v>0</v>
      </c>
      <c r="AM413" s="27">
        <v>1</v>
      </c>
      <c r="AN413" s="27">
        <v>1</v>
      </c>
      <c r="AO413" s="124">
        <f t="shared" si="317"/>
        <v>1</v>
      </c>
      <c r="AP413" s="27">
        <v>1</v>
      </c>
      <c r="AQ413" s="21">
        <v>12115021</v>
      </c>
      <c r="AR413" s="68" t="s">
        <v>2498</v>
      </c>
    </row>
    <row r="414" spans="1:47" x14ac:dyDescent="0.3">
      <c r="A414" s="19"/>
      <c r="B414" s="109">
        <v>12125001</v>
      </c>
      <c r="C414" s="99" t="str">
        <f t="shared" si="267"/>
        <v>2</v>
      </c>
      <c r="D414" s="121">
        <f>COUNTIFS($F$33:F414,F414, $G$33:G414,G414, $C$33:C414,C414, $L$33:L414,L414)</f>
        <v>1</v>
      </c>
      <c r="E414" s="20">
        <v>1</v>
      </c>
      <c r="F414" s="20">
        <v>5</v>
      </c>
      <c r="G414" s="20">
        <v>1</v>
      </c>
      <c r="H414" s="103" t="s">
        <v>964</v>
      </c>
      <c r="I414" s="20" t="s">
        <v>1749</v>
      </c>
      <c r="J414" s="104" t="str">
        <f t="shared" si="285"/>
        <v>Item_Name_12125001</v>
      </c>
      <c r="K414" s="20">
        <v>10102001</v>
      </c>
      <c r="L414" s="107">
        <f t="shared" si="292"/>
        <v>2</v>
      </c>
      <c r="M414" s="105">
        <f>IF(D414=0, 0, _xlfn.XLOOKUP($F414,'#무게관련'!$B:$B,'#무게관련'!$C:$C)*_xlfn.XLOOKUP($L414,'#무게관련'!$F:$F,'#무게관련'!$G:$G)*100)</f>
        <v>10000</v>
      </c>
      <c r="N414" s="20">
        <v>20500</v>
      </c>
      <c r="O414" s="20">
        <v>2</v>
      </c>
      <c r="P414" s="20">
        <v>15</v>
      </c>
      <c r="Q414" s="20">
        <v>1</v>
      </c>
      <c r="R414" s="20">
        <v>100</v>
      </c>
      <c r="S414" s="20">
        <v>1</v>
      </c>
      <c r="T414" s="20" t="s">
        <v>1875</v>
      </c>
      <c r="U414" s="104" t="str">
        <f t="shared" si="224"/>
        <v>item_bg_grade_02</v>
      </c>
      <c r="V414" s="20" t="s">
        <v>325</v>
      </c>
      <c r="W414" s="20" t="s">
        <v>400</v>
      </c>
      <c r="X414" s="104">
        <v>0</v>
      </c>
      <c r="Y414" s="104">
        <v>0</v>
      </c>
      <c r="Z414" s="104">
        <v>0</v>
      </c>
      <c r="AA414" s="104">
        <v>0</v>
      </c>
      <c r="AB414" s="104">
        <v>0</v>
      </c>
      <c r="AC414" s="104">
        <v>0</v>
      </c>
      <c r="AD414" s="142">
        <v>0</v>
      </c>
      <c r="AE414" s="112">
        <f t="shared" si="293"/>
        <v>20</v>
      </c>
      <c r="AF414" s="70">
        <v>2205010</v>
      </c>
      <c r="AG414" s="105" cm="1">
        <f t="array" ref="AG414">_xlfn.SWITCH(L414,3,1,
           4,1,
           5,1,
           6,1,0)</f>
        <v>0</v>
      </c>
      <c r="AH414" s="146">
        <f t="shared" si="326"/>
        <v>80101201</v>
      </c>
      <c r="AI414" s="90">
        <v>6000</v>
      </c>
      <c r="AJ414" s="90">
        <v>3002</v>
      </c>
      <c r="AK414" s="27">
        <v>2005</v>
      </c>
      <c r="AL414" s="123">
        <f>_xlfn.XLOOKUP(H414,'#각종 참고'!$B$11:$B$20,'#각종 참고'!$D$11:$D$20)</f>
        <v>0</v>
      </c>
      <c r="AM414" s="27">
        <v>1</v>
      </c>
      <c r="AN414" s="27">
        <v>1</v>
      </c>
      <c r="AO414" s="124">
        <f t="shared" si="317"/>
        <v>1</v>
      </c>
      <c r="AP414" s="27">
        <v>1</v>
      </c>
      <c r="AQ414" s="21">
        <v>12125001</v>
      </c>
      <c r="AR414" s="21" t="s">
        <v>1749</v>
      </c>
      <c r="AS414" s="68"/>
      <c r="AT414" s="68"/>
      <c r="AU414" s="68"/>
    </row>
    <row r="415" spans="1:47" x14ac:dyDescent="0.3">
      <c r="A415" s="19"/>
      <c r="B415" s="109">
        <v>12125002</v>
      </c>
      <c r="C415" s="99" t="str">
        <f t="shared" ref="C415:C416" si="329">IF(K415&gt;0,MID(K415,5, 1), 0)</f>
        <v>2</v>
      </c>
      <c r="D415" s="121">
        <f>COUNTIFS($F$33:F415,F415, $G$33:G415,G415, $C$33:C415,C415, $L$33:L415,L415)</f>
        <v>2</v>
      </c>
      <c r="E415" s="20">
        <v>1</v>
      </c>
      <c r="F415" s="20">
        <v>5</v>
      </c>
      <c r="G415" s="20">
        <v>1</v>
      </c>
      <c r="H415" s="103" t="s">
        <v>964</v>
      </c>
      <c r="I415" s="20" t="s">
        <v>2171</v>
      </c>
      <c r="J415" s="104" t="str">
        <f t="shared" si="285"/>
        <v>Item_Name_12125002</v>
      </c>
      <c r="K415" s="20">
        <v>10102001</v>
      </c>
      <c r="L415" s="107">
        <f t="shared" si="292"/>
        <v>2</v>
      </c>
      <c r="M415" s="105">
        <f>IF(D415=0, 0, _xlfn.XLOOKUP($F415,'#무게관련'!$B:$B,'#무게관련'!$C:$C)*_xlfn.XLOOKUP($L415,'#무게관련'!$F:$F,'#무게관련'!$G:$G)*100)</f>
        <v>10000</v>
      </c>
      <c r="N415" s="20">
        <v>20500</v>
      </c>
      <c r="O415" s="20">
        <v>2</v>
      </c>
      <c r="P415" s="20">
        <v>15</v>
      </c>
      <c r="Q415" s="20">
        <v>1</v>
      </c>
      <c r="R415" s="20">
        <v>100</v>
      </c>
      <c r="S415" s="20">
        <v>1</v>
      </c>
      <c r="T415" s="20" t="s">
        <v>1875</v>
      </c>
      <c r="U415" s="104" t="str">
        <f t="shared" ref="U415:U416" si="330">"item_bg_grade_0"&amp;L415</f>
        <v>item_bg_grade_02</v>
      </c>
      <c r="V415" s="20" t="s">
        <v>325</v>
      </c>
      <c r="W415" s="20" t="s">
        <v>400</v>
      </c>
      <c r="X415" s="104">
        <v>0</v>
      </c>
      <c r="Y415" s="104">
        <v>0</v>
      </c>
      <c r="Z415" s="104">
        <v>0</v>
      </c>
      <c r="AA415" s="104">
        <v>0</v>
      </c>
      <c r="AB415" s="104">
        <v>0</v>
      </c>
      <c r="AC415" s="104">
        <v>0</v>
      </c>
      <c r="AD415" s="142">
        <v>0</v>
      </c>
      <c r="AE415" s="112">
        <f t="shared" si="293"/>
        <v>20</v>
      </c>
      <c r="AF415" s="70">
        <v>2205020</v>
      </c>
      <c r="AG415" s="105" cm="1">
        <f t="array" ref="AG415">_xlfn.SWITCH(L415,3,1,
           4,1,
           5,1,
           6,1,0)</f>
        <v>0</v>
      </c>
      <c r="AH415" s="146">
        <f t="shared" si="326"/>
        <v>80101201</v>
      </c>
      <c r="AI415" s="90">
        <v>6000</v>
      </c>
      <c r="AJ415" s="90">
        <v>3002</v>
      </c>
      <c r="AK415" s="27">
        <v>2005</v>
      </c>
      <c r="AL415" s="123">
        <f>_xlfn.XLOOKUP(H415,'#각종 참고'!$B$11:$B$20,'#각종 참고'!$D$11:$D$20)</f>
        <v>0</v>
      </c>
      <c r="AM415" s="27">
        <v>1</v>
      </c>
      <c r="AN415" s="27">
        <v>1</v>
      </c>
      <c r="AO415" s="124">
        <f t="shared" si="317"/>
        <v>1</v>
      </c>
      <c r="AP415" s="27">
        <v>1</v>
      </c>
      <c r="AQ415" s="21">
        <v>12125011</v>
      </c>
      <c r="AR415" s="21" t="s">
        <v>2499</v>
      </c>
      <c r="AS415" s="68"/>
      <c r="AT415" s="68"/>
      <c r="AU415" s="68"/>
    </row>
    <row r="416" spans="1:47" x14ac:dyDescent="0.3">
      <c r="A416" s="19"/>
      <c r="B416" s="109">
        <v>12125003</v>
      </c>
      <c r="C416" s="99" t="str">
        <f t="shared" si="329"/>
        <v>2</v>
      </c>
      <c r="D416" s="121">
        <f>COUNTIFS($F$33:F416,F416, $G$33:G416,G416, $C$33:C416,C416, $L$33:L416,L416)</f>
        <v>3</v>
      </c>
      <c r="E416" s="20">
        <v>1</v>
      </c>
      <c r="F416" s="20">
        <v>5</v>
      </c>
      <c r="G416" s="20">
        <v>1</v>
      </c>
      <c r="H416" s="103" t="s">
        <v>964</v>
      </c>
      <c r="I416" s="20" t="s">
        <v>1985</v>
      </c>
      <c r="J416" s="104" t="str">
        <f t="shared" si="285"/>
        <v>Item_Name_12125003</v>
      </c>
      <c r="K416" s="20">
        <v>10102001</v>
      </c>
      <c r="L416" s="107">
        <f t="shared" si="292"/>
        <v>2</v>
      </c>
      <c r="M416" s="105">
        <f>IF(D416=0, 0, _xlfn.XLOOKUP($F416,'#무게관련'!$B:$B,'#무게관련'!$C:$C)*_xlfn.XLOOKUP($L416,'#무게관련'!$F:$F,'#무게관련'!$G:$G)*100)</f>
        <v>10000</v>
      </c>
      <c r="N416" s="20">
        <v>20500</v>
      </c>
      <c r="O416" s="20">
        <v>2</v>
      </c>
      <c r="P416" s="20">
        <v>15</v>
      </c>
      <c r="Q416" s="20">
        <v>1</v>
      </c>
      <c r="R416" s="20">
        <v>100</v>
      </c>
      <c r="S416" s="20">
        <v>1</v>
      </c>
      <c r="T416" s="20" t="s">
        <v>1875</v>
      </c>
      <c r="U416" s="104" t="str">
        <f t="shared" si="330"/>
        <v>item_bg_grade_02</v>
      </c>
      <c r="V416" s="20" t="s">
        <v>325</v>
      </c>
      <c r="W416" s="20" t="s">
        <v>400</v>
      </c>
      <c r="X416" s="104">
        <v>0</v>
      </c>
      <c r="Y416" s="104">
        <v>0</v>
      </c>
      <c r="Z416" s="104">
        <v>0</v>
      </c>
      <c r="AA416" s="104">
        <v>0</v>
      </c>
      <c r="AB416" s="104">
        <v>0</v>
      </c>
      <c r="AC416" s="104">
        <v>0</v>
      </c>
      <c r="AD416" s="142">
        <v>0</v>
      </c>
      <c r="AE416" s="112">
        <f t="shared" si="293"/>
        <v>20</v>
      </c>
      <c r="AF416" s="70">
        <v>2205030</v>
      </c>
      <c r="AG416" s="105" cm="1">
        <f t="array" ref="AG416">_xlfn.SWITCH(L416,3,1,
           4,1,
           5,1,
           6,1,0)</f>
        <v>0</v>
      </c>
      <c r="AH416" s="146">
        <f t="shared" si="326"/>
        <v>80101201</v>
      </c>
      <c r="AI416" s="90">
        <v>6000</v>
      </c>
      <c r="AJ416" s="90">
        <v>3002</v>
      </c>
      <c r="AK416" s="27">
        <v>2005</v>
      </c>
      <c r="AL416" s="123">
        <f>_xlfn.XLOOKUP(H416,'#각종 참고'!$B$11:$B$20,'#각종 참고'!$D$11:$D$20)</f>
        <v>0</v>
      </c>
      <c r="AM416" s="27">
        <v>1</v>
      </c>
      <c r="AN416" s="27">
        <v>1</v>
      </c>
      <c r="AO416" s="124">
        <f t="shared" si="317"/>
        <v>1</v>
      </c>
      <c r="AP416" s="27">
        <v>1</v>
      </c>
      <c r="AQ416" s="21">
        <v>12125021</v>
      </c>
      <c r="AR416" s="21" t="s">
        <v>2500</v>
      </c>
      <c r="AS416" s="68"/>
      <c r="AT416" s="68"/>
      <c r="AU416" s="68"/>
    </row>
    <row r="417" spans="1:47" x14ac:dyDescent="0.3">
      <c r="A417" s="19"/>
      <c r="B417" s="109">
        <v>12135001</v>
      </c>
      <c r="C417" s="99" t="str">
        <f t="shared" si="267"/>
        <v>2</v>
      </c>
      <c r="D417" s="121">
        <f>COUNTIFS($F$33:F417,F417, $G$33:G417,G417, $C$33:C417,C417, $L$33:L417,L417)</f>
        <v>1</v>
      </c>
      <c r="E417" s="20">
        <v>1</v>
      </c>
      <c r="F417" s="20">
        <v>5</v>
      </c>
      <c r="G417" s="20">
        <v>1</v>
      </c>
      <c r="H417" s="103" t="s">
        <v>964</v>
      </c>
      <c r="I417" s="20" t="s">
        <v>1561</v>
      </c>
      <c r="J417" s="104" t="str">
        <f t="shared" si="285"/>
        <v>Item_Name_12135001</v>
      </c>
      <c r="K417" s="20">
        <v>10102001</v>
      </c>
      <c r="L417" s="107">
        <f t="shared" si="292"/>
        <v>3</v>
      </c>
      <c r="M417" s="105">
        <f>IF(D417=0, 0, _xlfn.XLOOKUP($F417,'#무게관련'!$B:$B,'#무게관련'!$C:$C)*_xlfn.XLOOKUP($L417,'#무게관련'!$F:$F,'#무게관련'!$G:$G)*100)</f>
        <v>10000</v>
      </c>
      <c r="N417" s="20">
        <v>20500</v>
      </c>
      <c r="O417" s="20">
        <v>2</v>
      </c>
      <c r="P417" s="20">
        <v>15</v>
      </c>
      <c r="Q417" s="20">
        <v>1</v>
      </c>
      <c r="R417" s="20">
        <v>100</v>
      </c>
      <c r="S417" s="20">
        <v>1</v>
      </c>
      <c r="T417" s="20" t="s">
        <v>1876</v>
      </c>
      <c r="U417" s="104" t="str">
        <f t="shared" si="224"/>
        <v>item_bg_grade_03</v>
      </c>
      <c r="V417" s="20" t="s">
        <v>325</v>
      </c>
      <c r="W417" s="20" t="s">
        <v>400</v>
      </c>
      <c r="X417" s="104">
        <v>0</v>
      </c>
      <c r="Y417" s="104">
        <v>0</v>
      </c>
      <c r="Z417" s="104">
        <v>0</v>
      </c>
      <c r="AA417" s="104">
        <v>0</v>
      </c>
      <c r="AB417" s="104">
        <v>0</v>
      </c>
      <c r="AC417" s="104">
        <v>0</v>
      </c>
      <c r="AD417" s="142">
        <v>0</v>
      </c>
      <c r="AE417" s="112">
        <f t="shared" si="293"/>
        <v>30</v>
      </c>
      <c r="AF417" s="70">
        <v>2305010</v>
      </c>
      <c r="AG417" s="105" cm="1">
        <f t="array" ref="AG417">_xlfn.SWITCH(L417,3,1,
           4,1,
           5,1,
           6,1,0)</f>
        <v>1</v>
      </c>
      <c r="AH417" s="146">
        <f t="shared" si="326"/>
        <v>80101301</v>
      </c>
      <c r="AI417" s="90">
        <v>6001</v>
      </c>
      <c r="AJ417" s="90">
        <v>3004</v>
      </c>
      <c r="AK417" s="27">
        <v>3005</v>
      </c>
      <c r="AL417" s="123">
        <f>_xlfn.XLOOKUP(H417,'#각종 참고'!$B$11:$B$20,'#각종 참고'!$D$11:$D$20)</f>
        <v>0</v>
      </c>
      <c r="AM417" s="27">
        <v>1</v>
      </c>
      <c r="AN417" s="27">
        <v>1</v>
      </c>
      <c r="AO417" s="124">
        <f t="shared" si="317"/>
        <v>1</v>
      </c>
      <c r="AP417" s="27">
        <v>1</v>
      </c>
      <c r="AQ417" s="21">
        <v>12135001</v>
      </c>
      <c r="AR417" s="21" t="s">
        <v>1561</v>
      </c>
      <c r="AS417" s="68"/>
      <c r="AT417" s="68"/>
      <c r="AU417" s="68"/>
    </row>
    <row r="418" spans="1:47" x14ac:dyDescent="0.3">
      <c r="A418" s="19"/>
      <c r="B418" s="109">
        <v>12135002</v>
      </c>
      <c r="C418" s="99" t="str">
        <f t="shared" ref="C418:C419" si="331">IF(K418&gt;0,MID(K418,5, 1), 0)</f>
        <v>2</v>
      </c>
      <c r="D418" s="121">
        <f>COUNTIFS($F$33:F418,F418, $G$33:G418,G418, $C$33:C418,C418, $L$33:L418,L418)</f>
        <v>2</v>
      </c>
      <c r="E418" s="20">
        <v>1</v>
      </c>
      <c r="F418" s="20">
        <v>5</v>
      </c>
      <c r="G418" s="20">
        <v>1</v>
      </c>
      <c r="H418" s="103" t="s">
        <v>964</v>
      </c>
      <c r="I418" s="20" t="s">
        <v>1750</v>
      </c>
      <c r="J418" s="104" t="str">
        <f t="shared" si="285"/>
        <v>Item_Name_12135002</v>
      </c>
      <c r="K418" s="20">
        <v>10102001</v>
      </c>
      <c r="L418" s="107">
        <f t="shared" si="292"/>
        <v>3</v>
      </c>
      <c r="M418" s="105">
        <f>IF(D418=0, 0, _xlfn.XLOOKUP($F418,'#무게관련'!$B:$B,'#무게관련'!$C:$C)*_xlfn.XLOOKUP($L418,'#무게관련'!$F:$F,'#무게관련'!$G:$G)*100)</f>
        <v>10000</v>
      </c>
      <c r="N418" s="20">
        <v>20500</v>
      </c>
      <c r="O418" s="20">
        <v>2</v>
      </c>
      <c r="P418" s="20">
        <v>15</v>
      </c>
      <c r="Q418" s="20">
        <v>1</v>
      </c>
      <c r="R418" s="20">
        <v>100</v>
      </c>
      <c r="S418" s="20">
        <v>1</v>
      </c>
      <c r="T418" s="20" t="s">
        <v>1876</v>
      </c>
      <c r="U418" s="104" t="str">
        <f t="shared" ref="U418:U419" si="332">"item_bg_grade_0"&amp;L418</f>
        <v>item_bg_grade_03</v>
      </c>
      <c r="V418" s="20" t="s">
        <v>325</v>
      </c>
      <c r="W418" s="20" t="s">
        <v>400</v>
      </c>
      <c r="X418" s="104">
        <v>0</v>
      </c>
      <c r="Y418" s="104">
        <v>0</v>
      </c>
      <c r="Z418" s="104">
        <v>0</v>
      </c>
      <c r="AA418" s="104">
        <v>0</v>
      </c>
      <c r="AB418" s="104">
        <v>0</v>
      </c>
      <c r="AC418" s="104">
        <v>0</v>
      </c>
      <c r="AD418" s="142">
        <v>0</v>
      </c>
      <c r="AE418" s="112">
        <f t="shared" si="293"/>
        <v>30</v>
      </c>
      <c r="AF418" s="70">
        <v>2305020</v>
      </c>
      <c r="AG418" s="105" cm="1">
        <f t="array" ref="AG418">_xlfn.SWITCH(L418,3,1,
           4,1,
           5,1,
           6,1,0)</f>
        <v>1</v>
      </c>
      <c r="AH418" s="146">
        <f t="shared" si="326"/>
        <v>80101301</v>
      </c>
      <c r="AI418" s="90">
        <v>6001</v>
      </c>
      <c r="AJ418" s="90">
        <v>3004</v>
      </c>
      <c r="AK418" s="27">
        <v>3005</v>
      </c>
      <c r="AL418" s="123">
        <f>_xlfn.XLOOKUP(H418,'#각종 참고'!$B$11:$B$20,'#각종 참고'!$D$11:$D$20)</f>
        <v>0</v>
      </c>
      <c r="AM418" s="27">
        <v>1</v>
      </c>
      <c r="AN418" s="27">
        <v>1</v>
      </c>
      <c r="AO418" s="124">
        <f t="shared" si="317"/>
        <v>1</v>
      </c>
      <c r="AP418" s="27">
        <v>1</v>
      </c>
      <c r="AQ418" s="21">
        <v>12135011</v>
      </c>
      <c r="AR418" s="21" t="s">
        <v>2501</v>
      </c>
      <c r="AS418" s="68"/>
      <c r="AT418" s="68"/>
      <c r="AU418" s="68"/>
    </row>
    <row r="419" spans="1:47" x14ac:dyDescent="0.3">
      <c r="A419" s="19"/>
      <c r="B419" s="109">
        <v>12135003</v>
      </c>
      <c r="C419" s="99" t="str">
        <f t="shared" si="331"/>
        <v>2</v>
      </c>
      <c r="D419" s="121">
        <f>COUNTIFS($F$33:F419,F419, $G$33:G419,G419, $C$33:C419,C419, $L$33:L419,L419)</f>
        <v>3</v>
      </c>
      <c r="E419" s="20">
        <v>1</v>
      </c>
      <c r="F419" s="20">
        <v>5</v>
      </c>
      <c r="G419" s="20">
        <v>1</v>
      </c>
      <c r="H419" s="103" t="s">
        <v>964</v>
      </c>
      <c r="I419" s="20" t="s">
        <v>2172</v>
      </c>
      <c r="J419" s="104" t="str">
        <f t="shared" si="285"/>
        <v>Item_Name_12135003</v>
      </c>
      <c r="K419" s="20">
        <v>10102001</v>
      </c>
      <c r="L419" s="107">
        <f t="shared" si="292"/>
        <v>3</v>
      </c>
      <c r="M419" s="105">
        <f>IF(D419=0, 0, _xlfn.XLOOKUP($F419,'#무게관련'!$B:$B,'#무게관련'!$C:$C)*_xlfn.XLOOKUP($L419,'#무게관련'!$F:$F,'#무게관련'!$G:$G)*100)</f>
        <v>10000</v>
      </c>
      <c r="N419" s="20">
        <v>20500</v>
      </c>
      <c r="O419" s="20">
        <v>2</v>
      </c>
      <c r="P419" s="20">
        <v>15</v>
      </c>
      <c r="Q419" s="20">
        <v>1</v>
      </c>
      <c r="R419" s="20">
        <v>100</v>
      </c>
      <c r="S419" s="20">
        <v>1</v>
      </c>
      <c r="T419" s="20" t="s">
        <v>1876</v>
      </c>
      <c r="U419" s="104" t="str">
        <f t="shared" si="332"/>
        <v>item_bg_grade_03</v>
      </c>
      <c r="V419" s="20" t="s">
        <v>325</v>
      </c>
      <c r="W419" s="20" t="s">
        <v>400</v>
      </c>
      <c r="X419" s="104">
        <v>0</v>
      </c>
      <c r="Y419" s="104">
        <v>0</v>
      </c>
      <c r="Z419" s="104">
        <v>0</v>
      </c>
      <c r="AA419" s="104">
        <v>0</v>
      </c>
      <c r="AB419" s="104">
        <v>0</v>
      </c>
      <c r="AC419" s="104">
        <v>0</v>
      </c>
      <c r="AD419" s="142">
        <v>0</v>
      </c>
      <c r="AE419" s="112">
        <f t="shared" si="293"/>
        <v>30</v>
      </c>
      <c r="AF419" s="70">
        <v>2305030</v>
      </c>
      <c r="AG419" s="105" cm="1">
        <f t="array" ref="AG419">_xlfn.SWITCH(L419,3,1,
           4,1,
           5,1,
           6,1,0)</f>
        <v>1</v>
      </c>
      <c r="AH419" s="146">
        <f t="shared" si="326"/>
        <v>80101301</v>
      </c>
      <c r="AI419" s="90">
        <v>6001</v>
      </c>
      <c r="AJ419" s="90">
        <v>3004</v>
      </c>
      <c r="AK419" s="27">
        <v>3005</v>
      </c>
      <c r="AL419" s="123">
        <f>_xlfn.XLOOKUP(H419,'#각종 참고'!$B$11:$B$20,'#각종 참고'!$D$11:$D$20)</f>
        <v>0</v>
      </c>
      <c r="AM419" s="27">
        <v>1</v>
      </c>
      <c r="AN419" s="27">
        <v>1</v>
      </c>
      <c r="AO419" s="124">
        <f t="shared" si="317"/>
        <v>1</v>
      </c>
      <c r="AP419" s="27">
        <v>1</v>
      </c>
      <c r="AQ419" s="21">
        <v>12135021</v>
      </c>
      <c r="AR419" s="21" t="s">
        <v>2502</v>
      </c>
      <c r="AS419" s="68"/>
      <c r="AT419" s="68"/>
      <c r="AU419" s="68"/>
    </row>
    <row r="420" spans="1:47" x14ac:dyDescent="0.3">
      <c r="A420" s="19"/>
      <c r="B420" s="109">
        <v>12145001</v>
      </c>
      <c r="C420" s="99" t="str">
        <f t="shared" si="267"/>
        <v>2</v>
      </c>
      <c r="D420" s="121">
        <f>COUNTIFS($F$33:F420,F420, $G$33:G420,G420, $C$33:C420,C420, $L$33:L420,L420)</f>
        <v>1</v>
      </c>
      <c r="E420" s="20">
        <v>1</v>
      </c>
      <c r="F420" s="20">
        <v>5</v>
      </c>
      <c r="G420" s="20">
        <v>1</v>
      </c>
      <c r="H420" s="103" t="s">
        <v>964</v>
      </c>
      <c r="I420" s="20" t="s">
        <v>1562</v>
      </c>
      <c r="J420" s="104" t="str">
        <f t="shared" si="285"/>
        <v>Item_Name_12145001</v>
      </c>
      <c r="K420" s="20">
        <v>10102001</v>
      </c>
      <c r="L420" s="107">
        <f t="shared" si="292"/>
        <v>4</v>
      </c>
      <c r="M420" s="105">
        <f>IF(D420=0, 0, _xlfn.XLOOKUP($F420,'#무게관련'!$B:$B,'#무게관련'!$C:$C)*_xlfn.XLOOKUP($L420,'#무게관련'!$F:$F,'#무게관련'!$G:$G)*100)</f>
        <v>10000</v>
      </c>
      <c r="N420" s="20">
        <v>20500</v>
      </c>
      <c r="O420" s="20">
        <v>2</v>
      </c>
      <c r="P420" s="20">
        <v>15</v>
      </c>
      <c r="Q420" s="20">
        <v>1</v>
      </c>
      <c r="R420" s="20">
        <v>100</v>
      </c>
      <c r="S420" s="20">
        <v>1</v>
      </c>
      <c r="T420" s="20" t="s">
        <v>1877</v>
      </c>
      <c r="U420" s="104" t="str">
        <f t="shared" ref="U420:U546" si="333">"item_bg_grade_0"&amp;L420</f>
        <v>item_bg_grade_04</v>
      </c>
      <c r="V420" s="20" t="s">
        <v>325</v>
      </c>
      <c r="W420" s="20" t="s">
        <v>400</v>
      </c>
      <c r="X420" s="104">
        <v>0</v>
      </c>
      <c r="Y420" s="104">
        <v>0</v>
      </c>
      <c r="Z420" s="104">
        <v>0</v>
      </c>
      <c r="AA420" s="104">
        <v>0</v>
      </c>
      <c r="AB420" s="104">
        <v>0</v>
      </c>
      <c r="AC420" s="104">
        <v>0</v>
      </c>
      <c r="AD420" s="142">
        <v>0</v>
      </c>
      <c r="AE420" s="112">
        <f t="shared" si="293"/>
        <v>40</v>
      </c>
      <c r="AF420" s="70">
        <v>2405010</v>
      </c>
      <c r="AG420" s="105" cm="1">
        <f t="array" ref="AG420">_xlfn.SWITCH(L420,3,1,
           4,1,
           5,1,
           6,1,0)</f>
        <v>1</v>
      </c>
      <c r="AH420" s="146">
        <f t="shared" si="326"/>
        <v>80101401</v>
      </c>
      <c r="AI420" s="90">
        <v>6002</v>
      </c>
      <c r="AJ420" s="90">
        <v>3006</v>
      </c>
      <c r="AK420" s="27">
        <v>4005</v>
      </c>
      <c r="AL420" s="123">
        <f>_xlfn.XLOOKUP(H420,'#각종 참고'!$B$11:$B$20,'#각종 참고'!$D$11:$D$20)</f>
        <v>0</v>
      </c>
      <c r="AM420" s="27">
        <v>1</v>
      </c>
      <c r="AN420" s="27">
        <v>1</v>
      </c>
      <c r="AO420" s="124">
        <f t="shared" si="317"/>
        <v>1</v>
      </c>
      <c r="AP420" s="27">
        <v>1</v>
      </c>
      <c r="AQ420" s="21">
        <v>12145001</v>
      </c>
      <c r="AR420" s="21" t="s">
        <v>1562</v>
      </c>
      <c r="AS420" s="68"/>
      <c r="AT420" s="68"/>
      <c r="AU420" s="68"/>
    </row>
    <row r="421" spans="1:47" x14ac:dyDescent="0.3">
      <c r="A421" s="19"/>
      <c r="B421" s="109">
        <v>12145002</v>
      </c>
      <c r="C421" s="99" t="str">
        <f t="shared" ref="C421:C422" si="334">IF(K421&gt;0,MID(K421,5, 1), 0)</f>
        <v>2</v>
      </c>
      <c r="D421" s="121">
        <f>COUNTIFS($F$33:F421,F421, $G$33:G421,G421, $C$33:C421,C421, $L$33:L421,L421)</f>
        <v>2</v>
      </c>
      <c r="E421" s="20">
        <v>1</v>
      </c>
      <c r="F421" s="20">
        <v>5</v>
      </c>
      <c r="G421" s="20">
        <v>1</v>
      </c>
      <c r="H421" s="103" t="s">
        <v>964</v>
      </c>
      <c r="I421" s="20" t="s">
        <v>1751</v>
      </c>
      <c r="J421" s="104" t="str">
        <f t="shared" si="285"/>
        <v>Item_Name_12145002</v>
      </c>
      <c r="K421" s="20">
        <v>10102001</v>
      </c>
      <c r="L421" s="107">
        <f t="shared" si="292"/>
        <v>4</v>
      </c>
      <c r="M421" s="105">
        <f>IF(D421=0, 0, _xlfn.XLOOKUP($F421,'#무게관련'!$B:$B,'#무게관련'!$C:$C)*_xlfn.XLOOKUP($L421,'#무게관련'!$F:$F,'#무게관련'!$G:$G)*100)</f>
        <v>10000</v>
      </c>
      <c r="N421" s="20">
        <v>20500</v>
      </c>
      <c r="O421" s="20">
        <v>2</v>
      </c>
      <c r="P421" s="20">
        <v>15</v>
      </c>
      <c r="Q421" s="20">
        <v>1</v>
      </c>
      <c r="R421" s="20">
        <v>100</v>
      </c>
      <c r="S421" s="20">
        <v>1</v>
      </c>
      <c r="T421" s="20" t="s">
        <v>1877</v>
      </c>
      <c r="U421" s="104" t="str">
        <f t="shared" ref="U421:U422" si="335">"item_bg_grade_0"&amp;L421</f>
        <v>item_bg_grade_04</v>
      </c>
      <c r="V421" s="20" t="s">
        <v>325</v>
      </c>
      <c r="W421" s="20" t="s">
        <v>400</v>
      </c>
      <c r="X421" s="104">
        <v>0</v>
      </c>
      <c r="Y421" s="104">
        <v>0</v>
      </c>
      <c r="Z421" s="104">
        <v>0</v>
      </c>
      <c r="AA421" s="104">
        <v>0</v>
      </c>
      <c r="AB421" s="104">
        <v>0</v>
      </c>
      <c r="AC421" s="104">
        <v>0</v>
      </c>
      <c r="AD421" s="142">
        <v>0</v>
      </c>
      <c r="AE421" s="112">
        <f t="shared" si="293"/>
        <v>40</v>
      </c>
      <c r="AF421" s="70">
        <v>2405020</v>
      </c>
      <c r="AG421" s="105" cm="1">
        <f t="array" ref="AG421">_xlfn.SWITCH(L421,3,1,
           4,1,
           5,1,
           6,1,0)</f>
        <v>1</v>
      </c>
      <c r="AH421" s="146">
        <f t="shared" si="326"/>
        <v>80101401</v>
      </c>
      <c r="AI421" s="90">
        <v>6002</v>
      </c>
      <c r="AJ421" s="90">
        <v>3006</v>
      </c>
      <c r="AK421" s="27">
        <v>4005</v>
      </c>
      <c r="AL421" s="123">
        <f>_xlfn.XLOOKUP(H421,'#각종 참고'!$B$11:$B$20,'#각종 참고'!$D$11:$D$20)</f>
        <v>0</v>
      </c>
      <c r="AM421" s="27">
        <v>1</v>
      </c>
      <c r="AN421" s="27">
        <v>1</v>
      </c>
      <c r="AO421" s="124">
        <f t="shared" si="317"/>
        <v>1</v>
      </c>
      <c r="AP421" s="27">
        <v>1</v>
      </c>
      <c r="AQ421" s="21">
        <v>12145011</v>
      </c>
      <c r="AR421" s="21" t="s">
        <v>2503</v>
      </c>
      <c r="AS421" s="68"/>
      <c r="AT421" s="68"/>
      <c r="AU421" s="68"/>
    </row>
    <row r="422" spans="1:47" x14ac:dyDescent="0.3">
      <c r="A422" s="19"/>
      <c r="B422" s="109">
        <v>12145003</v>
      </c>
      <c r="C422" s="99" t="str">
        <f t="shared" si="334"/>
        <v>2</v>
      </c>
      <c r="D422" s="121">
        <f>COUNTIFS($F$33:F422,F422, $G$33:G422,G422, $C$33:C422,C422, $L$33:L422,L422)</f>
        <v>3</v>
      </c>
      <c r="E422" s="20">
        <v>1</v>
      </c>
      <c r="F422" s="20">
        <v>5</v>
      </c>
      <c r="G422" s="20">
        <v>1</v>
      </c>
      <c r="H422" s="103" t="s">
        <v>964</v>
      </c>
      <c r="I422" s="20" t="s">
        <v>2001</v>
      </c>
      <c r="J422" s="104" t="str">
        <f t="shared" si="285"/>
        <v>Item_Name_12145003</v>
      </c>
      <c r="K422" s="20">
        <v>10102001</v>
      </c>
      <c r="L422" s="107">
        <f t="shared" si="292"/>
        <v>4</v>
      </c>
      <c r="M422" s="105">
        <f>IF(D422=0, 0, _xlfn.XLOOKUP($F422,'#무게관련'!$B:$B,'#무게관련'!$C:$C)*_xlfn.XLOOKUP($L422,'#무게관련'!$F:$F,'#무게관련'!$G:$G)*100)</f>
        <v>10000</v>
      </c>
      <c r="N422" s="20">
        <v>20500</v>
      </c>
      <c r="O422" s="20">
        <v>2</v>
      </c>
      <c r="P422" s="20">
        <v>15</v>
      </c>
      <c r="Q422" s="20">
        <v>1</v>
      </c>
      <c r="R422" s="20">
        <v>100</v>
      </c>
      <c r="S422" s="20">
        <v>1</v>
      </c>
      <c r="T422" s="20" t="s">
        <v>1877</v>
      </c>
      <c r="U422" s="104" t="str">
        <f t="shared" si="335"/>
        <v>item_bg_grade_04</v>
      </c>
      <c r="V422" s="20" t="s">
        <v>325</v>
      </c>
      <c r="W422" s="20" t="s">
        <v>400</v>
      </c>
      <c r="X422" s="104">
        <v>0</v>
      </c>
      <c r="Y422" s="104">
        <v>0</v>
      </c>
      <c r="Z422" s="104">
        <v>0</v>
      </c>
      <c r="AA422" s="104">
        <v>0</v>
      </c>
      <c r="AB422" s="104">
        <v>0</v>
      </c>
      <c r="AC422" s="104">
        <v>0</v>
      </c>
      <c r="AD422" s="142">
        <v>0</v>
      </c>
      <c r="AE422" s="112">
        <f t="shared" si="293"/>
        <v>40</v>
      </c>
      <c r="AF422" s="70">
        <v>2405030</v>
      </c>
      <c r="AG422" s="105" cm="1">
        <f t="array" ref="AG422">_xlfn.SWITCH(L422,3,1,
           4,1,
           5,1,
           6,1,0)</f>
        <v>1</v>
      </c>
      <c r="AH422" s="146">
        <f t="shared" si="326"/>
        <v>80101401</v>
      </c>
      <c r="AI422" s="90">
        <v>6002</v>
      </c>
      <c r="AJ422" s="90">
        <v>3006</v>
      </c>
      <c r="AK422" s="27">
        <v>4005</v>
      </c>
      <c r="AL422" s="123">
        <f>_xlfn.XLOOKUP(H422,'#각종 참고'!$B$11:$B$20,'#각종 참고'!$D$11:$D$20)</f>
        <v>0</v>
      </c>
      <c r="AM422" s="27">
        <v>1</v>
      </c>
      <c r="AN422" s="27">
        <v>1</v>
      </c>
      <c r="AO422" s="124">
        <f t="shared" si="317"/>
        <v>1</v>
      </c>
      <c r="AP422" s="27">
        <v>1</v>
      </c>
      <c r="AQ422" s="21">
        <v>12145021</v>
      </c>
      <c r="AR422" s="21" t="s">
        <v>2504</v>
      </c>
      <c r="AS422" s="68"/>
      <c r="AT422" s="68"/>
      <c r="AU422" s="68"/>
    </row>
    <row r="423" spans="1:47" x14ac:dyDescent="0.3">
      <c r="A423" s="19"/>
      <c r="B423" s="109">
        <v>12155001</v>
      </c>
      <c r="C423" s="99" t="str">
        <f t="shared" ref="C423:C426" si="336">IF(K423&gt;0,MID(K423,5, 1), 0)</f>
        <v>2</v>
      </c>
      <c r="D423" s="121">
        <f>COUNTIFS($F$33:F423,F423, $G$33:G423,G423, $C$33:C423,C423, $L$33:L423,L423)</f>
        <v>1</v>
      </c>
      <c r="E423" s="20">
        <v>1</v>
      </c>
      <c r="F423" s="20">
        <v>5</v>
      </c>
      <c r="G423" s="20">
        <v>1</v>
      </c>
      <c r="H423" s="103" t="s">
        <v>964</v>
      </c>
      <c r="I423" s="20" t="s">
        <v>1752</v>
      </c>
      <c r="J423" s="104" t="str">
        <f t="shared" si="285"/>
        <v>Item_Name_12155001</v>
      </c>
      <c r="K423" s="20">
        <v>10102001</v>
      </c>
      <c r="L423" s="107">
        <f t="shared" si="292"/>
        <v>5</v>
      </c>
      <c r="M423" s="105">
        <f>IF(D423=0, 0, _xlfn.XLOOKUP($F423,'#무게관련'!$B:$B,'#무게관련'!$C:$C)*_xlfn.XLOOKUP($L423,'#무게관련'!$F:$F,'#무게관련'!$G:$G)*100)</f>
        <v>10000</v>
      </c>
      <c r="N423" s="20">
        <v>20500</v>
      </c>
      <c r="O423" s="20">
        <v>2</v>
      </c>
      <c r="P423" s="20">
        <v>15</v>
      </c>
      <c r="Q423" s="20">
        <v>1</v>
      </c>
      <c r="R423" s="20">
        <v>100</v>
      </c>
      <c r="S423" s="20">
        <v>1</v>
      </c>
      <c r="T423" s="20" t="s">
        <v>1878</v>
      </c>
      <c r="U423" s="104" t="str">
        <f t="shared" ref="U423:U426" si="337">"item_bg_grade_0"&amp;L423</f>
        <v>item_bg_grade_05</v>
      </c>
      <c r="V423" s="20" t="s">
        <v>325</v>
      </c>
      <c r="W423" s="20" t="s">
        <v>400</v>
      </c>
      <c r="X423" s="104">
        <v>0</v>
      </c>
      <c r="Y423" s="104">
        <v>0</v>
      </c>
      <c r="Z423" s="104">
        <v>0</v>
      </c>
      <c r="AA423" s="104">
        <v>0</v>
      </c>
      <c r="AB423" s="104">
        <v>0</v>
      </c>
      <c r="AC423" s="104">
        <v>0</v>
      </c>
      <c r="AD423" s="142">
        <v>0</v>
      </c>
      <c r="AE423" s="112">
        <f t="shared" si="293"/>
        <v>50</v>
      </c>
      <c r="AF423" s="70">
        <v>2505010</v>
      </c>
      <c r="AG423" s="105" cm="1">
        <f t="array" ref="AG423">_xlfn.SWITCH(L423,3,1,
           4,1,
           5,1,
           6,1,0)</f>
        <v>1</v>
      </c>
      <c r="AH423" s="146">
        <f t="shared" si="326"/>
        <v>80101501</v>
      </c>
      <c r="AI423" s="90">
        <v>6003</v>
      </c>
      <c r="AJ423" s="90">
        <v>3008</v>
      </c>
      <c r="AK423" s="27">
        <v>5005</v>
      </c>
      <c r="AL423" s="123">
        <f>_xlfn.XLOOKUP(H423,'#각종 참고'!$B$11:$B$20,'#각종 참고'!$D$11:$D$20)</f>
        <v>0</v>
      </c>
      <c r="AM423" s="27">
        <v>1</v>
      </c>
      <c r="AN423" s="27">
        <v>1</v>
      </c>
      <c r="AO423" s="124">
        <f t="shared" si="317"/>
        <v>1</v>
      </c>
      <c r="AP423" s="27">
        <v>1</v>
      </c>
      <c r="AQ423" s="21">
        <v>12155001</v>
      </c>
      <c r="AR423" s="21" t="s">
        <v>1752</v>
      </c>
      <c r="AS423" s="68"/>
      <c r="AT423" s="68"/>
      <c r="AU423" s="68"/>
    </row>
    <row r="424" spans="1:47" x14ac:dyDescent="0.3">
      <c r="A424" s="19"/>
      <c r="B424" s="109">
        <v>12155002</v>
      </c>
      <c r="C424" s="99" t="str">
        <f t="shared" ref="C424:C425" si="338">IF(K424&gt;0,MID(K424,5, 1), 0)</f>
        <v>2</v>
      </c>
      <c r="D424" s="121">
        <f>COUNTIFS($F$33:F424,F424, $G$33:G424,G424, $C$33:C424,C424, $L$33:L424,L424)</f>
        <v>2</v>
      </c>
      <c r="E424" s="20">
        <v>1</v>
      </c>
      <c r="F424" s="20">
        <v>5</v>
      </c>
      <c r="G424" s="20">
        <v>1</v>
      </c>
      <c r="H424" s="103" t="s">
        <v>964</v>
      </c>
      <c r="I424" s="20" t="s">
        <v>2173</v>
      </c>
      <c r="J424" s="104" t="str">
        <f t="shared" si="285"/>
        <v>Item_Name_12155002</v>
      </c>
      <c r="K424" s="20">
        <v>10102001</v>
      </c>
      <c r="L424" s="107">
        <f t="shared" si="292"/>
        <v>5</v>
      </c>
      <c r="M424" s="105">
        <f>IF(D424=0, 0, _xlfn.XLOOKUP($F424,'#무게관련'!$B:$B,'#무게관련'!$C:$C)*_xlfn.XLOOKUP($L424,'#무게관련'!$F:$F,'#무게관련'!$G:$G)*100)</f>
        <v>10000</v>
      </c>
      <c r="N424" s="20">
        <v>20500</v>
      </c>
      <c r="O424" s="20">
        <v>2</v>
      </c>
      <c r="P424" s="20">
        <v>15</v>
      </c>
      <c r="Q424" s="20">
        <v>1</v>
      </c>
      <c r="R424" s="20">
        <v>100</v>
      </c>
      <c r="S424" s="20">
        <v>1</v>
      </c>
      <c r="T424" s="20" t="s">
        <v>1878</v>
      </c>
      <c r="U424" s="104" t="str">
        <f t="shared" ref="U424:U425" si="339">"item_bg_grade_0"&amp;L424</f>
        <v>item_bg_grade_05</v>
      </c>
      <c r="V424" s="20" t="s">
        <v>325</v>
      </c>
      <c r="W424" s="20" t="s">
        <v>400</v>
      </c>
      <c r="X424" s="104">
        <v>0</v>
      </c>
      <c r="Y424" s="104">
        <v>0</v>
      </c>
      <c r="Z424" s="104">
        <v>0</v>
      </c>
      <c r="AA424" s="104">
        <v>0</v>
      </c>
      <c r="AB424" s="104">
        <v>0</v>
      </c>
      <c r="AC424" s="104">
        <v>0</v>
      </c>
      <c r="AD424" s="142">
        <v>0</v>
      </c>
      <c r="AE424" s="112">
        <f t="shared" si="293"/>
        <v>50</v>
      </c>
      <c r="AF424" s="70">
        <v>2505020</v>
      </c>
      <c r="AG424" s="105" cm="1">
        <f t="array" ref="AG424">_xlfn.SWITCH(L424,3,1,
           4,1,
           5,1,
           6,1,0)</f>
        <v>1</v>
      </c>
      <c r="AH424" s="146">
        <f t="shared" si="326"/>
        <v>80101501</v>
      </c>
      <c r="AI424" s="90">
        <v>6003</v>
      </c>
      <c r="AJ424" s="90">
        <v>3008</v>
      </c>
      <c r="AK424" s="27">
        <v>5005</v>
      </c>
      <c r="AL424" s="123">
        <f>_xlfn.XLOOKUP(H424,'#각종 참고'!$B$11:$B$20,'#각종 참고'!$D$11:$D$20)</f>
        <v>0</v>
      </c>
      <c r="AM424" s="27">
        <v>1</v>
      </c>
      <c r="AN424" s="27">
        <v>1</v>
      </c>
      <c r="AO424" s="124">
        <f t="shared" si="317"/>
        <v>1</v>
      </c>
      <c r="AP424" s="27">
        <v>1</v>
      </c>
      <c r="AQ424" s="21">
        <v>12155011</v>
      </c>
      <c r="AR424" s="21" t="s">
        <v>2505</v>
      </c>
      <c r="AS424" s="68"/>
      <c r="AT424" s="68"/>
      <c r="AU424" s="68"/>
    </row>
    <row r="425" spans="1:47" x14ac:dyDescent="0.3">
      <c r="A425" s="19"/>
      <c r="B425" s="109">
        <v>12155003</v>
      </c>
      <c r="C425" s="99" t="str">
        <f t="shared" si="338"/>
        <v>2</v>
      </c>
      <c r="D425" s="121">
        <f>COUNTIFS($F$33:F425,F425, $G$33:G425,G425, $C$33:C425,C425, $L$33:L425,L425)</f>
        <v>3</v>
      </c>
      <c r="E425" s="20">
        <v>1</v>
      </c>
      <c r="F425" s="20">
        <v>5</v>
      </c>
      <c r="G425" s="20">
        <v>1</v>
      </c>
      <c r="H425" s="103" t="s">
        <v>964</v>
      </c>
      <c r="I425" s="20" t="s">
        <v>1753</v>
      </c>
      <c r="J425" s="104" t="str">
        <f t="shared" si="285"/>
        <v>Item_Name_12155003</v>
      </c>
      <c r="K425" s="20">
        <v>10102001</v>
      </c>
      <c r="L425" s="107">
        <f t="shared" si="292"/>
        <v>5</v>
      </c>
      <c r="M425" s="105">
        <f>IF(D425=0, 0, _xlfn.XLOOKUP($F425,'#무게관련'!$B:$B,'#무게관련'!$C:$C)*_xlfn.XLOOKUP($L425,'#무게관련'!$F:$F,'#무게관련'!$G:$G)*100)</f>
        <v>10000</v>
      </c>
      <c r="N425" s="20">
        <v>20500</v>
      </c>
      <c r="O425" s="20">
        <v>2</v>
      </c>
      <c r="P425" s="20">
        <v>15</v>
      </c>
      <c r="Q425" s="20">
        <v>1</v>
      </c>
      <c r="R425" s="20">
        <v>100</v>
      </c>
      <c r="S425" s="20">
        <v>1</v>
      </c>
      <c r="T425" s="20" t="s">
        <v>1878</v>
      </c>
      <c r="U425" s="104" t="str">
        <f t="shared" si="339"/>
        <v>item_bg_grade_05</v>
      </c>
      <c r="V425" s="20" t="s">
        <v>325</v>
      </c>
      <c r="W425" s="20" t="s">
        <v>400</v>
      </c>
      <c r="X425" s="104">
        <v>0</v>
      </c>
      <c r="Y425" s="104">
        <v>0</v>
      </c>
      <c r="Z425" s="104">
        <v>0</v>
      </c>
      <c r="AA425" s="104">
        <v>0</v>
      </c>
      <c r="AB425" s="104">
        <v>0</v>
      </c>
      <c r="AC425" s="104">
        <v>0</v>
      </c>
      <c r="AD425" s="142">
        <v>0</v>
      </c>
      <c r="AE425" s="112">
        <f t="shared" si="293"/>
        <v>50</v>
      </c>
      <c r="AF425" s="70">
        <v>2505030</v>
      </c>
      <c r="AG425" s="105" cm="1">
        <f t="array" ref="AG425">_xlfn.SWITCH(L425,3,1,
           4,1,
           5,1,
           6,1,0)</f>
        <v>1</v>
      </c>
      <c r="AH425" s="146">
        <f t="shared" si="326"/>
        <v>80101501</v>
      </c>
      <c r="AI425" s="90">
        <v>6003</v>
      </c>
      <c r="AJ425" s="90">
        <v>3008</v>
      </c>
      <c r="AK425" s="27">
        <v>5005</v>
      </c>
      <c r="AL425" s="123">
        <f>_xlfn.XLOOKUP(H425,'#각종 참고'!$B$11:$B$20,'#각종 참고'!$D$11:$D$20)</f>
        <v>0</v>
      </c>
      <c r="AM425" s="27">
        <v>1</v>
      </c>
      <c r="AN425" s="27">
        <v>1</v>
      </c>
      <c r="AO425" s="124">
        <f t="shared" si="317"/>
        <v>1</v>
      </c>
      <c r="AP425" s="27">
        <v>1</v>
      </c>
      <c r="AQ425" s="21">
        <v>12155021</v>
      </c>
      <c r="AR425" s="21" t="s">
        <v>2506</v>
      </c>
      <c r="AS425" s="68"/>
      <c r="AT425" s="68"/>
      <c r="AU425" s="68"/>
    </row>
    <row r="426" spans="1:47" x14ac:dyDescent="0.3">
      <c r="A426" s="19"/>
      <c r="B426" s="109">
        <v>12165001</v>
      </c>
      <c r="C426" s="99" t="str">
        <f t="shared" si="336"/>
        <v>2</v>
      </c>
      <c r="D426" s="121">
        <f>COUNTIFS($F$33:F426,F426, $G$33:G426,G426, $C$33:C426,C426, $L$33:L426,L426)</f>
        <v>1</v>
      </c>
      <c r="E426" s="20">
        <v>1</v>
      </c>
      <c r="F426" s="20">
        <v>5</v>
      </c>
      <c r="G426" s="20">
        <v>1</v>
      </c>
      <c r="H426" s="103" t="s">
        <v>964</v>
      </c>
      <c r="I426" s="20" t="s">
        <v>1754</v>
      </c>
      <c r="J426" s="104" t="str">
        <f t="shared" si="285"/>
        <v>Item_Name_12165001</v>
      </c>
      <c r="K426" s="20">
        <v>10102001</v>
      </c>
      <c r="L426" s="107">
        <f t="shared" si="292"/>
        <v>6</v>
      </c>
      <c r="M426" s="105">
        <f>IF(D426=0, 0, _xlfn.XLOOKUP($F426,'#무게관련'!$B:$B,'#무게관련'!$C:$C)*_xlfn.XLOOKUP($L426,'#무게관련'!$F:$F,'#무게관련'!$G:$G)*100)</f>
        <v>10000</v>
      </c>
      <c r="N426" s="20">
        <v>20500</v>
      </c>
      <c r="O426" s="20">
        <v>2</v>
      </c>
      <c r="P426" s="20">
        <v>15</v>
      </c>
      <c r="Q426" s="20">
        <v>1</v>
      </c>
      <c r="R426" s="20">
        <v>100</v>
      </c>
      <c r="S426" s="20">
        <v>1</v>
      </c>
      <c r="T426" s="109" t="s">
        <v>1878</v>
      </c>
      <c r="U426" s="104" t="str">
        <f t="shared" si="337"/>
        <v>item_bg_grade_06</v>
      </c>
      <c r="V426" s="20" t="s">
        <v>325</v>
      </c>
      <c r="W426" s="20" t="s">
        <v>400</v>
      </c>
      <c r="X426" s="104">
        <v>0</v>
      </c>
      <c r="Y426" s="104">
        <v>0</v>
      </c>
      <c r="Z426" s="104">
        <v>0</v>
      </c>
      <c r="AA426" s="104">
        <v>0</v>
      </c>
      <c r="AB426" s="104">
        <v>0</v>
      </c>
      <c r="AC426" s="104">
        <v>0</v>
      </c>
      <c r="AD426" s="142">
        <v>0</v>
      </c>
      <c r="AE426" s="112">
        <f t="shared" si="293"/>
        <v>70</v>
      </c>
      <c r="AF426" s="70">
        <v>2605010</v>
      </c>
      <c r="AG426" s="105" cm="1">
        <f t="array" ref="AG426">_xlfn.SWITCH(L426,3,1,
           4,1,
           5,1,
           6,1,0)</f>
        <v>1</v>
      </c>
      <c r="AH426" s="146">
        <f t="shared" si="326"/>
        <v>0</v>
      </c>
      <c r="AI426" s="90">
        <v>6004</v>
      </c>
      <c r="AJ426" s="90">
        <v>3010</v>
      </c>
      <c r="AK426" s="27">
        <v>6005</v>
      </c>
      <c r="AL426" s="123">
        <f>_xlfn.XLOOKUP(H426,'#각종 참고'!$B$11:$B$20,'#각종 참고'!$D$11:$D$20)</f>
        <v>0</v>
      </c>
      <c r="AM426" s="27">
        <v>1</v>
      </c>
      <c r="AN426" s="27">
        <v>1</v>
      </c>
      <c r="AO426" s="124">
        <f t="shared" si="317"/>
        <v>1</v>
      </c>
      <c r="AP426" s="27">
        <v>1</v>
      </c>
      <c r="AQ426" s="21">
        <v>12165001</v>
      </c>
      <c r="AR426" s="21" t="s">
        <v>1754</v>
      </c>
      <c r="AS426" s="68"/>
      <c r="AT426" s="68"/>
      <c r="AU426" s="68"/>
    </row>
    <row r="427" spans="1:47" x14ac:dyDescent="0.3">
      <c r="A427" s="19" t="s">
        <v>513</v>
      </c>
      <c r="B427" s="109">
        <v>12165002</v>
      </c>
      <c r="C427" s="99" t="str">
        <f t="shared" ref="C427:C428" si="340">IF(K427&gt;0,MID(K427,5, 1), 0)</f>
        <v>2</v>
      </c>
      <c r="D427" s="121">
        <f>COUNTIFS($F$33:F427,F427, $G$33:G427,G427, $C$33:C427,C427, $L$33:L427,L427)</f>
        <v>2</v>
      </c>
      <c r="E427" s="20">
        <v>1</v>
      </c>
      <c r="F427" s="20">
        <v>5</v>
      </c>
      <c r="G427" s="20">
        <v>1</v>
      </c>
      <c r="H427" s="103" t="s">
        <v>964</v>
      </c>
      <c r="I427" s="20" t="s">
        <v>2175</v>
      </c>
      <c r="J427" s="104" t="str">
        <f t="shared" si="285"/>
        <v>Item_Name_12165002</v>
      </c>
      <c r="K427" s="20">
        <v>10102001</v>
      </c>
      <c r="L427" s="107">
        <f t="shared" si="292"/>
        <v>6</v>
      </c>
      <c r="M427" s="105">
        <f>IF(D427=0, 0, _xlfn.XLOOKUP($F427,'#무게관련'!$B:$B,'#무게관련'!$C:$C)*_xlfn.XLOOKUP($L427,'#무게관련'!$F:$F,'#무게관련'!$G:$G)*100)</f>
        <v>10000</v>
      </c>
      <c r="N427" s="20">
        <v>20500</v>
      </c>
      <c r="O427" s="20">
        <v>2</v>
      </c>
      <c r="P427" s="20">
        <v>15</v>
      </c>
      <c r="Q427" s="20">
        <v>1</v>
      </c>
      <c r="R427" s="20">
        <v>100</v>
      </c>
      <c r="S427" s="20">
        <v>1</v>
      </c>
      <c r="T427" s="109" t="s">
        <v>1878</v>
      </c>
      <c r="U427" s="104" t="str">
        <f t="shared" ref="U427:U428" si="341">"item_bg_grade_0"&amp;L427</f>
        <v>item_bg_grade_06</v>
      </c>
      <c r="V427" s="20" t="s">
        <v>325</v>
      </c>
      <c r="W427" s="20" t="s">
        <v>400</v>
      </c>
      <c r="X427" s="104">
        <v>0</v>
      </c>
      <c r="Y427" s="104">
        <v>0</v>
      </c>
      <c r="Z427" s="104">
        <v>0</v>
      </c>
      <c r="AA427" s="104">
        <v>0</v>
      </c>
      <c r="AB427" s="104">
        <v>0</v>
      </c>
      <c r="AC427" s="104">
        <v>0</v>
      </c>
      <c r="AD427" s="142">
        <v>0</v>
      </c>
      <c r="AE427" s="112">
        <f t="shared" si="293"/>
        <v>70</v>
      </c>
      <c r="AF427" s="70">
        <v>2605010</v>
      </c>
      <c r="AG427" s="105" cm="1">
        <f t="array" ref="AG427">_xlfn.SWITCH(L427,3,1,
           4,1,
           5,1,
           6,1,0)</f>
        <v>1</v>
      </c>
      <c r="AH427" s="146">
        <f t="shared" si="326"/>
        <v>0</v>
      </c>
      <c r="AI427" s="90">
        <v>6004</v>
      </c>
      <c r="AJ427" s="90">
        <v>3010</v>
      </c>
      <c r="AK427" s="27">
        <v>6005</v>
      </c>
      <c r="AL427" s="123">
        <f>_xlfn.XLOOKUP(H427,'#각종 참고'!$B$11:$B$20,'#각종 참고'!$D$11:$D$20)</f>
        <v>0</v>
      </c>
      <c r="AM427" s="27">
        <v>1</v>
      </c>
      <c r="AN427" s="27">
        <v>1</v>
      </c>
      <c r="AO427" s="124">
        <f t="shared" si="317"/>
        <v>1</v>
      </c>
      <c r="AP427" s="27">
        <v>1</v>
      </c>
      <c r="AQ427" s="21">
        <v>12165011</v>
      </c>
      <c r="AR427" s="21" t="s">
        <v>2507</v>
      </c>
      <c r="AS427" s="68"/>
      <c r="AT427" s="68"/>
      <c r="AU427" s="68"/>
    </row>
    <row r="428" spans="1:47" x14ac:dyDescent="0.3">
      <c r="A428" s="19" t="s">
        <v>513</v>
      </c>
      <c r="B428" s="109">
        <v>12165003</v>
      </c>
      <c r="C428" s="99" t="str">
        <f t="shared" si="340"/>
        <v>2</v>
      </c>
      <c r="D428" s="121">
        <f>COUNTIFS($F$33:F428,F428, $G$33:G428,G428, $C$33:C428,C428, $L$33:L428,L428)</f>
        <v>3</v>
      </c>
      <c r="E428" s="20">
        <v>1</v>
      </c>
      <c r="F428" s="20">
        <v>5</v>
      </c>
      <c r="G428" s="20">
        <v>1</v>
      </c>
      <c r="H428" s="103" t="s">
        <v>964</v>
      </c>
      <c r="I428" s="20" t="s">
        <v>2174</v>
      </c>
      <c r="J428" s="104" t="str">
        <f t="shared" si="285"/>
        <v>Item_Name_12165003</v>
      </c>
      <c r="K428" s="20">
        <v>10102001</v>
      </c>
      <c r="L428" s="107">
        <f t="shared" si="292"/>
        <v>6</v>
      </c>
      <c r="M428" s="105">
        <f>IF(D428=0, 0, _xlfn.XLOOKUP($F428,'#무게관련'!$B:$B,'#무게관련'!$C:$C)*_xlfn.XLOOKUP($L428,'#무게관련'!$F:$F,'#무게관련'!$G:$G)*100)</f>
        <v>10000</v>
      </c>
      <c r="N428" s="20">
        <v>20500</v>
      </c>
      <c r="O428" s="20">
        <v>2</v>
      </c>
      <c r="P428" s="20">
        <v>15</v>
      </c>
      <c r="Q428" s="20">
        <v>1</v>
      </c>
      <c r="R428" s="20">
        <v>100</v>
      </c>
      <c r="S428" s="20">
        <v>1</v>
      </c>
      <c r="T428" s="109" t="s">
        <v>1878</v>
      </c>
      <c r="U428" s="104" t="str">
        <f t="shared" si="341"/>
        <v>item_bg_grade_06</v>
      </c>
      <c r="V428" s="20" t="s">
        <v>325</v>
      </c>
      <c r="W428" s="20" t="s">
        <v>400</v>
      </c>
      <c r="X428" s="104">
        <v>0</v>
      </c>
      <c r="Y428" s="104">
        <v>0</v>
      </c>
      <c r="Z428" s="104">
        <v>0</v>
      </c>
      <c r="AA428" s="104">
        <v>0</v>
      </c>
      <c r="AB428" s="104">
        <v>0</v>
      </c>
      <c r="AC428" s="104">
        <v>0</v>
      </c>
      <c r="AD428" s="142">
        <v>0</v>
      </c>
      <c r="AE428" s="112">
        <f t="shared" si="293"/>
        <v>70</v>
      </c>
      <c r="AF428" s="70">
        <v>2605010</v>
      </c>
      <c r="AG428" s="105" cm="1">
        <f t="array" ref="AG428">_xlfn.SWITCH(L428,3,1,
           4,1,
           5,1,
           6,1,0)</f>
        <v>1</v>
      </c>
      <c r="AH428" s="146">
        <f t="shared" si="326"/>
        <v>0</v>
      </c>
      <c r="AI428" s="90">
        <v>6004</v>
      </c>
      <c r="AJ428" s="90">
        <v>3010</v>
      </c>
      <c r="AK428" s="27">
        <v>6005</v>
      </c>
      <c r="AL428" s="123">
        <f>_xlfn.XLOOKUP(H428,'#각종 참고'!$B$11:$B$20,'#각종 참고'!$D$11:$D$20)</f>
        <v>0</v>
      </c>
      <c r="AM428" s="27">
        <v>1</v>
      </c>
      <c r="AN428" s="27">
        <v>1</v>
      </c>
      <c r="AO428" s="124">
        <f t="shared" si="317"/>
        <v>1</v>
      </c>
      <c r="AP428" s="27">
        <v>1</v>
      </c>
      <c r="AQ428" s="21">
        <v>12165021</v>
      </c>
      <c r="AR428" s="21" t="s">
        <v>2508</v>
      </c>
      <c r="AS428" s="68"/>
      <c r="AT428" s="68"/>
      <c r="AU428" s="68"/>
    </row>
    <row r="429" spans="1:47" s="68" customFormat="1" x14ac:dyDescent="0.3">
      <c r="A429" s="65"/>
      <c r="B429" s="110">
        <v>13115001</v>
      </c>
      <c r="C429" s="99" t="str">
        <f t="shared" si="267"/>
        <v>3</v>
      </c>
      <c r="D429" s="120">
        <f>COUNTIFS($F$33:F429,F429, $G$33:G429,G429, $C$33:C429,C429, $L$33:L429,L429)</f>
        <v>1</v>
      </c>
      <c r="E429" s="20">
        <v>1</v>
      </c>
      <c r="F429" s="66">
        <v>5</v>
      </c>
      <c r="G429" s="66">
        <v>1</v>
      </c>
      <c r="H429" s="103" t="s">
        <v>964</v>
      </c>
      <c r="I429" s="66" t="s">
        <v>1755</v>
      </c>
      <c r="J429" s="104" t="str">
        <f t="shared" ref="J429:J492" si="342">"Item_Name_"&amp;$B429</f>
        <v>Item_Name_13115001</v>
      </c>
      <c r="K429" s="66">
        <v>10103001</v>
      </c>
      <c r="L429" s="106">
        <f t="shared" si="292"/>
        <v>1</v>
      </c>
      <c r="M429" s="105">
        <f>IF(D429=0, 0, _xlfn.XLOOKUP($F429,'#무게관련'!$B:$B,'#무게관련'!$C:$C)*_xlfn.XLOOKUP($L429,'#무게관련'!$F:$F,'#무게관련'!$G:$G)*100)</f>
        <v>10000</v>
      </c>
      <c r="N429" s="20">
        <v>20500</v>
      </c>
      <c r="O429" s="20">
        <v>3</v>
      </c>
      <c r="P429" s="66">
        <v>15</v>
      </c>
      <c r="Q429" s="20">
        <v>1</v>
      </c>
      <c r="R429" s="66">
        <v>100</v>
      </c>
      <c r="S429" s="66">
        <v>1</v>
      </c>
      <c r="T429" s="66" t="s">
        <v>1874</v>
      </c>
      <c r="U429" s="104" t="str">
        <f t="shared" si="333"/>
        <v>item_bg_grade_01</v>
      </c>
      <c r="V429" s="66" t="s">
        <v>325</v>
      </c>
      <c r="W429" s="66" t="s">
        <v>400</v>
      </c>
      <c r="X429" s="104">
        <v>0</v>
      </c>
      <c r="Y429" s="104">
        <v>0</v>
      </c>
      <c r="Z429" s="104">
        <v>0</v>
      </c>
      <c r="AA429" s="104">
        <v>0</v>
      </c>
      <c r="AB429" s="104">
        <v>0</v>
      </c>
      <c r="AC429" s="104">
        <v>0</v>
      </c>
      <c r="AD429" s="142">
        <v>0</v>
      </c>
      <c r="AE429" s="111">
        <f t="shared" si="293"/>
        <v>10</v>
      </c>
      <c r="AF429" s="70">
        <v>3105010</v>
      </c>
      <c r="AG429" s="105" cm="1">
        <f t="array" ref="AG429">_xlfn.SWITCH(L429,3,1,
           4,1,
           5,1,
           6,1,0)</f>
        <v>0</v>
      </c>
      <c r="AH429" s="146">
        <f t="shared" si="326"/>
        <v>80101101</v>
      </c>
      <c r="AI429" s="90">
        <v>0</v>
      </c>
      <c r="AJ429" s="90">
        <v>0</v>
      </c>
      <c r="AK429" s="27">
        <v>0</v>
      </c>
      <c r="AL429" s="123">
        <f>_xlfn.XLOOKUP(H429,'#각종 참고'!$B$11:$B$20,'#각종 참고'!$D$11:$D$20)</f>
        <v>0</v>
      </c>
      <c r="AM429" s="27">
        <v>1</v>
      </c>
      <c r="AN429" s="27">
        <v>1</v>
      </c>
      <c r="AO429" s="124">
        <f t="shared" si="317"/>
        <v>1</v>
      </c>
      <c r="AP429" s="27">
        <v>1</v>
      </c>
      <c r="AQ429" s="21">
        <v>13115001</v>
      </c>
      <c r="AR429" s="68" t="s">
        <v>1755</v>
      </c>
    </row>
    <row r="430" spans="1:47" s="68" customFormat="1" x14ac:dyDescent="0.3">
      <c r="A430" s="65"/>
      <c r="B430" s="110">
        <v>13115002</v>
      </c>
      <c r="C430" s="99" t="str">
        <f t="shared" ref="C430:C431" si="343">IF(K430&gt;0,MID(K430,5, 1), 0)</f>
        <v>3</v>
      </c>
      <c r="D430" s="120">
        <f>COUNTIFS($F$33:F430,F430, $G$33:G430,G430, $C$33:C430,C430, $L$33:L430,L430)</f>
        <v>2</v>
      </c>
      <c r="E430" s="20">
        <v>1</v>
      </c>
      <c r="F430" s="66">
        <v>5</v>
      </c>
      <c r="G430" s="66">
        <v>1</v>
      </c>
      <c r="H430" s="103" t="s">
        <v>964</v>
      </c>
      <c r="I430" s="66" t="s">
        <v>2177</v>
      </c>
      <c r="J430" s="104" t="str">
        <f t="shared" si="342"/>
        <v>Item_Name_13115002</v>
      </c>
      <c r="K430" s="66">
        <v>10103001</v>
      </c>
      <c r="L430" s="106">
        <f t="shared" si="292"/>
        <v>1</v>
      </c>
      <c r="M430" s="105">
        <f>IF(D430=0, 0, _xlfn.XLOOKUP($F430,'#무게관련'!$B:$B,'#무게관련'!$C:$C)*_xlfn.XLOOKUP($L430,'#무게관련'!$F:$F,'#무게관련'!$G:$G)*100)</f>
        <v>10000</v>
      </c>
      <c r="N430" s="20">
        <v>20500</v>
      </c>
      <c r="O430" s="20">
        <v>3</v>
      </c>
      <c r="P430" s="66">
        <v>15</v>
      </c>
      <c r="Q430" s="20">
        <v>1</v>
      </c>
      <c r="R430" s="66">
        <v>100</v>
      </c>
      <c r="S430" s="66">
        <v>1</v>
      </c>
      <c r="T430" s="66" t="s">
        <v>1874</v>
      </c>
      <c r="U430" s="104" t="str">
        <f t="shared" ref="U430:U431" si="344">"item_bg_grade_0"&amp;L430</f>
        <v>item_bg_grade_01</v>
      </c>
      <c r="V430" s="66" t="s">
        <v>325</v>
      </c>
      <c r="W430" s="66" t="s">
        <v>400</v>
      </c>
      <c r="X430" s="104">
        <v>0</v>
      </c>
      <c r="Y430" s="104">
        <v>0</v>
      </c>
      <c r="Z430" s="104">
        <v>0</v>
      </c>
      <c r="AA430" s="104">
        <v>0</v>
      </c>
      <c r="AB430" s="104">
        <v>0</v>
      </c>
      <c r="AC430" s="104">
        <v>0</v>
      </c>
      <c r="AD430" s="142">
        <v>0</v>
      </c>
      <c r="AE430" s="111">
        <f t="shared" si="293"/>
        <v>10</v>
      </c>
      <c r="AF430" s="70">
        <v>3105020</v>
      </c>
      <c r="AG430" s="105" cm="1">
        <f t="array" ref="AG430">_xlfn.SWITCH(L430,3,1,
           4,1,
           5,1,
           6,1,0)</f>
        <v>0</v>
      </c>
      <c r="AH430" s="146">
        <f t="shared" si="326"/>
        <v>80101101</v>
      </c>
      <c r="AI430" s="90">
        <v>0</v>
      </c>
      <c r="AJ430" s="90">
        <v>0</v>
      </c>
      <c r="AK430" s="27">
        <v>0</v>
      </c>
      <c r="AL430" s="123">
        <f>_xlfn.XLOOKUP(H430,'#각종 참고'!$B$11:$B$20,'#각종 참고'!$D$11:$D$20)</f>
        <v>0</v>
      </c>
      <c r="AM430" s="27">
        <v>1</v>
      </c>
      <c r="AN430" s="27">
        <v>1</v>
      </c>
      <c r="AO430" s="124">
        <f t="shared" si="317"/>
        <v>1</v>
      </c>
      <c r="AP430" s="27">
        <v>1</v>
      </c>
      <c r="AQ430" s="21">
        <v>13115011</v>
      </c>
      <c r="AR430" s="68" t="s">
        <v>2509</v>
      </c>
    </row>
    <row r="431" spans="1:47" s="68" customFormat="1" x14ac:dyDescent="0.3">
      <c r="A431" s="65"/>
      <c r="B431" s="110">
        <v>13115003</v>
      </c>
      <c r="C431" s="99" t="str">
        <f t="shared" si="343"/>
        <v>3</v>
      </c>
      <c r="D431" s="120">
        <f>COUNTIFS($F$33:F431,F431, $G$33:G431,G431, $C$33:C431,C431, $L$33:L431,L431)</f>
        <v>3</v>
      </c>
      <c r="E431" s="20">
        <v>1</v>
      </c>
      <c r="F431" s="66">
        <v>5</v>
      </c>
      <c r="G431" s="66">
        <v>1</v>
      </c>
      <c r="H431" s="103" t="s">
        <v>964</v>
      </c>
      <c r="I431" s="66" t="s">
        <v>2176</v>
      </c>
      <c r="J431" s="104" t="str">
        <f t="shared" si="342"/>
        <v>Item_Name_13115003</v>
      </c>
      <c r="K431" s="66">
        <v>10103001</v>
      </c>
      <c r="L431" s="106">
        <f t="shared" si="292"/>
        <v>1</v>
      </c>
      <c r="M431" s="105">
        <f>IF(D431=0, 0, _xlfn.XLOOKUP($F431,'#무게관련'!$B:$B,'#무게관련'!$C:$C)*_xlfn.XLOOKUP($L431,'#무게관련'!$F:$F,'#무게관련'!$G:$G)*100)</f>
        <v>10000</v>
      </c>
      <c r="N431" s="20">
        <v>20500</v>
      </c>
      <c r="O431" s="20">
        <v>3</v>
      </c>
      <c r="P431" s="66">
        <v>15</v>
      </c>
      <c r="Q431" s="20">
        <v>1</v>
      </c>
      <c r="R431" s="66">
        <v>100</v>
      </c>
      <c r="S431" s="66">
        <v>1</v>
      </c>
      <c r="T431" s="66" t="s">
        <v>1874</v>
      </c>
      <c r="U431" s="104" t="str">
        <f t="shared" si="344"/>
        <v>item_bg_grade_01</v>
      </c>
      <c r="V431" s="66" t="s">
        <v>325</v>
      </c>
      <c r="W431" s="66" t="s">
        <v>400</v>
      </c>
      <c r="X431" s="104">
        <v>0</v>
      </c>
      <c r="Y431" s="104">
        <v>0</v>
      </c>
      <c r="Z431" s="104">
        <v>0</v>
      </c>
      <c r="AA431" s="104">
        <v>0</v>
      </c>
      <c r="AB431" s="104">
        <v>0</v>
      </c>
      <c r="AC431" s="104">
        <v>0</v>
      </c>
      <c r="AD431" s="142">
        <v>0</v>
      </c>
      <c r="AE431" s="111">
        <f t="shared" si="293"/>
        <v>10</v>
      </c>
      <c r="AF431" s="70">
        <v>3105030</v>
      </c>
      <c r="AG431" s="105" cm="1">
        <f t="array" ref="AG431">_xlfn.SWITCH(L431,3,1,
           4,1,
           5,1,
           6,1,0)</f>
        <v>0</v>
      </c>
      <c r="AH431" s="146">
        <f t="shared" si="326"/>
        <v>80101101</v>
      </c>
      <c r="AI431" s="90">
        <v>0</v>
      </c>
      <c r="AJ431" s="90">
        <v>0</v>
      </c>
      <c r="AK431" s="27">
        <v>0</v>
      </c>
      <c r="AL431" s="123">
        <f>_xlfn.XLOOKUP(H431,'#각종 참고'!$B$11:$B$20,'#각종 참고'!$D$11:$D$20)</f>
        <v>0</v>
      </c>
      <c r="AM431" s="27">
        <v>1</v>
      </c>
      <c r="AN431" s="27">
        <v>1</v>
      </c>
      <c r="AO431" s="124">
        <f t="shared" si="317"/>
        <v>1</v>
      </c>
      <c r="AP431" s="27">
        <v>1</v>
      </c>
      <c r="AQ431" s="21">
        <v>13115021</v>
      </c>
      <c r="AR431" s="68" t="s">
        <v>2510</v>
      </c>
    </row>
    <row r="432" spans="1:47" x14ac:dyDescent="0.3">
      <c r="A432" s="19"/>
      <c r="B432" s="109">
        <v>13125001</v>
      </c>
      <c r="C432" s="99" t="str">
        <f t="shared" si="267"/>
        <v>3</v>
      </c>
      <c r="D432" s="121">
        <f>COUNTIFS($F$33:F432,F432, $G$33:G432,G432, $C$33:C432,C432, $L$33:L432,L432)</f>
        <v>1</v>
      </c>
      <c r="E432" s="20">
        <v>1</v>
      </c>
      <c r="F432" s="20">
        <v>5</v>
      </c>
      <c r="G432" s="20">
        <v>1</v>
      </c>
      <c r="H432" s="103" t="s">
        <v>964</v>
      </c>
      <c r="I432" s="20" t="s">
        <v>1756</v>
      </c>
      <c r="J432" s="104" t="str">
        <f t="shared" si="342"/>
        <v>Item_Name_13125001</v>
      </c>
      <c r="K432" s="20">
        <v>10103001</v>
      </c>
      <c r="L432" s="108">
        <f t="shared" si="292"/>
        <v>2</v>
      </c>
      <c r="M432" s="105">
        <f>IF(D432=0, 0, _xlfn.XLOOKUP($F432,'#무게관련'!$B:$B,'#무게관련'!$C:$C)*_xlfn.XLOOKUP($L432,'#무게관련'!$F:$F,'#무게관련'!$G:$G)*100)</f>
        <v>10000</v>
      </c>
      <c r="N432" s="20">
        <v>20500</v>
      </c>
      <c r="O432" s="20">
        <v>3</v>
      </c>
      <c r="P432" s="20">
        <v>15</v>
      </c>
      <c r="Q432" s="20">
        <v>1</v>
      </c>
      <c r="R432" s="20">
        <v>100</v>
      </c>
      <c r="S432" s="20">
        <v>1</v>
      </c>
      <c r="T432" s="20" t="s">
        <v>1875</v>
      </c>
      <c r="U432" s="104" t="str">
        <f t="shared" si="333"/>
        <v>item_bg_grade_02</v>
      </c>
      <c r="V432" s="20" t="s">
        <v>325</v>
      </c>
      <c r="W432" s="20" t="s">
        <v>400</v>
      </c>
      <c r="X432" s="104">
        <v>0</v>
      </c>
      <c r="Y432" s="104">
        <v>0</v>
      </c>
      <c r="Z432" s="104">
        <v>0</v>
      </c>
      <c r="AA432" s="104">
        <v>0</v>
      </c>
      <c r="AB432" s="104">
        <v>0</v>
      </c>
      <c r="AC432" s="104">
        <v>0</v>
      </c>
      <c r="AD432" s="142">
        <v>0</v>
      </c>
      <c r="AE432" s="112">
        <f t="shared" si="293"/>
        <v>20</v>
      </c>
      <c r="AF432" s="70">
        <v>3205010</v>
      </c>
      <c r="AG432" s="105" cm="1">
        <f t="array" ref="AG432">_xlfn.SWITCH(L432,3,1,
           4,1,
           5,1,
           6,1,0)</f>
        <v>0</v>
      </c>
      <c r="AH432" s="146">
        <f t="shared" si="326"/>
        <v>80101201</v>
      </c>
      <c r="AI432" s="90">
        <v>6000</v>
      </c>
      <c r="AJ432" s="90">
        <v>3002</v>
      </c>
      <c r="AK432" s="27">
        <v>2005</v>
      </c>
      <c r="AL432" s="123">
        <f>_xlfn.XLOOKUP(H432,'#각종 참고'!$B$11:$B$20,'#각종 참고'!$D$11:$D$20)</f>
        <v>0</v>
      </c>
      <c r="AM432" s="27">
        <v>1</v>
      </c>
      <c r="AN432" s="27">
        <v>1</v>
      </c>
      <c r="AO432" s="124">
        <f t="shared" si="317"/>
        <v>1</v>
      </c>
      <c r="AP432" s="27">
        <v>1</v>
      </c>
      <c r="AQ432" s="21">
        <v>13125001</v>
      </c>
      <c r="AR432" s="21" t="s">
        <v>1756</v>
      </c>
      <c r="AS432" s="68"/>
      <c r="AT432" s="68"/>
      <c r="AU432" s="68"/>
    </row>
    <row r="433" spans="1:47" x14ac:dyDescent="0.3">
      <c r="A433" s="19"/>
      <c r="B433" s="109">
        <v>13125002</v>
      </c>
      <c r="C433" s="99" t="str">
        <f t="shared" ref="C433:C434" si="345">IF(K433&gt;0,MID(K433,5, 1), 0)</f>
        <v>3</v>
      </c>
      <c r="D433" s="121">
        <f>COUNTIFS($F$33:F433,F433, $G$33:G433,G433, $C$33:C433,C433, $L$33:L433,L433)</f>
        <v>2</v>
      </c>
      <c r="E433" s="20">
        <v>1</v>
      </c>
      <c r="F433" s="20">
        <v>5</v>
      </c>
      <c r="G433" s="20">
        <v>1</v>
      </c>
      <c r="H433" s="103" t="s">
        <v>964</v>
      </c>
      <c r="I433" s="20" t="s">
        <v>1758</v>
      </c>
      <c r="J433" s="104" t="str">
        <f t="shared" si="342"/>
        <v>Item_Name_13125002</v>
      </c>
      <c r="K433" s="20">
        <v>10103001</v>
      </c>
      <c r="L433" s="108">
        <f t="shared" si="292"/>
        <v>2</v>
      </c>
      <c r="M433" s="105">
        <f>IF(D433=0, 0, _xlfn.XLOOKUP($F433,'#무게관련'!$B:$B,'#무게관련'!$C:$C)*_xlfn.XLOOKUP($L433,'#무게관련'!$F:$F,'#무게관련'!$G:$G)*100)</f>
        <v>10000</v>
      </c>
      <c r="N433" s="20">
        <v>20500</v>
      </c>
      <c r="O433" s="20">
        <v>3</v>
      </c>
      <c r="P433" s="20">
        <v>15</v>
      </c>
      <c r="Q433" s="20">
        <v>1</v>
      </c>
      <c r="R433" s="20">
        <v>100</v>
      </c>
      <c r="S433" s="20">
        <v>1</v>
      </c>
      <c r="T433" s="20" t="s">
        <v>1875</v>
      </c>
      <c r="U433" s="104" t="str">
        <f t="shared" ref="U433:U434" si="346">"item_bg_grade_0"&amp;L433</f>
        <v>item_bg_grade_02</v>
      </c>
      <c r="V433" s="20" t="s">
        <v>325</v>
      </c>
      <c r="W433" s="20" t="s">
        <v>400</v>
      </c>
      <c r="X433" s="104">
        <v>0</v>
      </c>
      <c r="Y433" s="104">
        <v>0</v>
      </c>
      <c r="Z433" s="104">
        <v>0</v>
      </c>
      <c r="AA433" s="104">
        <v>0</v>
      </c>
      <c r="AB433" s="104">
        <v>0</v>
      </c>
      <c r="AC433" s="104">
        <v>0</v>
      </c>
      <c r="AD433" s="142">
        <v>0</v>
      </c>
      <c r="AE433" s="112">
        <f t="shared" si="293"/>
        <v>20</v>
      </c>
      <c r="AF433" s="70">
        <v>3205020</v>
      </c>
      <c r="AG433" s="105" cm="1">
        <f t="array" ref="AG433">_xlfn.SWITCH(L433,3,1,
           4,1,
           5,1,
           6,1,0)</f>
        <v>0</v>
      </c>
      <c r="AH433" s="146">
        <f t="shared" si="326"/>
        <v>80101201</v>
      </c>
      <c r="AI433" s="90">
        <v>6000</v>
      </c>
      <c r="AJ433" s="90">
        <v>3002</v>
      </c>
      <c r="AK433" s="27">
        <v>2005</v>
      </c>
      <c r="AL433" s="123">
        <f>_xlfn.XLOOKUP(H433,'#각종 참고'!$B$11:$B$20,'#각종 참고'!$D$11:$D$20)</f>
        <v>0</v>
      </c>
      <c r="AM433" s="27">
        <v>1</v>
      </c>
      <c r="AN433" s="27">
        <v>1</v>
      </c>
      <c r="AO433" s="124">
        <f t="shared" si="317"/>
        <v>1</v>
      </c>
      <c r="AP433" s="27">
        <v>1</v>
      </c>
      <c r="AQ433" s="21">
        <v>13125011</v>
      </c>
      <c r="AR433" s="21" t="s">
        <v>2511</v>
      </c>
      <c r="AS433" s="68"/>
      <c r="AT433" s="68"/>
      <c r="AU433" s="68"/>
    </row>
    <row r="434" spans="1:47" x14ac:dyDescent="0.3">
      <c r="A434" s="19"/>
      <c r="B434" s="109">
        <v>13125003</v>
      </c>
      <c r="C434" s="99" t="str">
        <f t="shared" si="345"/>
        <v>3</v>
      </c>
      <c r="D434" s="121">
        <f>COUNTIFS($F$33:F434,F434, $G$33:G434,G434, $C$33:C434,C434, $L$33:L434,L434)</f>
        <v>3</v>
      </c>
      <c r="E434" s="20">
        <v>1</v>
      </c>
      <c r="F434" s="20">
        <v>5</v>
      </c>
      <c r="G434" s="20">
        <v>1</v>
      </c>
      <c r="H434" s="103" t="s">
        <v>964</v>
      </c>
      <c r="I434" s="20" t="s">
        <v>2017</v>
      </c>
      <c r="J434" s="104" t="str">
        <f t="shared" si="342"/>
        <v>Item_Name_13125003</v>
      </c>
      <c r="K434" s="20">
        <v>10103001</v>
      </c>
      <c r="L434" s="108">
        <f t="shared" si="292"/>
        <v>2</v>
      </c>
      <c r="M434" s="105">
        <f>IF(D434=0, 0, _xlfn.XLOOKUP($F434,'#무게관련'!$B:$B,'#무게관련'!$C:$C)*_xlfn.XLOOKUP($L434,'#무게관련'!$F:$F,'#무게관련'!$G:$G)*100)</f>
        <v>10000</v>
      </c>
      <c r="N434" s="20">
        <v>20500</v>
      </c>
      <c r="O434" s="20">
        <v>3</v>
      </c>
      <c r="P434" s="20">
        <v>15</v>
      </c>
      <c r="Q434" s="20">
        <v>1</v>
      </c>
      <c r="R434" s="20">
        <v>100</v>
      </c>
      <c r="S434" s="20">
        <v>1</v>
      </c>
      <c r="T434" s="20" t="s">
        <v>1875</v>
      </c>
      <c r="U434" s="104" t="str">
        <f t="shared" si="346"/>
        <v>item_bg_grade_02</v>
      </c>
      <c r="V434" s="20" t="s">
        <v>325</v>
      </c>
      <c r="W434" s="20" t="s">
        <v>400</v>
      </c>
      <c r="X434" s="104">
        <v>0</v>
      </c>
      <c r="Y434" s="104">
        <v>0</v>
      </c>
      <c r="Z434" s="104">
        <v>0</v>
      </c>
      <c r="AA434" s="104">
        <v>0</v>
      </c>
      <c r="AB434" s="104">
        <v>0</v>
      </c>
      <c r="AC434" s="104">
        <v>0</v>
      </c>
      <c r="AD434" s="142">
        <v>0</v>
      </c>
      <c r="AE434" s="112">
        <f t="shared" si="293"/>
        <v>20</v>
      </c>
      <c r="AF434" s="70">
        <v>3205030</v>
      </c>
      <c r="AG434" s="105" cm="1">
        <f t="array" ref="AG434">_xlfn.SWITCH(L434,3,1,
           4,1,
           5,1,
           6,1,0)</f>
        <v>0</v>
      </c>
      <c r="AH434" s="146">
        <f t="shared" si="326"/>
        <v>80101201</v>
      </c>
      <c r="AI434" s="90">
        <v>6000</v>
      </c>
      <c r="AJ434" s="90">
        <v>3002</v>
      </c>
      <c r="AK434" s="27">
        <v>2005</v>
      </c>
      <c r="AL434" s="123">
        <f>_xlfn.XLOOKUP(H434,'#각종 참고'!$B$11:$B$20,'#각종 참고'!$D$11:$D$20)</f>
        <v>0</v>
      </c>
      <c r="AM434" s="27">
        <v>1</v>
      </c>
      <c r="AN434" s="27">
        <v>1</v>
      </c>
      <c r="AO434" s="124">
        <f t="shared" si="317"/>
        <v>1</v>
      </c>
      <c r="AP434" s="27">
        <v>1</v>
      </c>
      <c r="AQ434" s="21">
        <v>13125021</v>
      </c>
      <c r="AR434" s="21" t="s">
        <v>2512</v>
      </c>
      <c r="AS434" s="68"/>
      <c r="AT434" s="68"/>
      <c r="AU434" s="68"/>
    </row>
    <row r="435" spans="1:47" x14ac:dyDescent="0.3">
      <c r="A435" s="19"/>
      <c r="B435" s="109">
        <v>13135001</v>
      </c>
      <c r="C435" s="99" t="str">
        <f t="shared" si="267"/>
        <v>3</v>
      </c>
      <c r="D435" s="121">
        <f>COUNTIFS($F$33:F435,F435, $G$33:G435,G435, $C$33:C435,C435, $L$33:L435,L435)</f>
        <v>1</v>
      </c>
      <c r="E435" s="20">
        <v>1</v>
      </c>
      <c r="F435" s="20">
        <v>5</v>
      </c>
      <c r="G435" s="20">
        <v>1</v>
      </c>
      <c r="H435" s="103" t="s">
        <v>964</v>
      </c>
      <c r="I435" s="20" t="s">
        <v>1757</v>
      </c>
      <c r="J435" s="104" t="str">
        <f t="shared" si="342"/>
        <v>Item_Name_13135001</v>
      </c>
      <c r="K435" s="20">
        <v>10103001</v>
      </c>
      <c r="L435" s="108">
        <f t="shared" ref="L435:L498" si="347">L417</f>
        <v>3</v>
      </c>
      <c r="M435" s="105">
        <f>IF(D435=0, 0, _xlfn.XLOOKUP($F435,'#무게관련'!$B:$B,'#무게관련'!$C:$C)*_xlfn.XLOOKUP($L435,'#무게관련'!$F:$F,'#무게관련'!$G:$G)*100)</f>
        <v>10000</v>
      </c>
      <c r="N435" s="20">
        <v>20500</v>
      </c>
      <c r="O435" s="20">
        <v>3</v>
      </c>
      <c r="P435" s="20">
        <v>15</v>
      </c>
      <c r="Q435" s="20">
        <v>1</v>
      </c>
      <c r="R435" s="20">
        <v>100</v>
      </c>
      <c r="S435" s="20">
        <v>1</v>
      </c>
      <c r="T435" s="20" t="s">
        <v>1876</v>
      </c>
      <c r="U435" s="104" t="str">
        <f t="shared" si="333"/>
        <v>item_bg_grade_03</v>
      </c>
      <c r="V435" s="20" t="s">
        <v>325</v>
      </c>
      <c r="W435" s="20" t="s">
        <v>400</v>
      </c>
      <c r="X435" s="104">
        <v>0</v>
      </c>
      <c r="Y435" s="104">
        <v>0</v>
      </c>
      <c r="Z435" s="104">
        <v>0</v>
      </c>
      <c r="AA435" s="104">
        <v>0</v>
      </c>
      <c r="AB435" s="104">
        <v>0</v>
      </c>
      <c r="AC435" s="104">
        <v>0</v>
      </c>
      <c r="AD435" s="142">
        <v>0</v>
      </c>
      <c r="AE435" s="112">
        <f t="shared" ref="AE435:AE498" si="348">AE417</f>
        <v>30</v>
      </c>
      <c r="AF435" s="70">
        <v>3305010</v>
      </c>
      <c r="AG435" s="105" cm="1">
        <f t="array" ref="AG435">_xlfn.SWITCH(L435,3,1,
           4,1,
           5,1,
           6,1,0)</f>
        <v>1</v>
      </c>
      <c r="AH435" s="146">
        <f t="shared" si="326"/>
        <v>80101301</v>
      </c>
      <c r="AI435" s="90">
        <v>6001</v>
      </c>
      <c r="AJ435" s="90">
        <v>3004</v>
      </c>
      <c r="AK435" s="27">
        <v>3005</v>
      </c>
      <c r="AL435" s="123">
        <f>_xlfn.XLOOKUP(H435,'#각종 참고'!$B$11:$B$20,'#각종 참고'!$D$11:$D$20)</f>
        <v>0</v>
      </c>
      <c r="AM435" s="27">
        <v>1</v>
      </c>
      <c r="AN435" s="27">
        <v>1</v>
      </c>
      <c r="AO435" s="124">
        <f t="shared" si="317"/>
        <v>1</v>
      </c>
      <c r="AP435" s="27">
        <v>1</v>
      </c>
      <c r="AQ435" s="21">
        <v>13135001</v>
      </c>
      <c r="AR435" s="21" t="s">
        <v>1757</v>
      </c>
      <c r="AS435" s="68"/>
      <c r="AT435" s="68"/>
      <c r="AU435" s="68"/>
    </row>
    <row r="436" spans="1:47" x14ac:dyDescent="0.3">
      <c r="A436" s="19"/>
      <c r="B436" s="109">
        <v>13135002</v>
      </c>
      <c r="C436" s="99" t="str">
        <f t="shared" ref="C436:C437" si="349">IF(K436&gt;0,MID(K436,5, 1), 0)</f>
        <v>3</v>
      </c>
      <c r="D436" s="121">
        <f>COUNTIFS($F$33:F436,F436, $G$33:G436,G436, $C$33:C436,C436, $L$33:L436,L436)</f>
        <v>2</v>
      </c>
      <c r="E436" s="20">
        <v>1</v>
      </c>
      <c r="F436" s="20">
        <v>5</v>
      </c>
      <c r="G436" s="20">
        <v>1</v>
      </c>
      <c r="H436" s="103" t="s">
        <v>964</v>
      </c>
      <c r="I436" s="20" t="s">
        <v>1761</v>
      </c>
      <c r="J436" s="104" t="str">
        <f t="shared" si="342"/>
        <v>Item_Name_13135002</v>
      </c>
      <c r="K436" s="20">
        <v>10103001</v>
      </c>
      <c r="L436" s="108">
        <f t="shared" si="347"/>
        <v>3</v>
      </c>
      <c r="M436" s="105">
        <f>IF(D436=0, 0, _xlfn.XLOOKUP($F436,'#무게관련'!$B:$B,'#무게관련'!$C:$C)*_xlfn.XLOOKUP($L436,'#무게관련'!$F:$F,'#무게관련'!$G:$G)*100)</f>
        <v>10000</v>
      </c>
      <c r="N436" s="20">
        <v>20500</v>
      </c>
      <c r="O436" s="20">
        <v>3</v>
      </c>
      <c r="P436" s="20">
        <v>15</v>
      </c>
      <c r="Q436" s="20">
        <v>1</v>
      </c>
      <c r="R436" s="20">
        <v>100</v>
      </c>
      <c r="S436" s="20">
        <v>1</v>
      </c>
      <c r="T436" s="20" t="s">
        <v>1876</v>
      </c>
      <c r="U436" s="104" t="str">
        <f t="shared" ref="U436:U437" si="350">"item_bg_grade_0"&amp;L436</f>
        <v>item_bg_grade_03</v>
      </c>
      <c r="V436" s="20" t="s">
        <v>325</v>
      </c>
      <c r="W436" s="20" t="s">
        <v>400</v>
      </c>
      <c r="X436" s="104">
        <v>0</v>
      </c>
      <c r="Y436" s="104">
        <v>0</v>
      </c>
      <c r="Z436" s="104">
        <v>0</v>
      </c>
      <c r="AA436" s="104">
        <v>0</v>
      </c>
      <c r="AB436" s="104">
        <v>0</v>
      </c>
      <c r="AC436" s="104">
        <v>0</v>
      </c>
      <c r="AD436" s="142">
        <v>0</v>
      </c>
      <c r="AE436" s="112">
        <f t="shared" si="348"/>
        <v>30</v>
      </c>
      <c r="AF436" s="70">
        <v>3305020</v>
      </c>
      <c r="AG436" s="105" cm="1">
        <f t="array" ref="AG436">_xlfn.SWITCH(L436,3,1,
           4,1,
           5,1,
           6,1,0)</f>
        <v>1</v>
      </c>
      <c r="AH436" s="146">
        <f t="shared" si="326"/>
        <v>80101301</v>
      </c>
      <c r="AI436" s="90">
        <v>6001</v>
      </c>
      <c r="AJ436" s="90">
        <v>3004</v>
      </c>
      <c r="AK436" s="27">
        <v>3005</v>
      </c>
      <c r="AL436" s="123">
        <f>_xlfn.XLOOKUP(H436,'#각종 참고'!$B$11:$B$20,'#각종 참고'!$D$11:$D$20)</f>
        <v>0</v>
      </c>
      <c r="AM436" s="27">
        <v>1</v>
      </c>
      <c r="AN436" s="27">
        <v>1</v>
      </c>
      <c r="AO436" s="124">
        <f t="shared" si="317"/>
        <v>1</v>
      </c>
      <c r="AP436" s="27">
        <v>1</v>
      </c>
      <c r="AQ436" s="21">
        <v>13135011</v>
      </c>
      <c r="AR436" s="21" t="s">
        <v>2513</v>
      </c>
      <c r="AS436" s="68"/>
      <c r="AT436" s="68"/>
      <c r="AU436" s="68"/>
    </row>
    <row r="437" spans="1:47" x14ac:dyDescent="0.3">
      <c r="A437" s="19"/>
      <c r="B437" s="109">
        <v>13135003</v>
      </c>
      <c r="C437" s="99" t="str">
        <f t="shared" si="349"/>
        <v>3</v>
      </c>
      <c r="D437" s="121">
        <f>COUNTIFS($F$33:F437,F437, $G$33:G437,G437, $C$33:C437,C437, $L$33:L437,L437)</f>
        <v>3</v>
      </c>
      <c r="E437" s="20">
        <v>1</v>
      </c>
      <c r="F437" s="20">
        <v>5</v>
      </c>
      <c r="G437" s="20">
        <v>1</v>
      </c>
      <c r="H437" s="103" t="s">
        <v>964</v>
      </c>
      <c r="I437" s="20" t="s">
        <v>1759</v>
      </c>
      <c r="J437" s="104" t="str">
        <f t="shared" si="342"/>
        <v>Item_Name_13135003</v>
      </c>
      <c r="K437" s="20">
        <v>10103001</v>
      </c>
      <c r="L437" s="108">
        <f t="shared" si="347"/>
        <v>3</v>
      </c>
      <c r="M437" s="105">
        <f>IF(D437=0, 0, _xlfn.XLOOKUP($F437,'#무게관련'!$B:$B,'#무게관련'!$C:$C)*_xlfn.XLOOKUP($L437,'#무게관련'!$F:$F,'#무게관련'!$G:$G)*100)</f>
        <v>10000</v>
      </c>
      <c r="N437" s="20">
        <v>20500</v>
      </c>
      <c r="O437" s="20">
        <v>3</v>
      </c>
      <c r="P437" s="20">
        <v>15</v>
      </c>
      <c r="Q437" s="20">
        <v>1</v>
      </c>
      <c r="R437" s="20">
        <v>100</v>
      </c>
      <c r="S437" s="20">
        <v>1</v>
      </c>
      <c r="T437" s="20" t="s">
        <v>1876</v>
      </c>
      <c r="U437" s="104" t="str">
        <f t="shared" si="350"/>
        <v>item_bg_grade_03</v>
      </c>
      <c r="V437" s="20" t="s">
        <v>325</v>
      </c>
      <c r="W437" s="20" t="s">
        <v>400</v>
      </c>
      <c r="X437" s="104">
        <v>0</v>
      </c>
      <c r="Y437" s="104">
        <v>0</v>
      </c>
      <c r="Z437" s="104">
        <v>0</v>
      </c>
      <c r="AA437" s="104">
        <v>0</v>
      </c>
      <c r="AB437" s="104">
        <v>0</v>
      </c>
      <c r="AC437" s="104">
        <v>0</v>
      </c>
      <c r="AD437" s="142">
        <v>0</v>
      </c>
      <c r="AE437" s="112">
        <f t="shared" si="348"/>
        <v>30</v>
      </c>
      <c r="AF437" s="70">
        <v>3305030</v>
      </c>
      <c r="AG437" s="105" cm="1">
        <f t="array" ref="AG437">_xlfn.SWITCH(L437,3,1,
           4,1,
           5,1,
           6,1,0)</f>
        <v>1</v>
      </c>
      <c r="AH437" s="146">
        <f t="shared" si="326"/>
        <v>80101301</v>
      </c>
      <c r="AI437" s="90">
        <v>6001</v>
      </c>
      <c r="AJ437" s="90">
        <v>3004</v>
      </c>
      <c r="AK437" s="27">
        <v>3005</v>
      </c>
      <c r="AL437" s="123">
        <f>_xlfn.XLOOKUP(H437,'#각종 참고'!$B$11:$B$20,'#각종 참고'!$D$11:$D$20)</f>
        <v>0</v>
      </c>
      <c r="AM437" s="27">
        <v>1</v>
      </c>
      <c r="AN437" s="27">
        <v>1</v>
      </c>
      <c r="AO437" s="124">
        <f t="shared" si="317"/>
        <v>1</v>
      </c>
      <c r="AP437" s="27">
        <v>1</v>
      </c>
      <c r="AQ437" s="21">
        <v>13135021</v>
      </c>
      <c r="AR437" s="21" t="s">
        <v>2514</v>
      </c>
      <c r="AS437" s="68"/>
      <c r="AT437" s="68"/>
      <c r="AU437" s="68"/>
    </row>
    <row r="438" spans="1:47" x14ac:dyDescent="0.3">
      <c r="A438" s="19"/>
      <c r="B438" s="109">
        <v>13145001</v>
      </c>
      <c r="C438" s="99" t="str">
        <f t="shared" si="267"/>
        <v>3</v>
      </c>
      <c r="D438" s="121">
        <f>COUNTIFS($F$33:F438,F438, $G$33:G438,G438, $C$33:C438,C438, $L$33:L438,L438)</f>
        <v>1</v>
      </c>
      <c r="E438" s="20">
        <v>1</v>
      </c>
      <c r="F438" s="20">
        <v>5</v>
      </c>
      <c r="G438" s="20">
        <v>1</v>
      </c>
      <c r="H438" s="103" t="s">
        <v>964</v>
      </c>
      <c r="I438" s="20" t="s">
        <v>1567</v>
      </c>
      <c r="J438" s="104" t="str">
        <f t="shared" si="342"/>
        <v>Item_Name_13145001</v>
      </c>
      <c r="K438" s="20">
        <v>10103001</v>
      </c>
      <c r="L438" s="108">
        <f t="shared" si="347"/>
        <v>4</v>
      </c>
      <c r="M438" s="105">
        <f>IF(D438=0, 0, _xlfn.XLOOKUP($F438,'#무게관련'!$B:$B,'#무게관련'!$C:$C)*_xlfn.XLOOKUP($L438,'#무게관련'!$F:$F,'#무게관련'!$G:$G)*100)</f>
        <v>10000</v>
      </c>
      <c r="N438" s="20">
        <v>20500</v>
      </c>
      <c r="O438" s="20">
        <v>3</v>
      </c>
      <c r="P438" s="20">
        <v>15</v>
      </c>
      <c r="Q438" s="20">
        <v>1</v>
      </c>
      <c r="R438" s="20">
        <v>100</v>
      </c>
      <c r="S438" s="20">
        <v>1</v>
      </c>
      <c r="T438" s="20" t="s">
        <v>1877</v>
      </c>
      <c r="U438" s="104" t="str">
        <f t="shared" si="333"/>
        <v>item_bg_grade_04</v>
      </c>
      <c r="V438" s="20" t="s">
        <v>325</v>
      </c>
      <c r="W438" s="20" t="s">
        <v>400</v>
      </c>
      <c r="X438" s="104">
        <v>0</v>
      </c>
      <c r="Y438" s="104">
        <v>0</v>
      </c>
      <c r="Z438" s="104">
        <v>0</v>
      </c>
      <c r="AA438" s="104">
        <v>0</v>
      </c>
      <c r="AB438" s="104">
        <v>0</v>
      </c>
      <c r="AC438" s="104">
        <v>0</v>
      </c>
      <c r="AD438" s="142">
        <v>0</v>
      </c>
      <c r="AE438" s="112">
        <f t="shared" si="348"/>
        <v>40</v>
      </c>
      <c r="AF438" s="70">
        <v>3405010</v>
      </c>
      <c r="AG438" s="105" cm="1">
        <f t="array" ref="AG438">_xlfn.SWITCH(L438,3,1,
           4,1,
           5,1,
           6,1,0)</f>
        <v>1</v>
      </c>
      <c r="AH438" s="146">
        <f t="shared" si="326"/>
        <v>80101401</v>
      </c>
      <c r="AI438" s="90">
        <v>6002</v>
      </c>
      <c r="AJ438" s="90">
        <v>3006</v>
      </c>
      <c r="AK438" s="27">
        <v>4005</v>
      </c>
      <c r="AL438" s="123">
        <f>_xlfn.XLOOKUP(H438,'#각종 참고'!$B$11:$B$20,'#각종 참고'!$D$11:$D$20)</f>
        <v>0</v>
      </c>
      <c r="AM438" s="27">
        <v>1</v>
      </c>
      <c r="AN438" s="27">
        <v>1</v>
      </c>
      <c r="AO438" s="124">
        <f t="shared" si="317"/>
        <v>1</v>
      </c>
      <c r="AP438" s="27">
        <v>1</v>
      </c>
      <c r="AQ438" s="21">
        <v>13145001</v>
      </c>
      <c r="AR438" s="21" t="s">
        <v>1567</v>
      </c>
      <c r="AS438" s="68"/>
      <c r="AT438" s="68"/>
      <c r="AU438" s="68"/>
    </row>
    <row r="439" spans="1:47" x14ac:dyDescent="0.3">
      <c r="A439" s="19"/>
      <c r="B439" s="109">
        <v>13145002</v>
      </c>
      <c r="C439" s="99" t="str">
        <f t="shared" ref="C439:C440" si="351">IF(K439&gt;0,MID(K439,5, 1), 0)</f>
        <v>3</v>
      </c>
      <c r="D439" s="121">
        <f>COUNTIFS($F$33:F439,F439, $G$33:G439,G439, $C$33:C439,C439, $L$33:L439,L439)</f>
        <v>2</v>
      </c>
      <c r="E439" s="20">
        <v>1</v>
      </c>
      <c r="F439" s="20">
        <v>5</v>
      </c>
      <c r="G439" s="20">
        <v>1</v>
      </c>
      <c r="H439" s="103" t="s">
        <v>964</v>
      </c>
      <c r="I439" s="20" t="s">
        <v>2178</v>
      </c>
      <c r="J439" s="104" t="str">
        <f t="shared" si="342"/>
        <v>Item_Name_13145002</v>
      </c>
      <c r="K439" s="20">
        <v>10103001</v>
      </c>
      <c r="L439" s="108">
        <f t="shared" si="347"/>
        <v>4</v>
      </c>
      <c r="M439" s="105">
        <f>IF(D439=0, 0, _xlfn.XLOOKUP($F439,'#무게관련'!$B:$B,'#무게관련'!$C:$C)*_xlfn.XLOOKUP($L439,'#무게관련'!$F:$F,'#무게관련'!$G:$G)*100)</f>
        <v>10000</v>
      </c>
      <c r="N439" s="20">
        <v>20500</v>
      </c>
      <c r="O439" s="20">
        <v>3</v>
      </c>
      <c r="P439" s="20">
        <v>15</v>
      </c>
      <c r="Q439" s="20">
        <v>1</v>
      </c>
      <c r="R439" s="20">
        <v>100</v>
      </c>
      <c r="S439" s="20">
        <v>1</v>
      </c>
      <c r="T439" s="20" t="s">
        <v>1877</v>
      </c>
      <c r="U439" s="104" t="str">
        <f t="shared" ref="U439:U440" si="352">"item_bg_grade_0"&amp;L439</f>
        <v>item_bg_grade_04</v>
      </c>
      <c r="V439" s="20" t="s">
        <v>325</v>
      </c>
      <c r="W439" s="20" t="s">
        <v>400</v>
      </c>
      <c r="X439" s="104">
        <v>0</v>
      </c>
      <c r="Y439" s="104">
        <v>0</v>
      </c>
      <c r="Z439" s="104">
        <v>0</v>
      </c>
      <c r="AA439" s="104">
        <v>0</v>
      </c>
      <c r="AB439" s="104">
        <v>0</v>
      </c>
      <c r="AC439" s="104">
        <v>0</v>
      </c>
      <c r="AD439" s="142">
        <v>0</v>
      </c>
      <c r="AE439" s="112">
        <f t="shared" si="348"/>
        <v>40</v>
      </c>
      <c r="AF439" s="70">
        <v>3405020</v>
      </c>
      <c r="AG439" s="105" cm="1">
        <f t="array" ref="AG439">_xlfn.SWITCH(L439,3,1,
           4,1,
           5,1,
           6,1,0)</f>
        <v>1</v>
      </c>
      <c r="AH439" s="146">
        <f t="shared" si="326"/>
        <v>80101401</v>
      </c>
      <c r="AI439" s="90">
        <v>6002</v>
      </c>
      <c r="AJ439" s="90">
        <v>3006</v>
      </c>
      <c r="AK439" s="27">
        <v>4005</v>
      </c>
      <c r="AL439" s="123">
        <f>_xlfn.XLOOKUP(H439,'#각종 참고'!$B$11:$B$20,'#각종 참고'!$D$11:$D$20)</f>
        <v>0</v>
      </c>
      <c r="AM439" s="27">
        <v>1</v>
      </c>
      <c r="AN439" s="27">
        <v>1</v>
      </c>
      <c r="AO439" s="124">
        <f t="shared" si="317"/>
        <v>1</v>
      </c>
      <c r="AP439" s="27">
        <v>1</v>
      </c>
      <c r="AQ439" s="21">
        <v>13145011</v>
      </c>
      <c r="AR439" s="21" t="s">
        <v>2515</v>
      </c>
      <c r="AS439" s="68"/>
      <c r="AT439" s="68"/>
      <c r="AU439" s="68"/>
    </row>
    <row r="440" spans="1:47" x14ac:dyDescent="0.3">
      <c r="A440" s="19"/>
      <c r="B440" s="109">
        <v>13145003</v>
      </c>
      <c r="C440" s="99" t="str">
        <f t="shared" si="351"/>
        <v>3</v>
      </c>
      <c r="D440" s="121">
        <f>COUNTIFS($F$33:F440,F440, $G$33:G440,G440, $C$33:C440,C440, $L$33:L440,L440)</f>
        <v>3</v>
      </c>
      <c r="E440" s="20">
        <v>1</v>
      </c>
      <c r="F440" s="20">
        <v>5</v>
      </c>
      <c r="G440" s="20">
        <v>1</v>
      </c>
      <c r="H440" s="103" t="s">
        <v>964</v>
      </c>
      <c r="I440" s="20" t="s">
        <v>1993</v>
      </c>
      <c r="J440" s="104" t="str">
        <f t="shared" si="342"/>
        <v>Item_Name_13145003</v>
      </c>
      <c r="K440" s="20">
        <v>10103001</v>
      </c>
      <c r="L440" s="108">
        <f t="shared" si="347"/>
        <v>4</v>
      </c>
      <c r="M440" s="105">
        <f>IF(D440=0, 0, _xlfn.XLOOKUP($F440,'#무게관련'!$B:$B,'#무게관련'!$C:$C)*_xlfn.XLOOKUP($L440,'#무게관련'!$F:$F,'#무게관련'!$G:$G)*100)</f>
        <v>10000</v>
      </c>
      <c r="N440" s="20">
        <v>20500</v>
      </c>
      <c r="O440" s="20">
        <v>3</v>
      </c>
      <c r="P440" s="20">
        <v>15</v>
      </c>
      <c r="Q440" s="20">
        <v>1</v>
      </c>
      <c r="R440" s="20">
        <v>100</v>
      </c>
      <c r="S440" s="20">
        <v>1</v>
      </c>
      <c r="T440" s="20" t="s">
        <v>1877</v>
      </c>
      <c r="U440" s="104" t="str">
        <f t="shared" si="352"/>
        <v>item_bg_grade_04</v>
      </c>
      <c r="V440" s="20" t="s">
        <v>325</v>
      </c>
      <c r="W440" s="20" t="s">
        <v>400</v>
      </c>
      <c r="X440" s="104">
        <v>0</v>
      </c>
      <c r="Y440" s="104">
        <v>0</v>
      </c>
      <c r="Z440" s="104">
        <v>0</v>
      </c>
      <c r="AA440" s="104">
        <v>0</v>
      </c>
      <c r="AB440" s="104">
        <v>0</v>
      </c>
      <c r="AC440" s="104">
        <v>0</v>
      </c>
      <c r="AD440" s="142">
        <v>0</v>
      </c>
      <c r="AE440" s="112">
        <f t="shared" si="348"/>
        <v>40</v>
      </c>
      <c r="AF440" s="70">
        <v>3405030</v>
      </c>
      <c r="AG440" s="105" cm="1">
        <f t="array" ref="AG440">_xlfn.SWITCH(L440,3,1,
           4,1,
           5,1,
           6,1,0)</f>
        <v>1</v>
      </c>
      <c r="AH440" s="146">
        <f t="shared" si="326"/>
        <v>80101401</v>
      </c>
      <c r="AI440" s="90">
        <v>6002</v>
      </c>
      <c r="AJ440" s="90">
        <v>3006</v>
      </c>
      <c r="AK440" s="27">
        <v>4005</v>
      </c>
      <c r="AL440" s="123">
        <f>_xlfn.XLOOKUP(H440,'#각종 참고'!$B$11:$B$20,'#각종 참고'!$D$11:$D$20)</f>
        <v>0</v>
      </c>
      <c r="AM440" s="27">
        <v>1</v>
      </c>
      <c r="AN440" s="27">
        <v>1</v>
      </c>
      <c r="AO440" s="124">
        <f t="shared" si="317"/>
        <v>1</v>
      </c>
      <c r="AP440" s="27">
        <v>1</v>
      </c>
      <c r="AQ440" s="21">
        <v>13145021</v>
      </c>
      <c r="AR440" s="21" t="s">
        <v>2516</v>
      </c>
      <c r="AS440" s="68"/>
      <c r="AT440" s="68"/>
      <c r="AU440" s="68"/>
    </row>
    <row r="441" spans="1:47" x14ac:dyDescent="0.3">
      <c r="A441" s="19"/>
      <c r="B441" s="109">
        <v>13155001</v>
      </c>
      <c r="C441" s="99" t="str">
        <f t="shared" ref="C441:C444" si="353">IF(K441&gt;0,MID(K441,5, 1), 0)</f>
        <v>3</v>
      </c>
      <c r="D441" s="121">
        <f>COUNTIFS($F$33:F441,F441, $G$33:G441,G441, $C$33:C441,C441, $L$33:L441,L441)</f>
        <v>1</v>
      </c>
      <c r="E441" s="20">
        <v>1</v>
      </c>
      <c r="F441" s="20">
        <v>5</v>
      </c>
      <c r="G441" s="20">
        <v>1</v>
      </c>
      <c r="H441" s="103" t="s">
        <v>964</v>
      </c>
      <c r="I441" s="20" t="s">
        <v>1760</v>
      </c>
      <c r="J441" s="104" t="str">
        <f t="shared" si="342"/>
        <v>Item_Name_13155001</v>
      </c>
      <c r="K441" s="20">
        <v>10103001</v>
      </c>
      <c r="L441" s="108">
        <f t="shared" si="347"/>
        <v>5</v>
      </c>
      <c r="M441" s="105">
        <f>IF(D441=0, 0, _xlfn.XLOOKUP($F441,'#무게관련'!$B:$B,'#무게관련'!$C:$C)*_xlfn.XLOOKUP($L441,'#무게관련'!$F:$F,'#무게관련'!$G:$G)*100)</f>
        <v>10000</v>
      </c>
      <c r="N441" s="20">
        <v>20500</v>
      </c>
      <c r="O441" s="20">
        <v>3</v>
      </c>
      <c r="P441" s="20">
        <v>15</v>
      </c>
      <c r="Q441" s="20">
        <v>1</v>
      </c>
      <c r="R441" s="20">
        <v>100</v>
      </c>
      <c r="S441" s="20">
        <v>1</v>
      </c>
      <c r="T441" s="20" t="s">
        <v>1878</v>
      </c>
      <c r="U441" s="104" t="str">
        <f t="shared" ref="U441:U444" si="354">"item_bg_grade_0"&amp;L441</f>
        <v>item_bg_grade_05</v>
      </c>
      <c r="V441" s="20" t="s">
        <v>325</v>
      </c>
      <c r="W441" s="20" t="s">
        <v>400</v>
      </c>
      <c r="X441" s="104">
        <v>0</v>
      </c>
      <c r="Y441" s="104">
        <v>0</v>
      </c>
      <c r="Z441" s="104">
        <v>0</v>
      </c>
      <c r="AA441" s="104">
        <v>0</v>
      </c>
      <c r="AB441" s="104">
        <v>0</v>
      </c>
      <c r="AC441" s="104">
        <v>0</v>
      </c>
      <c r="AD441" s="142">
        <v>0</v>
      </c>
      <c r="AE441" s="112">
        <f t="shared" si="348"/>
        <v>50</v>
      </c>
      <c r="AF441" s="70">
        <v>3505010</v>
      </c>
      <c r="AG441" s="105" cm="1">
        <f t="array" ref="AG441">_xlfn.SWITCH(L441,3,1,
           4,1,
           5,1,
           6,1,0)</f>
        <v>1</v>
      </c>
      <c r="AH441" s="146">
        <f t="shared" si="326"/>
        <v>80101501</v>
      </c>
      <c r="AI441" s="90">
        <v>6003</v>
      </c>
      <c r="AJ441" s="90">
        <v>3008</v>
      </c>
      <c r="AK441" s="27">
        <v>5005</v>
      </c>
      <c r="AL441" s="123">
        <f>_xlfn.XLOOKUP(H441,'#각종 참고'!$B$11:$B$20,'#각종 참고'!$D$11:$D$20)</f>
        <v>0</v>
      </c>
      <c r="AM441" s="27">
        <v>1</v>
      </c>
      <c r="AN441" s="27">
        <v>1</v>
      </c>
      <c r="AO441" s="124">
        <f t="shared" ref="AO441:AO483" si="355">IF(AM441=1,AM441,AL441)</f>
        <v>1</v>
      </c>
      <c r="AP441" s="27">
        <v>1</v>
      </c>
      <c r="AQ441" s="21">
        <v>13155001</v>
      </c>
      <c r="AR441" s="21" t="s">
        <v>1760</v>
      </c>
      <c r="AS441" s="68"/>
      <c r="AT441" s="68"/>
      <c r="AU441" s="68"/>
    </row>
    <row r="442" spans="1:47" x14ac:dyDescent="0.3">
      <c r="A442" s="19"/>
      <c r="B442" s="109">
        <v>13155002</v>
      </c>
      <c r="C442" s="99" t="str">
        <f t="shared" ref="C442:C443" si="356">IF(K442&gt;0,MID(K442,5, 1), 0)</f>
        <v>3</v>
      </c>
      <c r="D442" s="121">
        <f>COUNTIFS($F$33:F442,F442, $G$33:G442,G442, $C$33:C442,C442, $L$33:L442,L442)</f>
        <v>2</v>
      </c>
      <c r="E442" s="20">
        <v>1</v>
      </c>
      <c r="F442" s="20">
        <v>5</v>
      </c>
      <c r="G442" s="20">
        <v>1</v>
      </c>
      <c r="H442" s="103" t="s">
        <v>964</v>
      </c>
      <c r="I442" s="20" t="s">
        <v>2179</v>
      </c>
      <c r="J442" s="104" t="str">
        <f t="shared" si="342"/>
        <v>Item_Name_13155002</v>
      </c>
      <c r="K442" s="20">
        <v>10103001</v>
      </c>
      <c r="L442" s="108">
        <f t="shared" si="347"/>
        <v>5</v>
      </c>
      <c r="M442" s="105">
        <f>IF(D442=0, 0, _xlfn.XLOOKUP($F442,'#무게관련'!$B:$B,'#무게관련'!$C:$C)*_xlfn.XLOOKUP($L442,'#무게관련'!$F:$F,'#무게관련'!$G:$G)*100)</f>
        <v>10000</v>
      </c>
      <c r="N442" s="20">
        <v>20500</v>
      </c>
      <c r="O442" s="20">
        <v>3</v>
      </c>
      <c r="P442" s="20">
        <v>15</v>
      </c>
      <c r="Q442" s="20">
        <v>1</v>
      </c>
      <c r="R442" s="20">
        <v>100</v>
      </c>
      <c r="S442" s="20">
        <v>1</v>
      </c>
      <c r="T442" s="20" t="s">
        <v>1878</v>
      </c>
      <c r="U442" s="104" t="str">
        <f t="shared" ref="U442:U443" si="357">"item_bg_grade_0"&amp;L442</f>
        <v>item_bg_grade_05</v>
      </c>
      <c r="V442" s="20" t="s">
        <v>325</v>
      </c>
      <c r="W442" s="20" t="s">
        <v>400</v>
      </c>
      <c r="X442" s="104">
        <v>0</v>
      </c>
      <c r="Y442" s="104">
        <v>0</v>
      </c>
      <c r="Z442" s="104">
        <v>0</v>
      </c>
      <c r="AA442" s="104">
        <v>0</v>
      </c>
      <c r="AB442" s="104">
        <v>0</v>
      </c>
      <c r="AC442" s="104">
        <v>0</v>
      </c>
      <c r="AD442" s="142">
        <v>0</v>
      </c>
      <c r="AE442" s="112">
        <f t="shared" si="348"/>
        <v>50</v>
      </c>
      <c r="AF442" s="70">
        <v>3505020</v>
      </c>
      <c r="AG442" s="105" cm="1">
        <f t="array" ref="AG442">_xlfn.SWITCH(L442,3,1,
           4,1,
           5,1,
           6,1,0)</f>
        <v>1</v>
      </c>
      <c r="AH442" s="146">
        <f t="shared" si="326"/>
        <v>80101501</v>
      </c>
      <c r="AI442" s="90">
        <v>6003</v>
      </c>
      <c r="AJ442" s="90">
        <v>3008</v>
      </c>
      <c r="AK442" s="27">
        <v>5005</v>
      </c>
      <c r="AL442" s="123">
        <f>_xlfn.XLOOKUP(H442,'#각종 참고'!$B$11:$B$20,'#각종 참고'!$D$11:$D$20)</f>
        <v>0</v>
      </c>
      <c r="AM442" s="27">
        <v>1</v>
      </c>
      <c r="AN442" s="27">
        <v>1</v>
      </c>
      <c r="AO442" s="124">
        <f t="shared" si="355"/>
        <v>1</v>
      </c>
      <c r="AP442" s="27">
        <v>1</v>
      </c>
      <c r="AQ442" s="21">
        <v>13155011</v>
      </c>
      <c r="AR442" s="21" t="s">
        <v>2517</v>
      </c>
      <c r="AS442" s="68"/>
      <c r="AT442" s="68"/>
      <c r="AU442" s="68"/>
    </row>
    <row r="443" spans="1:47" x14ac:dyDescent="0.3">
      <c r="A443" s="19"/>
      <c r="B443" s="109">
        <v>13155003</v>
      </c>
      <c r="C443" s="99" t="str">
        <f t="shared" si="356"/>
        <v>3</v>
      </c>
      <c r="D443" s="121">
        <f>COUNTIFS($F$33:F443,F443, $G$33:G443,G443, $C$33:C443,C443, $L$33:L443,L443)</f>
        <v>3</v>
      </c>
      <c r="E443" s="20">
        <v>1</v>
      </c>
      <c r="F443" s="20">
        <v>5</v>
      </c>
      <c r="G443" s="20">
        <v>1</v>
      </c>
      <c r="H443" s="103" t="s">
        <v>964</v>
      </c>
      <c r="I443" s="20" t="s">
        <v>1961</v>
      </c>
      <c r="J443" s="104" t="str">
        <f t="shared" si="342"/>
        <v>Item_Name_13155003</v>
      </c>
      <c r="K443" s="20">
        <v>10103001</v>
      </c>
      <c r="L443" s="108">
        <f t="shared" si="347"/>
        <v>5</v>
      </c>
      <c r="M443" s="105">
        <f>IF(D443=0, 0, _xlfn.XLOOKUP($F443,'#무게관련'!$B:$B,'#무게관련'!$C:$C)*_xlfn.XLOOKUP($L443,'#무게관련'!$F:$F,'#무게관련'!$G:$G)*100)</f>
        <v>10000</v>
      </c>
      <c r="N443" s="20">
        <v>20500</v>
      </c>
      <c r="O443" s="20">
        <v>3</v>
      </c>
      <c r="P443" s="20">
        <v>15</v>
      </c>
      <c r="Q443" s="20">
        <v>1</v>
      </c>
      <c r="R443" s="20">
        <v>100</v>
      </c>
      <c r="S443" s="20">
        <v>1</v>
      </c>
      <c r="T443" s="20" t="s">
        <v>1878</v>
      </c>
      <c r="U443" s="104" t="str">
        <f t="shared" si="357"/>
        <v>item_bg_grade_05</v>
      </c>
      <c r="V443" s="20" t="s">
        <v>325</v>
      </c>
      <c r="W443" s="20" t="s">
        <v>400</v>
      </c>
      <c r="X443" s="104">
        <v>0</v>
      </c>
      <c r="Y443" s="104">
        <v>0</v>
      </c>
      <c r="Z443" s="104">
        <v>0</v>
      </c>
      <c r="AA443" s="104">
        <v>0</v>
      </c>
      <c r="AB443" s="104">
        <v>0</v>
      </c>
      <c r="AC443" s="104">
        <v>0</v>
      </c>
      <c r="AD443" s="142">
        <v>0</v>
      </c>
      <c r="AE443" s="112">
        <f t="shared" si="348"/>
        <v>50</v>
      </c>
      <c r="AF443" s="70">
        <v>3505030</v>
      </c>
      <c r="AG443" s="105" cm="1">
        <f t="array" ref="AG443">_xlfn.SWITCH(L443,3,1,
           4,1,
           5,1,
           6,1,0)</f>
        <v>1</v>
      </c>
      <c r="AH443" s="146">
        <f t="shared" ref="AH443:AH464" si="358">AH425</f>
        <v>80101501</v>
      </c>
      <c r="AI443" s="90">
        <v>6003</v>
      </c>
      <c r="AJ443" s="90">
        <v>3008</v>
      </c>
      <c r="AK443" s="27">
        <v>5005</v>
      </c>
      <c r="AL443" s="123">
        <f>_xlfn.XLOOKUP(H443,'#각종 참고'!$B$11:$B$20,'#각종 참고'!$D$11:$D$20)</f>
        <v>0</v>
      </c>
      <c r="AM443" s="27">
        <v>1</v>
      </c>
      <c r="AN443" s="27">
        <v>1</v>
      </c>
      <c r="AO443" s="124">
        <f t="shared" si="355"/>
        <v>1</v>
      </c>
      <c r="AP443" s="27">
        <v>1</v>
      </c>
      <c r="AQ443" s="21">
        <v>13155021</v>
      </c>
      <c r="AR443" s="21" t="s">
        <v>2518</v>
      </c>
      <c r="AS443" s="68"/>
      <c r="AT443" s="68"/>
      <c r="AU443" s="68"/>
    </row>
    <row r="444" spans="1:47" x14ac:dyDescent="0.3">
      <c r="A444" s="19"/>
      <c r="B444" s="109">
        <v>13165001</v>
      </c>
      <c r="C444" s="99" t="str">
        <f t="shared" si="353"/>
        <v>3</v>
      </c>
      <c r="D444" s="121">
        <f>COUNTIFS($F$33:F444,F444, $G$33:G444,G444, $C$33:C444,C444, $L$33:L444,L444)</f>
        <v>1</v>
      </c>
      <c r="E444" s="20">
        <v>1</v>
      </c>
      <c r="F444" s="20">
        <v>5</v>
      </c>
      <c r="G444" s="20">
        <v>1</v>
      </c>
      <c r="H444" s="103" t="s">
        <v>964</v>
      </c>
      <c r="I444" s="20" t="s">
        <v>1762</v>
      </c>
      <c r="J444" s="104" t="str">
        <f t="shared" si="342"/>
        <v>Item_Name_13165001</v>
      </c>
      <c r="K444" s="20">
        <v>10103001</v>
      </c>
      <c r="L444" s="108">
        <f t="shared" si="347"/>
        <v>6</v>
      </c>
      <c r="M444" s="105">
        <f>IF(D444=0, 0, _xlfn.XLOOKUP($F444,'#무게관련'!$B:$B,'#무게관련'!$C:$C)*_xlfn.XLOOKUP($L444,'#무게관련'!$F:$F,'#무게관련'!$G:$G)*100)</f>
        <v>10000</v>
      </c>
      <c r="N444" s="20">
        <v>20500</v>
      </c>
      <c r="O444" s="20">
        <v>3</v>
      </c>
      <c r="P444" s="20">
        <v>15</v>
      </c>
      <c r="Q444" s="20">
        <v>1</v>
      </c>
      <c r="R444" s="20">
        <v>100</v>
      </c>
      <c r="S444" s="20">
        <v>1</v>
      </c>
      <c r="T444" s="109" t="s">
        <v>1878</v>
      </c>
      <c r="U444" s="104" t="str">
        <f t="shared" si="354"/>
        <v>item_bg_grade_06</v>
      </c>
      <c r="V444" s="20" t="s">
        <v>325</v>
      </c>
      <c r="W444" s="20" t="s">
        <v>400</v>
      </c>
      <c r="X444" s="104">
        <v>0</v>
      </c>
      <c r="Y444" s="104">
        <v>0</v>
      </c>
      <c r="Z444" s="104">
        <v>0</v>
      </c>
      <c r="AA444" s="104">
        <v>0</v>
      </c>
      <c r="AB444" s="104">
        <v>0</v>
      </c>
      <c r="AC444" s="104">
        <v>0</v>
      </c>
      <c r="AD444" s="142">
        <v>0</v>
      </c>
      <c r="AE444" s="112">
        <f t="shared" si="348"/>
        <v>70</v>
      </c>
      <c r="AF444" s="70">
        <v>3605010</v>
      </c>
      <c r="AG444" s="105" cm="1">
        <f t="array" ref="AG444">_xlfn.SWITCH(L444,3,1,
           4,1,
           5,1,
           6,1,0)</f>
        <v>1</v>
      </c>
      <c r="AH444" s="146">
        <f t="shared" si="358"/>
        <v>0</v>
      </c>
      <c r="AI444" s="90">
        <v>6004</v>
      </c>
      <c r="AJ444" s="90">
        <v>3010</v>
      </c>
      <c r="AK444" s="27">
        <v>6005</v>
      </c>
      <c r="AL444" s="123">
        <f>_xlfn.XLOOKUP(H444,'#각종 참고'!$B$11:$B$20,'#각종 참고'!$D$11:$D$20)</f>
        <v>0</v>
      </c>
      <c r="AM444" s="27">
        <v>1</v>
      </c>
      <c r="AN444" s="27">
        <v>1</v>
      </c>
      <c r="AO444" s="124">
        <f t="shared" si="355"/>
        <v>1</v>
      </c>
      <c r="AP444" s="27">
        <v>1</v>
      </c>
      <c r="AQ444" s="21">
        <v>13165001</v>
      </c>
      <c r="AR444" s="21" t="s">
        <v>1762</v>
      </c>
      <c r="AS444" s="68"/>
      <c r="AT444" s="68"/>
      <c r="AU444" s="68"/>
    </row>
    <row r="445" spans="1:47" x14ac:dyDescent="0.3">
      <c r="A445" s="19" t="s">
        <v>513</v>
      </c>
      <c r="B445" s="109">
        <v>13165002</v>
      </c>
      <c r="C445" s="99" t="str">
        <f t="shared" ref="C445:C446" si="359">IF(K445&gt;0,MID(K445,5, 1), 0)</f>
        <v>3</v>
      </c>
      <c r="D445" s="121">
        <f>COUNTIFS($F$33:F445,F445, $G$33:G445,G445, $C$33:C445,C445, $L$33:L445,L445)</f>
        <v>2</v>
      </c>
      <c r="E445" s="20">
        <v>1</v>
      </c>
      <c r="F445" s="20">
        <v>5</v>
      </c>
      <c r="G445" s="20">
        <v>1</v>
      </c>
      <c r="H445" s="103" t="s">
        <v>964</v>
      </c>
      <c r="I445" s="20" t="s">
        <v>2181</v>
      </c>
      <c r="J445" s="104" t="str">
        <f t="shared" si="342"/>
        <v>Item_Name_13165002</v>
      </c>
      <c r="K445" s="20">
        <v>10103001</v>
      </c>
      <c r="L445" s="108">
        <f t="shared" si="347"/>
        <v>6</v>
      </c>
      <c r="M445" s="105">
        <f>IF(D445=0, 0, _xlfn.XLOOKUP($F445,'#무게관련'!$B:$B,'#무게관련'!$C:$C)*_xlfn.XLOOKUP($L445,'#무게관련'!$F:$F,'#무게관련'!$G:$G)*100)</f>
        <v>10000</v>
      </c>
      <c r="N445" s="20">
        <v>20500</v>
      </c>
      <c r="O445" s="20">
        <v>3</v>
      </c>
      <c r="P445" s="20">
        <v>15</v>
      </c>
      <c r="Q445" s="20">
        <v>1</v>
      </c>
      <c r="R445" s="20">
        <v>100</v>
      </c>
      <c r="S445" s="20">
        <v>1</v>
      </c>
      <c r="T445" s="109" t="s">
        <v>1878</v>
      </c>
      <c r="U445" s="104" t="str">
        <f t="shared" ref="U445:U446" si="360">"item_bg_grade_0"&amp;L445</f>
        <v>item_bg_grade_06</v>
      </c>
      <c r="V445" s="20" t="s">
        <v>325</v>
      </c>
      <c r="W445" s="20" t="s">
        <v>400</v>
      </c>
      <c r="X445" s="104">
        <v>0</v>
      </c>
      <c r="Y445" s="104">
        <v>0</v>
      </c>
      <c r="Z445" s="104">
        <v>0</v>
      </c>
      <c r="AA445" s="104">
        <v>0</v>
      </c>
      <c r="AB445" s="104">
        <v>0</v>
      </c>
      <c r="AC445" s="104">
        <v>0</v>
      </c>
      <c r="AD445" s="142">
        <v>0</v>
      </c>
      <c r="AE445" s="112">
        <f t="shared" si="348"/>
        <v>70</v>
      </c>
      <c r="AF445" s="70">
        <v>3605010</v>
      </c>
      <c r="AG445" s="105" cm="1">
        <f t="array" ref="AG445">_xlfn.SWITCH(L445,3,1,
           4,1,
           5,1,
           6,1,0)</f>
        <v>1</v>
      </c>
      <c r="AH445" s="146">
        <f t="shared" si="358"/>
        <v>0</v>
      </c>
      <c r="AI445" s="90">
        <v>6004</v>
      </c>
      <c r="AJ445" s="90">
        <v>3010</v>
      </c>
      <c r="AK445" s="27">
        <v>6005</v>
      </c>
      <c r="AL445" s="123">
        <f>_xlfn.XLOOKUP(H445,'#각종 참고'!$B$11:$B$20,'#각종 참고'!$D$11:$D$20)</f>
        <v>0</v>
      </c>
      <c r="AM445" s="27">
        <v>1</v>
      </c>
      <c r="AN445" s="27">
        <v>1</v>
      </c>
      <c r="AO445" s="124">
        <f t="shared" si="355"/>
        <v>1</v>
      </c>
      <c r="AP445" s="27">
        <v>1</v>
      </c>
      <c r="AQ445" s="21">
        <v>13165011</v>
      </c>
      <c r="AR445" s="21" t="s">
        <v>2519</v>
      </c>
      <c r="AS445" s="68"/>
      <c r="AT445" s="68"/>
      <c r="AU445" s="68"/>
    </row>
    <row r="446" spans="1:47" x14ac:dyDescent="0.3">
      <c r="A446" s="19" t="s">
        <v>513</v>
      </c>
      <c r="B446" s="109">
        <v>13165003</v>
      </c>
      <c r="C446" s="99" t="str">
        <f t="shared" si="359"/>
        <v>3</v>
      </c>
      <c r="D446" s="121">
        <f>COUNTIFS($F$33:F446,F446, $G$33:G446,G446, $C$33:C446,C446, $L$33:L446,L446)</f>
        <v>3</v>
      </c>
      <c r="E446" s="20">
        <v>1</v>
      </c>
      <c r="F446" s="20">
        <v>5</v>
      </c>
      <c r="G446" s="20">
        <v>1</v>
      </c>
      <c r="H446" s="103" t="s">
        <v>964</v>
      </c>
      <c r="I446" s="20" t="s">
        <v>2180</v>
      </c>
      <c r="J446" s="104" t="str">
        <f t="shared" si="342"/>
        <v>Item_Name_13165003</v>
      </c>
      <c r="K446" s="20">
        <v>10103001</v>
      </c>
      <c r="L446" s="108">
        <f t="shared" si="347"/>
        <v>6</v>
      </c>
      <c r="M446" s="105">
        <f>IF(D446=0, 0, _xlfn.XLOOKUP($F446,'#무게관련'!$B:$B,'#무게관련'!$C:$C)*_xlfn.XLOOKUP($L446,'#무게관련'!$F:$F,'#무게관련'!$G:$G)*100)</f>
        <v>10000</v>
      </c>
      <c r="N446" s="20">
        <v>20500</v>
      </c>
      <c r="O446" s="20">
        <v>3</v>
      </c>
      <c r="P446" s="20">
        <v>15</v>
      </c>
      <c r="Q446" s="20">
        <v>1</v>
      </c>
      <c r="R446" s="20">
        <v>100</v>
      </c>
      <c r="S446" s="20">
        <v>1</v>
      </c>
      <c r="T446" s="109" t="s">
        <v>1878</v>
      </c>
      <c r="U446" s="104" t="str">
        <f t="shared" si="360"/>
        <v>item_bg_grade_06</v>
      </c>
      <c r="V446" s="20" t="s">
        <v>325</v>
      </c>
      <c r="W446" s="20" t="s">
        <v>400</v>
      </c>
      <c r="X446" s="104">
        <v>0</v>
      </c>
      <c r="Y446" s="104">
        <v>0</v>
      </c>
      <c r="Z446" s="104">
        <v>0</v>
      </c>
      <c r="AA446" s="104">
        <v>0</v>
      </c>
      <c r="AB446" s="104">
        <v>0</v>
      </c>
      <c r="AC446" s="104">
        <v>0</v>
      </c>
      <c r="AD446" s="142">
        <v>0</v>
      </c>
      <c r="AE446" s="112">
        <f t="shared" si="348"/>
        <v>70</v>
      </c>
      <c r="AF446" s="70">
        <v>3605010</v>
      </c>
      <c r="AG446" s="105" cm="1">
        <f t="array" ref="AG446">_xlfn.SWITCH(L446,3,1,
           4,1,
           5,1,
           6,1,0)</f>
        <v>1</v>
      </c>
      <c r="AH446" s="146">
        <f t="shared" si="358"/>
        <v>0</v>
      </c>
      <c r="AI446" s="90">
        <v>6004</v>
      </c>
      <c r="AJ446" s="90">
        <v>3010</v>
      </c>
      <c r="AK446" s="27">
        <v>6005</v>
      </c>
      <c r="AL446" s="123">
        <f>_xlfn.XLOOKUP(H446,'#각종 참고'!$B$11:$B$20,'#각종 참고'!$D$11:$D$20)</f>
        <v>0</v>
      </c>
      <c r="AM446" s="27">
        <v>1</v>
      </c>
      <c r="AN446" s="27">
        <v>1</v>
      </c>
      <c r="AO446" s="124">
        <f t="shared" si="355"/>
        <v>1</v>
      </c>
      <c r="AP446" s="27">
        <v>1</v>
      </c>
      <c r="AQ446" s="21">
        <v>13165021</v>
      </c>
      <c r="AR446" s="21" t="s">
        <v>2520</v>
      </c>
      <c r="AS446" s="68"/>
      <c r="AT446" s="68"/>
      <c r="AU446" s="68"/>
    </row>
    <row r="447" spans="1:47" s="68" customFormat="1" x14ac:dyDescent="0.3">
      <c r="A447" s="65"/>
      <c r="B447" s="110">
        <v>14115001</v>
      </c>
      <c r="C447" s="99" t="str">
        <f t="shared" si="267"/>
        <v>4</v>
      </c>
      <c r="D447" s="120">
        <f>COUNTIFS($F$33:F447,F447, $G$33:G447,G447, $C$33:C447,C447, $L$33:L447,L447)</f>
        <v>1</v>
      </c>
      <c r="E447" s="20">
        <v>1</v>
      </c>
      <c r="F447" s="66">
        <v>5</v>
      </c>
      <c r="G447" s="66">
        <v>1</v>
      </c>
      <c r="H447" s="103" t="s">
        <v>964</v>
      </c>
      <c r="I447" s="66" t="s">
        <v>1763</v>
      </c>
      <c r="J447" s="104" t="str">
        <f t="shared" si="342"/>
        <v>Item_Name_14115001</v>
      </c>
      <c r="K447" s="66">
        <v>10104001</v>
      </c>
      <c r="L447" s="106">
        <f t="shared" si="347"/>
        <v>1</v>
      </c>
      <c r="M447" s="105">
        <f>IF(D447=0, 0, _xlfn.XLOOKUP($F447,'#무게관련'!$B:$B,'#무게관련'!$C:$C)*_xlfn.XLOOKUP($L447,'#무게관련'!$F:$F,'#무게관련'!$G:$G)*100)</f>
        <v>10000</v>
      </c>
      <c r="N447" s="20">
        <v>20500</v>
      </c>
      <c r="O447" s="20">
        <v>4</v>
      </c>
      <c r="P447" s="66">
        <v>15</v>
      </c>
      <c r="Q447" s="20">
        <v>1</v>
      </c>
      <c r="R447" s="66">
        <v>100</v>
      </c>
      <c r="S447" s="66">
        <v>1</v>
      </c>
      <c r="T447" s="66" t="s">
        <v>1874</v>
      </c>
      <c r="U447" s="104" t="str">
        <f t="shared" si="333"/>
        <v>item_bg_grade_01</v>
      </c>
      <c r="V447" s="66" t="s">
        <v>325</v>
      </c>
      <c r="W447" s="66" t="s">
        <v>400</v>
      </c>
      <c r="X447" s="104">
        <v>0</v>
      </c>
      <c r="Y447" s="104">
        <v>0</v>
      </c>
      <c r="Z447" s="104">
        <v>0</v>
      </c>
      <c r="AA447" s="104">
        <v>0</v>
      </c>
      <c r="AB447" s="104">
        <v>0</v>
      </c>
      <c r="AC447" s="104">
        <v>0</v>
      </c>
      <c r="AD447" s="142">
        <v>0</v>
      </c>
      <c r="AE447" s="111">
        <f t="shared" si="348"/>
        <v>10</v>
      </c>
      <c r="AF447" s="70">
        <v>4105010</v>
      </c>
      <c r="AG447" s="105" cm="1">
        <f t="array" ref="AG447">_xlfn.SWITCH(L447,3,1,
           4,1,
           5,1,
           6,1,0)</f>
        <v>0</v>
      </c>
      <c r="AH447" s="146">
        <f t="shared" si="358"/>
        <v>80101101</v>
      </c>
      <c r="AI447" s="90">
        <v>0</v>
      </c>
      <c r="AJ447" s="90">
        <v>0</v>
      </c>
      <c r="AK447" s="27">
        <v>0</v>
      </c>
      <c r="AL447" s="123">
        <f>_xlfn.XLOOKUP(H447,'#각종 참고'!$B$11:$B$20,'#각종 참고'!$D$11:$D$20)</f>
        <v>0</v>
      </c>
      <c r="AM447" s="27">
        <v>1</v>
      </c>
      <c r="AN447" s="27">
        <v>1</v>
      </c>
      <c r="AO447" s="124">
        <f t="shared" si="355"/>
        <v>1</v>
      </c>
      <c r="AP447" s="27">
        <v>1</v>
      </c>
      <c r="AQ447" s="21">
        <v>14115001</v>
      </c>
      <c r="AR447" s="68" t="s">
        <v>1763</v>
      </c>
    </row>
    <row r="448" spans="1:47" s="68" customFormat="1" x14ac:dyDescent="0.3">
      <c r="A448" s="65"/>
      <c r="B448" s="110">
        <v>14115002</v>
      </c>
      <c r="C448" s="99" t="str">
        <f t="shared" ref="C448:C449" si="361">IF(K448&gt;0,MID(K448,5, 1), 0)</f>
        <v>4</v>
      </c>
      <c r="D448" s="120">
        <f>COUNTIFS($F$33:F448,F448, $G$33:G448,G448, $C$33:C448,C448, $L$33:L448,L448)</f>
        <v>2</v>
      </c>
      <c r="E448" s="20">
        <v>1</v>
      </c>
      <c r="F448" s="66">
        <v>5</v>
      </c>
      <c r="G448" s="66">
        <v>1</v>
      </c>
      <c r="H448" s="103" t="s">
        <v>964</v>
      </c>
      <c r="I448" s="66" t="s">
        <v>2183</v>
      </c>
      <c r="J448" s="104" t="str">
        <f t="shared" si="342"/>
        <v>Item_Name_14115002</v>
      </c>
      <c r="K448" s="66">
        <v>10104001</v>
      </c>
      <c r="L448" s="106">
        <f t="shared" si="347"/>
        <v>1</v>
      </c>
      <c r="M448" s="105">
        <f>IF(D448=0, 0, _xlfn.XLOOKUP($F448,'#무게관련'!$B:$B,'#무게관련'!$C:$C)*_xlfn.XLOOKUP($L448,'#무게관련'!$F:$F,'#무게관련'!$G:$G)*100)</f>
        <v>10000</v>
      </c>
      <c r="N448" s="20">
        <v>20500</v>
      </c>
      <c r="O448" s="20">
        <v>4</v>
      </c>
      <c r="P448" s="66">
        <v>15</v>
      </c>
      <c r="Q448" s="20">
        <v>1</v>
      </c>
      <c r="R448" s="66">
        <v>100</v>
      </c>
      <c r="S448" s="66">
        <v>1</v>
      </c>
      <c r="T448" s="66" t="s">
        <v>1874</v>
      </c>
      <c r="U448" s="104" t="str">
        <f t="shared" ref="U448:U449" si="362">"item_bg_grade_0"&amp;L448</f>
        <v>item_bg_grade_01</v>
      </c>
      <c r="V448" s="66" t="s">
        <v>325</v>
      </c>
      <c r="W448" s="66" t="s">
        <v>400</v>
      </c>
      <c r="X448" s="104">
        <v>0</v>
      </c>
      <c r="Y448" s="104">
        <v>0</v>
      </c>
      <c r="Z448" s="104">
        <v>0</v>
      </c>
      <c r="AA448" s="104">
        <v>0</v>
      </c>
      <c r="AB448" s="104">
        <v>0</v>
      </c>
      <c r="AC448" s="104">
        <v>0</v>
      </c>
      <c r="AD448" s="142">
        <v>0</v>
      </c>
      <c r="AE448" s="111">
        <f t="shared" si="348"/>
        <v>10</v>
      </c>
      <c r="AF448" s="70">
        <v>4105020</v>
      </c>
      <c r="AG448" s="105" cm="1">
        <f t="array" ref="AG448">_xlfn.SWITCH(L448,3,1,
           4,1,
           5,1,
           6,1,0)</f>
        <v>0</v>
      </c>
      <c r="AH448" s="146">
        <f t="shared" si="358"/>
        <v>80101101</v>
      </c>
      <c r="AI448" s="90">
        <v>0</v>
      </c>
      <c r="AJ448" s="90">
        <v>0</v>
      </c>
      <c r="AK448" s="27">
        <v>0</v>
      </c>
      <c r="AL448" s="123">
        <f>_xlfn.XLOOKUP(H448,'#각종 참고'!$B$11:$B$20,'#각종 참고'!$D$11:$D$20)</f>
        <v>0</v>
      </c>
      <c r="AM448" s="27">
        <v>1</v>
      </c>
      <c r="AN448" s="27">
        <v>1</v>
      </c>
      <c r="AO448" s="124">
        <f t="shared" si="355"/>
        <v>1</v>
      </c>
      <c r="AP448" s="27">
        <v>1</v>
      </c>
      <c r="AQ448" s="21">
        <v>14115011</v>
      </c>
      <c r="AR448" s="68" t="s">
        <v>2521</v>
      </c>
    </row>
    <row r="449" spans="1:47" s="68" customFormat="1" x14ac:dyDescent="0.3">
      <c r="A449" s="65"/>
      <c r="B449" s="110">
        <v>14115003</v>
      </c>
      <c r="C449" s="99" t="str">
        <f t="shared" si="361"/>
        <v>4</v>
      </c>
      <c r="D449" s="120">
        <f>COUNTIFS($F$33:F449,F449, $G$33:G449,G449, $C$33:C449,C449, $L$33:L449,L449)</f>
        <v>3</v>
      </c>
      <c r="E449" s="20">
        <v>1</v>
      </c>
      <c r="F449" s="66">
        <v>5</v>
      </c>
      <c r="G449" s="66">
        <v>1</v>
      </c>
      <c r="H449" s="103" t="s">
        <v>964</v>
      </c>
      <c r="I449" s="66" t="s">
        <v>2182</v>
      </c>
      <c r="J449" s="104" t="str">
        <f t="shared" si="342"/>
        <v>Item_Name_14115003</v>
      </c>
      <c r="K449" s="66">
        <v>10104001</v>
      </c>
      <c r="L449" s="106">
        <f t="shared" si="347"/>
        <v>1</v>
      </c>
      <c r="M449" s="105">
        <f>IF(D449=0, 0, _xlfn.XLOOKUP($F449,'#무게관련'!$B:$B,'#무게관련'!$C:$C)*_xlfn.XLOOKUP($L449,'#무게관련'!$F:$F,'#무게관련'!$G:$G)*100)</f>
        <v>10000</v>
      </c>
      <c r="N449" s="20">
        <v>20500</v>
      </c>
      <c r="O449" s="20">
        <v>4</v>
      </c>
      <c r="P449" s="66">
        <v>15</v>
      </c>
      <c r="Q449" s="20">
        <v>1</v>
      </c>
      <c r="R449" s="66">
        <v>100</v>
      </c>
      <c r="S449" s="66">
        <v>1</v>
      </c>
      <c r="T449" s="66" t="s">
        <v>1874</v>
      </c>
      <c r="U449" s="104" t="str">
        <f t="shared" si="362"/>
        <v>item_bg_grade_01</v>
      </c>
      <c r="V449" s="66" t="s">
        <v>325</v>
      </c>
      <c r="W449" s="66" t="s">
        <v>400</v>
      </c>
      <c r="X449" s="104">
        <v>0</v>
      </c>
      <c r="Y449" s="104">
        <v>0</v>
      </c>
      <c r="Z449" s="104">
        <v>0</v>
      </c>
      <c r="AA449" s="104">
        <v>0</v>
      </c>
      <c r="AB449" s="104">
        <v>0</v>
      </c>
      <c r="AC449" s="104">
        <v>0</v>
      </c>
      <c r="AD449" s="142">
        <v>0</v>
      </c>
      <c r="AE449" s="111">
        <f t="shared" si="348"/>
        <v>10</v>
      </c>
      <c r="AF449" s="70">
        <v>4105030</v>
      </c>
      <c r="AG449" s="105" cm="1">
        <f t="array" ref="AG449">_xlfn.SWITCH(L449,3,1,
           4,1,
           5,1,
           6,1,0)</f>
        <v>0</v>
      </c>
      <c r="AH449" s="146">
        <f t="shared" si="358"/>
        <v>80101101</v>
      </c>
      <c r="AI449" s="90">
        <v>0</v>
      </c>
      <c r="AJ449" s="90">
        <v>0</v>
      </c>
      <c r="AK449" s="27">
        <v>0</v>
      </c>
      <c r="AL449" s="123">
        <f>_xlfn.XLOOKUP(H449,'#각종 참고'!$B$11:$B$20,'#각종 참고'!$D$11:$D$20)</f>
        <v>0</v>
      </c>
      <c r="AM449" s="27">
        <v>1</v>
      </c>
      <c r="AN449" s="27">
        <v>1</v>
      </c>
      <c r="AO449" s="124">
        <f t="shared" si="355"/>
        <v>1</v>
      </c>
      <c r="AP449" s="27">
        <v>1</v>
      </c>
      <c r="AQ449" s="21">
        <v>14115021</v>
      </c>
      <c r="AR449" s="68" t="s">
        <v>2522</v>
      </c>
    </row>
    <row r="450" spans="1:47" x14ac:dyDescent="0.3">
      <c r="A450" s="19"/>
      <c r="B450" s="109">
        <v>14125001</v>
      </c>
      <c r="C450" s="99" t="str">
        <f t="shared" si="267"/>
        <v>4</v>
      </c>
      <c r="D450" s="121">
        <f>COUNTIFS($F$33:F450,F450, $G$33:G450,G450, $C$33:C450,C450, $L$33:L450,L450)</f>
        <v>1</v>
      </c>
      <c r="E450" s="20">
        <v>1</v>
      </c>
      <c r="F450" s="20">
        <v>5</v>
      </c>
      <c r="G450" s="20">
        <v>1</v>
      </c>
      <c r="H450" s="103" t="s">
        <v>964</v>
      </c>
      <c r="I450" s="20" t="s">
        <v>1764</v>
      </c>
      <c r="J450" s="104" t="str">
        <f t="shared" si="342"/>
        <v>Item_Name_14125001</v>
      </c>
      <c r="K450" s="20">
        <v>10104001</v>
      </c>
      <c r="L450" s="107">
        <f t="shared" si="347"/>
        <v>2</v>
      </c>
      <c r="M450" s="105">
        <f>IF(D450=0, 0, _xlfn.XLOOKUP($F450,'#무게관련'!$B:$B,'#무게관련'!$C:$C)*_xlfn.XLOOKUP($L450,'#무게관련'!$F:$F,'#무게관련'!$G:$G)*100)</f>
        <v>10000</v>
      </c>
      <c r="N450" s="20">
        <v>20500</v>
      </c>
      <c r="O450" s="20">
        <v>4</v>
      </c>
      <c r="P450" s="20">
        <v>15</v>
      </c>
      <c r="Q450" s="20">
        <v>1</v>
      </c>
      <c r="R450" s="20">
        <v>100</v>
      </c>
      <c r="S450" s="20">
        <v>1</v>
      </c>
      <c r="T450" s="20" t="s">
        <v>1875</v>
      </c>
      <c r="U450" s="104" t="str">
        <f t="shared" si="333"/>
        <v>item_bg_grade_02</v>
      </c>
      <c r="V450" s="20" t="s">
        <v>325</v>
      </c>
      <c r="W450" s="20" t="s">
        <v>400</v>
      </c>
      <c r="X450" s="104">
        <v>0</v>
      </c>
      <c r="Y450" s="104">
        <v>0</v>
      </c>
      <c r="Z450" s="104">
        <v>0</v>
      </c>
      <c r="AA450" s="104">
        <v>0</v>
      </c>
      <c r="AB450" s="104">
        <v>0</v>
      </c>
      <c r="AC450" s="104">
        <v>0</v>
      </c>
      <c r="AD450" s="142">
        <v>0</v>
      </c>
      <c r="AE450" s="112">
        <f t="shared" si="348"/>
        <v>20</v>
      </c>
      <c r="AF450" s="70">
        <v>4205010</v>
      </c>
      <c r="AG450" s="105" cm="1">
        <f t="array" ref="AG450">_xlfn.SWITCH(L450,3,1,
           4,1,
           5,1,
           6,1,0)</f>
        <v>0</v>
      </c>
      <c r="AH450" s="146">
        <f t="shared" si="358"/>
        <v>80101201</v>
      </c>
      <c r="AI450" s="90">
        <v>6000</v>
      </c>
      <c r="AJ450" s="90">
        <v>3002</v>
      </c>
      <c r="AK450" s="27">
        <v>2005</v>
      </c>
      <c r="AL450" s="123">
        <f>_xlfn.XLOOKUP(H450,'#각종 참고'!$B$11:$B$20,'#각종 참고'!$D$11:$D$20)</f>
        <v>0</v>
      </c>
      <c r="AM450" s="27">
        <v>1</v>
      </c>
      <c r="AN450" s="27">
        <v>1</v>
      </c>
      <c r="AO450" s="124">
        <f t="shared" si="355"/>
        <v>1</v>
      </c>
      <c r="AP450" s="27">
        <v>1</v>
      </c>
      <c r="AQ450" s="21">
        <v>14125001</v>
      </c>
      <c r="AR450" s="21" t="s">
        <v>1764</v>
      </c>
      <c r="AS450" s="68"/>
      <c r="AT450" s="68"/>
      <c r="AU450" s="68"/>
    </row>
    <row r="451" spans="1:47" x14ac:dyDescent="0.3">
      <c r="A451" s="19"/>
      <c r="B451" s="109">
        <v>14125002</v>
      </c>
      <c r="C451" s="99" t="str">
        <f t="shared" ref="C451:C452" si="363">IF(K451&gt;0,MID(K451,5, 1), 0)</f>
        <v>4</v>
      </c>
      <c r="D451" s="121">
        <f>COUNTIFS($F$33:F451,F451, $G$33:G451,G451, $C$33:C451,C451, $L$33:L451,L451)</f>
        <v>2</v>
      </c>
      <c r="E451" s="20">
        <v>1</v>
      </c>
      <c r="F451" s="20">
        <v>5</v>
      </c>
      <c r="G451" s="20">
        <v>1</v>
      </c>
      <c r="H451" s="103" t="s">
        <v>964</v>
      </c>
      <c r="I451" s="20" t="s">
        <v>2184</v>
      </c>
      <c r="J451" s="104" t="str">
        <f t="shared" si="342"/>
        <v>Item_Name_14125002</v>
      </c>
      <c r="K451" s="20">
        <v>10104001</v>
      </c>
      <c r="L451" s="107">
        <f t="shared" si="347"/>
        <v>2</v>
      </c>
      <c r="M451" s="105">
        <f>IF(D451=0, 0, _xlfn.XLOOKUP($F451,'#무게관련'!$B:$B,'#무게관련'!$C:$C)*_xlfn.XLOOKUP($L451,'#무게관련'!$F:$F,'#무게관련'!$G:$G)*100)</f>
        <v>10000</v>
      </c>
      <c r="N451" s="20">
        <v>20500</v>
      </c>
      <c r="O451" s="20">
        <v>4</v>
      </c>
      <c r="P451" s="20">
        <v>15</v>
      </c>
      <c r="Q451" s="20">
        <v>1</v>
      </c>
      <c r="R451" s="20">
        <v>100</v>
      </c>
      <c r="S451" s="20">
        <v>1</v>
      </c>
      <c r="T451" s="20" t="s">
        <v>1875</v>
      </c>
      <c r="U451" s="104" t="str">
        <f t="shared" ref="U451:U452" si="364">"item_bg_grade_0"&amp;L451</f>
        <v>item_bg_grade_02</v>
      </c>
      <c r="V451" s="20" t="s">
        <v>325</v>
      </c>
      <c r="W451" s="20" t="s">
        <v>400</v>
      </c>
      <c r="X451" s="104">
        <v>0</v>
      </c>
      <c r="Y451" s="104">
        <v>0</v>
      </c>
      <c r="Z451" s="104">
        <v>0</v>
      </c>
      <c r="AA451" s="104">
        <v>0</v>
      </c>
      <c r="AB451" s="104">
        <v>0</v>
      </c>
      <c r="AC451" s="104">
        <v>0</v>
      </c>
      <c r="AD451" s="142">
        <v>0</v>
      </c>
      <c r="AE451" s="112">
        <f t="shared" si="348"/>
        <v>20</v>
      </c>
      <c r="AF451" s="70">
        <v>4205020</v>
      </c>
      <c r="AG451" s="105" cm="1">
        <f t="array" ref="AG451">_xlfn.SWITCH(L451,3,1,
           4,1,
           5,1,
           6,1,0)</f>
        <v>0</v>
      </c>
      <c r="AH451" s="146">
        <f t="shared" si="358"/>
        <v>80101201</v>
      </c>
      <c r="AI451" s="90">
        <v>6000</v>
      </c>
      <c r="AJ451" s="90">
        <v>3002</v>
      </c>
      <c r="AK451" s="27">
        <v>2005</v>
      </c>
      <c r="AL451" s="123">
        <f>_xlfn.XLOOKUP(H451,'#각종 참고'!$B$11:$B$20,'#각종 참고'!$D$11:$D$20)</f>
        <v>0</v>
      </c>
      <c r="AM451" s="27">
        <v>1</v>
      </c>
      <c r="AN451" s="27">
        <v>1</v>
      </c>
      <c r="AO451" s="124">
        <f t="shared" si="355"/>
        <v>1</v>
      </c>
      <c r="AP451" s="27">
        <v>1</v>
      </c>
      <c r="AQ451" s="21">
        <v>14125011</v>
      </c>
      <c r="AR451" s="21" t="s">
        <v>2523</v>
      </c>
      <c r="AS451" s="68"/>
      <c r="AT451" s="68"/>
      <c r="AU451" s="68"/>
    </row>
    <row r="452" spans="1:47" x14ac:dyDescent="0.3">
      <c r="A452" s="19"/>
      <c r="B452" s="109">
        <v>14125003</v>
      </c>
      <c r="C452" s="99" t="str">
        <f t="shared" si="363"/>
        <v>4</v>
      </c>
      <c r="D452" s="121">
        <f>COUNTIFS($F$33:F452,F452, $G$33:G452,G452, $C$33:C452,C452, $L$33:L452,L452)</f>
        <v>3</v>
      </c>
      <c r="E452" s="20">
        <v>1</v>
      </c>
      <c r="F452" s="20">
        <v>5</v>
      </c>
      <c r="G452" s="20">
        <v>1</v>
      </c>
      <c r="H452" s="103" t="s">
        <v>964</v>
      </c>
      <c r="I452" s="20" t="s">
        <v>2024</v>
      </c>
      <c r="J452" s="104" t="str">
        <f t="shared" si="342"/>
        <v>Item_Name_14125003</v>
      </c>
      <c r="K452" s="20">
        <v>10104001</v>
      </c>
      <c r="L452" s="107">
        <f t="shared" si="347"/>
        <v>2</v>
      </c>
      <c r="M452" s="105">
        <f>IF(D452=0, 0, _xlfn.XLOOKUP($F452,'#무게관련'!$B:$B,'#무게관련'!$C:$C)*_xlfn.XLOOKUP($L452,'#무게관련'!$F:$F,'#무게관련'!$G:$G)*100)</f>
        <v>10000</v>
      </c>
      <c r="N452" s="20">
        <v>20500</v>
      </c>
      <c r="O452" s="20">
        <v>4</v>
      </c>
      <c r="P452" s="20">
        <v>15</v>
      </c>
      <c r="Q452" s="20">
        <v>1</v>
      </c>
      <c r="R452" s="20">
        <v>100</v>
      </c>
      <c r="S452" s="20">
        <v>1</v>
      </c>
      <c r="T452" s="20" t="s">
        <v>1875</v>
      </c>
      <c r="U452" s="104" t="str">
        <f t="shared" si="364"/>
        <v>item_bg_grade_02</v>
      </c>
      <c r="V452" s="20" t="s">
        <v>325</v>
      </c>
      <c r="W452" s="20" t="s">
        <v>400</v>
      </c>
      <c r="X452" s="104">
        <v>0</v>
      </c>
      <c r="Y452" s="104">
        <v>0</v>
      </c>
      <c r="Z452" s="104">
        <v>0</v>
      </c>
      <c r="AA452" s="104">
        <v>0</v>
      </c>
      <c r="AB452" s="104">
        <v>0</v>
      </c>
      <c r="AC452" s="104">
        <v>0</v>
      </c>
      <c r="AD452" s="142">
        <v>0</v>
      </c>
      <c r="AE452" s="112">
        <f t="shared" si="348"/>
        <v>20</v>
      </c>
      <c r="AF452" s="70">
        <v>4205030</v>
      </c>
      <c r="AG452" s="105" cm="1">
        <f t="array" ref="AG452">_xlfn.SWITCH(L452,3,1,
           4,1,
           5,1,
           6,1,0)</f>
        <v>0</v>
      </c>
      <c r="AH452" s="146">
        <f t="shared" si="358"/>
        <v>80101201</v>
      </c>
      <c r="AI452" s="90">
        <v>6000</v>
      </c>
      <c r="AJ452" s="90">
        <v>3002</v>
      </c>
      <c r="AK452" s="27">
        <v>2005</v>
      </c>
      <c r="AL452" s="123">
        <f>_xlfn.XLOOKUP(H452,'#각종 참고'!$B$11:$B$20,'#각종 참고'!$D$11:$D$20)</f>
        <v>0</v>
      </c>
      <c r="AM452" s="27">
        <v>1</v>
      </c>
      <c r="AN452" s="27">
        <v>1</v>
      </c>
      <c r="AO452" s="124">
        <f t="shared" si="355"/>
        <v>1</v>
      </c>
      <c r="AP452" s="27">
        <v>1</v>
      </c>
      <c r="AQ452" s="21">
        <v>14125021</v>
      </c>
      <c r="AR452" s="21" t="s">
        <v>2524</v>
      </c>
      <c r="AS452" s="68"/>
      <c r="AT452" s="68"/>
      <c r="AU452" s="68"/>
    </row>
    <row r="453" spans="1:47" x14ac:dyDescent="0.3">
      <c r="A453" s="19"/>
      <c r="B453" s="109">
        <v>14135001</v>
      </c>
      <c r="C453" s="99" t="str">
        <f t="shared" si="267"/>
        <v>4</v>
      </c>
      <c r="D453" s="121">
        <f>COUNTIFS($F$33:F453,F453, $G$33:G453,G453, $C$33:C453,C453, $L$33:L453,L453)</f>
        <v>1</v>
      </c>
      <c r="E453" s="20">
        <v>1</v>
      </c>
      <c r="F453" s="20">
        <v>5</v>
      </c>
      <c r="G453" s="20">
        <v>1</v>
      </c>
      <c r="H453" s="103" t="s">
        <v>964</v>
      </c>
      <c r="I453" s="20" t="s">
        <v>1765</v>
      </c>
      <c r="J453" s="104" t="str">
        <f t="shared" si="342"/>
        <v>Item_Name_14135001</v>
      </c>
      <c r="K453" s="20">
        <v>10104001</v>
      </c>
      <c r="L453" s="107">
        <f t="shared" si="347"/>
        <v>3</v>
      </c>
      <c r="M453" s="105">
        <f>IF(D453=0, 0, _xlfn.XLOOKUP($F453,'#무게관련'!$B:$B,'#무게관련'!$C:$C)*_xlfn.XLOOKUP($L453,'#무게관련'!$F:$F,'#무게관련'!$G:$G)*100)</f>
        <v>10000</v>
      </c>
      <c r="N453" s="20">
        <v>20500</v>
      </c>
      <c r="O453" s="20">
        <v>4</v>
      </c>
      <c r="P453" s="20">
        <v>15</v>
      </c>
      <c r="Q453" s="20">
        <v>1</v>
      </c>
      <c r="R453" s="20">
        <v>100</v>
      </c>
      <c r="S453" s="20">
        <v>1</v>
      </c>
      <c r="T453" s="20" t="s">
        <v>1876</v>
      </c>
      <c r="U453" s="104" t="str">
        <f t="shared" si="333"/>
        <v>item_bg_grade_03</v>
      </c>
      <c r="V453" s="20" t="s">
        <v>325</v>
      </c>
      <c r="W453" s="20" t="s">
        <v>400</v>
      </c>
      <c r="X453" s="104">
        <v>0</v>
      </c>
      <c r="Y453" s="104">
        <v>0</v>
      </c>
      <c r="Z453" s="104">
        <v>0</v>
      </c>
      <c r="AA453" s="104">
        <v>0</v>
      </c>
      <c r="AB453" s="104">
        <v>0</v>
      </c>
      <c r="AC453" s="104">
        <v>0</v>
      </c>
      <c r="AD453" s="142">
        <v>0</v>
      </c>
      <c r="AE453" s="112">
        <f t="shared" si="348"/>
        <v>30</v>
      </c>
      <c r="AF453" s="70">
        <v>4305010</v>
      </c>
      <c r="AG453" s="105" cm="1">
        <f t="array" ref="AG453">_xlfn.SWITCH(L453,3,1,
           4,1,
           5,1,
           6,1,0)</f>
        <v>1</v>
      </c>
      <c r="AH453" s="146">
        <f t="shared" si="358"/>
        <v>80101301</v>
      </c>
      <c r="AI453" s="90">
        <v>6001</v>
      </c>
      <c r="AJ453" s="90">
        <v>3004</v>
      </c>
      <c r="AK453" s="27">
        <v>3005</v>
      </c>
      <c r="AL453" s="123">
        <f>_xlfn.XLOOKUP(H453,'#각종 참고'!$B$11:$B$20,'#각종 참고'!$D$11:$D$20)</f>
        <v>0</v>
      </c>
      <c r="AM453" s="27">
        <v>1</v>
      </c>
      <c r="AN453" s="27">
        <v>1</v>
      </c>
      <c r="AO453" s="124">
        <f t="shared" si="355"/>
        <v>1</v>
      </c>
      <c r="AP453" s="27">
        <v>1</v>
      </c>
      <c r="AQ453" s="21">
        <v>14135001</v>
      </c>
      <c r="AR453" s="21" t="s">
        <v>1765</v>
      </c>
      <c r="AS453" s="68"/>
      <c r="AT453" s="68"/>
      <c r="AU453" s="68"/>
    </row>
    <row r="454" spans="1:47" x14ac:dyDescent="0.3">
      <c r="A454" s="19"/>
      <c r="B454" s="109">
        <v>14135002</v>
      </c>
      <c r="C454" s="99" t="str">
        <f t="shared" ref="C454:C455" si="365">IF(K454&gt;0,MID(K454,5, 1), 0)</f>
        <v>4</v>
      </c>
      <c r="D454" s="121">
        <f>COUNTIFS($F$33:F454,F454, $G$33:G454,G454, $C$33:C454,C454, $L$33:L454,L454)</f>
        <v>2</v>
      </c>
      <c r="E454" s="20">
        <v>1</v>
      </c>
      <c r="F454" s="20">
        <v>5</v>
      </c>
      <c r="G454" s="20">
        <v>1</v>
      </c>
      <c r="H454" s="103" t="s">
        <v>964</v>
      </c>
      <c r="I454" s="20" t="s">
        <v>1766</v>
      </c>
      <c r="J454" s="104" t="str">
        <f t="shared" si="342"/>
        <v>Item_Name_14135002</v>
      </c>
      <c r="K454" s="20">
        <v>10104001</v>
      </c>
      <c r="L454" s="107">
        <f t="shared" si="347"/>
        <v>3</v>
      </c>
      <c r="M454" s="105">
        <f>IF(D454=0, 0, _xlfn.XLOOKUP($F454,'#무게관련'!$B:$B,'#무게관련'!$C:$C)*_xlfn.XLOOKUP($L454,'#무게관련'!$F:$F,'#무게관련'!$G:$G)*100)</f>
        <v>10000</v>
      </c>
      <c r="N454" s="20">
        <v>20500</v>
      </c>
      <c r="O454" s="20">
        <v>4</v>
      </c>
      <c r="P454" s="20">
        <v>15</v>
      </c>
      <c r="Q454" s="20">
        <v>1</v>
      </c>
      <c r="R454" s="20">
        <v>100</v>
      </c>
      <c r="S454" s="20">
        <v>1</v>
      </c>
      <c r="T454" s="20" t="s">
        <v>1876</v>
      </c>
      <c r="U454" s="104" t="str">
        <f t="shared" ref="U454:U455" si="366">"item_bg_grade_0"&amp;L454</f>
        <v>item_bg_grade_03</v>
      </c>
      <c r="V454" s="20" t="s">
        <v>325</v>
      </c>
      <c r="W454" s="20" t="s">
        <v>400</v>
      </c>
      <c r="X454" s="104">
        <v>0</v>
      </c>
      <c r="Y454" s="104">
        <v>0</v>
      </c>
      <c r="Z454" s="104">
        <v>0</v>
      </c>
      <c r="AA454" s="104">
        <v>0</v>
      </c>
      <c r="AB454" s="104">
        <v>0</v>
      </c>
      <c r="AC454" s="104">
        <v>0</v>
      </c>
      <c r="AD454" s="142">
        <v>0</v>
      </c>
      <c r="AE454" s="112">
        <f t="shared" si="348"/>
        <v>30</v>
      </c>
      <c r="AF454" s="70">
        <v>4305020</v>
      </c>
      <c r="AG454" s="105" cm="1">
        <f t="array" ref="AG454">_xlfn.SWITCH(L454,3,1,
           4,1,
           5,1,
           6,1,0)</f>
        <v>1</v>
      </c>
      <c r="AH454" s="146">
        <f t="shared" si="358"/>
        <v>80101301</v>
      </c>
      <c r="AI454" s="90">
        <v>6001</v>
      </c>
      <c r="AJ454" s="90">
        <v>3004</v>
      </c>
      <c r="AK454" s="27">
        <v>3005</v>
      </c>
      <c r="AL454" s="123">
        <f>_xlfn.XLOOKUP(H454,'#각종 참고'!$B$11:$B$20,'#각종 참고'!$D$11:$D$20)</f>
        <v>0</v>
      </c>
      <c r="AM454" s="27">
        <v>1</v>
      </c>
      <c r="AN454" s="27">
        <v>1</v>
      </c>
      <c r="AO454" s="124">
        <f t="shared" si="355"/>
        <v>1</v>
      </c>
      <c r="AP454" s="27">
        <v>1</v>
      </c>
      <c r="AQ454" s="21">
        <v>14135011</v>
      </c>
      <c r="AR454" s="21" t="s">
        <v>2525</v>
      </c>
      <c r="AS454" s="68"/>
      <c r="AT454" s="68"/>
      <c r="AU454" s="68"/>
    </row>
    <row r="455" spans="1:47" x14ac:dyDescent="0.3">
      <c r="A455" s="19"/>
      <c r="B455" s="109">
        <v>14135003</v>
      </c>
      <c r="C455" s="99" t="str">
        <f t="shared" si="365"/>
        <v>4</v>
      </c>
      <c r="D455" s="121">
        <f>COUNTIFS($F$33:F455,F455, $G$33:G455,G455, $C$33:C455,C455, $L$33:L455,L455)</f>
        <v>3</v>
      </c>
      <c r="E455" s="20">
        <v>1</v>
      </c>
      <c r="F455" s="20">
        <v>5</v>
      </c>
      <c r="G455" s="20">
        <v>1</v>
      </c>
      <c r="H455" s="103" t="s">
        <v>964</v>
      </c>
      <c r="I455" s="20" t="s">
        <v>2185</v>
      </c>
      <c r="J455" s="104" t="str">
        <f t="shared" si="342"/>
        <v>Item_Name_14135003</v>
      </c>
      <c r="K455" s="20">
        <v>10104001</v>
      </c>
      <c r="L455" s="107">
        <f t="shared" si="347"/>
        <v>3</v>
      </c>
      <c r="M455" s="105">
        <f>IF(D455=0, 0, _xlfn.XLOOKUP($F455,'#무게관련'!$B:$B,'#무게관련'!$C:$C)*_xlfn.XLOOKUP($L455,'#무게관련'!$F:$F,'#무게관련'!$G:$G)*100)</f>
        <v>10000</v>
      </c>
      <c r="N455" s="20">
        <v>20500</v>
      </c>
      <c r="O455" s="20">
        <v>4</v>
      </c>
      <c r="P455" s="20">
        <v>15</v>
      </c>
      <c r="Q455" s="20">
        <v>1</v>
      </c>
      <c r="R455" s="20">
        <v>100</v>
      </c>
      <c r="S455" s="20">
        <v>1</v>
      </c>
      <c r="T455" s="20" t="s">
        <v>1876</v>
      </c>
      <c r="U455" s="104" t="str">
        <f t="shared" si="366"/>
        <v>item_bg_grade_03</v>
      </c>
      <c r="V455" s="20" t="s">
        <v>325</v>
      </c>
      <c r="W455" s="20" t="s">
        <v>400</v>
      </c>
      <c r="X455" s="104">
        <v>0</v>
      </c>
      <c r="Y455" s="104">
        <v>0</v>
      </c>
      <c r="Z455" s="104">
        <v>0</v>
      </c>
      <c r="AA455" s="104">
        <v>0</v>
      </c>
      <c r="AB455" s="104">
        <v>0</v>
      </c>
      <c r="AC455" s="104">
        <v>0</v>
      </c>
      <c r="AD455" s="142">
        <v>0</v>
      </c>
      <c r="AE455" s="112">
        <f t="shared" si="348"/>
        <v>30</v>
      </c>
      <c r="AF455" s="70">
        <v>4305030</v>
      </c>
      <c r="AG455" s="105" cm="1">
        <f t="array" ref="AG455">_xlfn.SWITCH(L455,3,1,
           4,1,
           5,1,
           6,1,0)</f>
        <v>1</v>
      </c>
      <c r="AH455" s="146">
        <f t="shared" si="358"/>
        <v>80101301</v>
      </c>
      <c r="AI455" s="90">
        <v>6001</v>
      </c>
      <c r="AJ455" s="90">
        <v>3004</v>
      </c>
      <c r="AK455" s="27">
        <v>3005</v>
      </c>
      <c r="AL455" s="123">
        <f>_xlfn.XLOOKUP(H455,'#각종 참고'!$B$11:$B$20,'#각종 참고'!$D$11:$D$20)</f>
        <v>0</v>
      </c>
      <c r="AM455" s="27">
        <v>1</v>
      </c>
      <c r="AN455" s="27">
        <v>1</v>
      </c>
      <c r="AO455" s="124">
        <f t="shared" si="355"/>
        <v>1</v>
      </c>
      <c r="AP455" s="27">
        <v>1</v>
      </c>
      <c r="AQ455" s="21">
        <v>14135021</v>
      </c>
      <c r="AR455" s="21" t="s">
        <v>2526</v>
      </c>
      <c r="AS455" s="68"/>
      <c r="AT455" s="68"/>
      <c r="AU455" s="68"/>
    </row>
    <row r="456" spans="1:47" x14ac:dyDescent="0.3">
      <c r="A456" s="19"/>
      <c r="B456" s="109">
        <v>14145001</v>
      </c>
      <c r="C456" s="99" t="str">
        <f t="shared" si="267"/>
        <v>4</v>
      </c>
      <c r="D456" s="121">
        <f>COUNTIFS($F$33:F456,F456, $G$33:G456,G456, $C$33:C456,C456, $L$33:L456,L456)</f>
        <v>1</v>
      </c>
      <c r="E456" s="20">
        <v>1</v>
      </c>
      <c r="F456" s="20">
        <v>5</v>
      </c>
      <c r="G456" s="20">
        <v>1</v>
      </c>
      <c r="H456" s="103" t="s">
        <v>964</v>
      </c>
      <c r="I456" s="20" t="s">
        <v>1767</v>
      </c>
      <c r="J456" s="104" t="str">
        <f t="shared" si="342"/>
        <v>Item_Name_14145001</v>
      </c>
      <c r="K456" s="20">
        <v>10104001</v>
      </c>
      <c r="L456" s="107">
        <f t="shared" si="347"/>
        <v>4</v>
      </c>
      <c r="M456" s="105">
        <f>IF(D456=0, 0, _xlfn.XLOOKUP($F456,'#무게관련'!$B:$B,'#무게관련'!$C:$C)*_xlfn.XLOOKUP($L456,'#무게관련'!$F:$F,'#무게관련'!$G:$G)*100)</f>
        <v>10000</v>
      </c>
      <c r="N456" s="20">
        <v>20500</v>
      </c>
      <c r="O456" s="20">
        <v>4</v>
      </c>
      <c r="P456" s="20">
        <v>15</v>
      </c>
      <c r="Q456" s="20">
        <v>1</v>
      </c>
      <c r="R456" s="20">
        <v>100</v>
      </c>
      <c r="S456" s="20">
        <v>1</v>
      </c>
      <c r="T456" s="20" t="s">
        <v>1877</v>
      </c>
      <c r="U456" s="104" t="str">
        <f t="shared" si="333"/>
        <v>item_bg_grade_04</v>
      </c>
      <c r="V456" s="20" t="s">
        <v>325</v>
      </c>
      <c r="W456" s="20" t="s">
        <v>400</v>
      </c>
      <c r="X456" s="104">
        <v>0</v>
      </c>
      <c r="Y456" s="104">
        <v>0</v>
      </c>
      <c r="Z456" s="104">
        <v>0</v>
      </c>
      <c r="AA456" s="104">
        <v>0</v>
      </c>
      <c r="AB456" s="104">
        <v>0</v>
      </c>
      <c r="AC456" s="104">
        <v>0</v>
      </c>
      <c r="AD456" s="142">
        <v>0</v>
      </c>
      <c r="AE456" s="112">
        <f t="shared" si="348"/>
        <v>40</v>
      </c>
      <c r="AF456" s="70">
        <v>4405010</v>
      </c>
      <c r="AG456" s="105" cm="1">
        <f t="array" ref="AG456">_xlfn.SWITCH(L456,3,1,
           4,1,
           5,1,
           6,1,0)</f>
        <v>1</v>
      </c>
      <c r="AH456" s="146">
        <f t="shared" si="358"/>
        <v>80101401</v>
      </c>
      <c r="AI456" s="90">
        <v>6002</v>
      </c>
      <c r="AJ456" s="90">
        <v>3006</v>
      </c>
      <c r="AK456" s="27">
        <v>4005</v>
      </c>
      <c r="AL456" s="123">
        <f>_xlfn.XLOOKUP(H456,'#각종 참고'!$B$11:$B$20,'#각종 참고'!$D$11:$D$20)</f>
        <v>0</v>
      </c>
      <c r="AM456" s="27">
        <v>1</v>
      </c>
      <c r="AN456" s="27">
        <v>1</v>
      </c>
      <c r="AO456" s="124">
        <f t="shared" si="355"/>
        <v>1</v>
      </c>
      <c r="AP456" s="27">
        <v>1</v>
      </c>
      <c r="AQ456" s="21">
        <v>14145001</v>
      </c>
      <c r="AR456" s="21" t="s">
        <v>1767</v>
      </c>
      <c r="AS456" s="68"/>
      <c r="AT456" s="68"/>
      <c r="AU456" s="68"/>
    </row>
    <row r="457" spans="1:47" x14ac:dyDescent="0.3">
      <c r="A457" s="19"/>
      <c r="B457" s="109">
        <v>14145002</v>
      </c>
      <c r="C457" s="99" t="str">
        <f t="shared" ref="C457:C458" si="367">IF(K457&gt;0,MID(K457,5, 1), 0)</f>
        <v>4</v>
      </c>
      <c r="D457" s="121">
        <f>COUNTIFS($F$33:F457,F457, $G$33:G457,G457, $C$33:C457,C457, $L$33:L457,L457)</f>
        <v>2</v>
      </c>
      <c r="E457" s="20">
        <v>1</v>
      </c>
      <c r="F457" s="20">
        <v>5</v>
      </c>
      <c r="G457" s="20">
        <v>1</v>
      </c>
      <c r="H457" s="103" t="s">
        <v>964</v>
      </c>
      <c r="I457" s="20" t="s">
        <v>2186</v>
      </c>
      <c r="J457" s="104" t="str">
        <f t="shared" si="342"/>
        <v>Item_Name_14145002</v>
      </c>
      <c r="K457" s="20">
        <v>10104001</v>
      </c>
      <c r="L457" s="107">
        <f t="shared" si="347"/>
        <v>4</v>
      </c>
      <c r="M457" s="105">
        <f>IF(D457=0, 0, _xlfn.XLOOKUP($F457,'#무게관련'!$B:$B,'#무게관련'!$C:$C)*_xlfn.XLOOKUP($L457,'#무게관련'!$F:$F,'#무게관련'!$G:$G)*100)</f>
        <v>10000</v>
      </c>
      <c r="N457" s="20">
        <v>20500</v>
      </c>
      <c r="O457" s="20">
        <v>4</v>
      </c>
      <c r="P457" s="20">
        <v>15</v>
      </c>
      <c r="Q457" s="20">
        <v>1</v>
      </c>
      <c r="R457" s="20">
        <v>100</v>
      </c>
      <c r="S457" s="20">
        <v>1</v>
      </c>
      <c r="T457" s="20" t="s">
        <v>1877</v>
      </c>
      <c r="U457" s="104" t="str">
        <f t="shared" ref="U457:U458" si="368">"item_bg_grade_0"&amp;L457</f>
        <v>item_bg_grade_04</v>
      </c>
      <c r="V457" s="20" t="s">
        <v>325</v>
      </c>
      <c r="W457" s="20" t="s">
        <v>400</v>
      </c>
      <c r="X457" s="104">
        <v>0</v>
      </c>
      <c r="Y457" s="104">
        <v>0</v>
      </c>
      <c r="Z457" s="104">
        <v>0</v>
      </c>
      <c r="AA457" s="104">
        <v>0</v>
      </c>
      <c r="AB457" s="104">
        <v>0</v>
      </c>
      <c r="AC457" s="104">
        <v>0</v>
      </c>
      <c r="AD457" s="142">
        <v>0</v>
      </c>
      <c r="AE457" s="112">
        <f t="shared" si="348"/>
        <v>40</v>
      </c>
      <c r="AF457" s="70">
        <v>4405020</v>
      </c>
      <c r="AG457" s="105" cm="1">
        <f t="array" ref="AG457">_xlfn.SWITCH(L457,3,1,
           4,1,
           5,1,
           6,1,0)</f>
        <v>1</v>
      </c>
      <c r="AH457" s="146">
        <f t="shared" si="358"/>
        <v>80101401</v>
      </c>
      <c r="AI457" s="90">
        <v>6002</v>
      </c>
      <c r="AJ457" s="90">
        <v>3006</v>
      </c>
      <c r="AK457" s="27">
        <v>4005</v>
      </c>
      <c r="AL457" s="123">
        <f>_xlfn.XLOOKUP(H457,'#각종 참고'!$B$11:$B$20,'#각종 참고'!$D$11:$D$20)</f>
        <v>0</v>
      </c>
      <c r="AM457" s="27">
        <v>1</v>
      </c>
      <c r="AN457" s="27">
        <v>1</v>
      </c>
      <c r="AO457" s="124">
        <f t="shared" si="355"/>
        <v>1</v>
      </c>
      <c r="AP457" s="27">
        <v>1</v>
      </c>
      <c r="AQ457" s="21">
        <v>14145011</v>
      </c>
      <c r="AR457" s="21" t="s">
        <v>2527</v>
      </c>
      <c r="AS457" s="68"/>
      <c r="AT457" s="68"/>
      <c r="AU457" s="68"/>
    </row>
    <row r="458" spans="1:47" x14ac:dyDescent="0.3">
      <c r="A458" s="19"/>
      <c r="B458" s="109">
        <v>14145003</v>
      </c>
      <c r="C458" s="99" t="str">
        <f t="shared" si="367"/>
        <v>4</v>
      </c>
      <c r="D458" s="121">
        <f>COUNTIFS($F$33:F458,F458, $G$33:G458,G458, $C$33:C458,C458, $L$33:L458,L458)</f>
        <v>3</v>
      </c>
      <c r="E458" s="20">
        <v>1</v>
      </c>
      <c r="F458" s="20">
        <v>5</v>
      </c>
      <c r="G458" s="20">
        <v>1</v>
      </c>
      <c r="H458" s="103" t="s">
        <v>964</v>
      </c>
      <c r="I458" s="20" t="s">
        <v>1768</v>
      </c>
      <c r="J458" s="104" t="str">
        <f t="shared" si="342"/>
        <v>Item_Name_14145003</v>
      </c>
      <c r="K458" s="20">
        <v>10104001</v>
      </c>
      <c r="L458" s="107">
        <f t="shared" si="347"/>
        <v>4</v>
      </c>
      <c r="M458" s="105">
        <f>IF(D458=0, 0, _xlfn.XLOOKUP($F458,'#무게관련'!$B:$B,'#무게관련'!$C:$C)*_xlfn.XLOOKUP($L458,'#무게관련'!$F:$F,'#무게관련'!$G:$G)*100)</f>
        <v>10000</v>
      </c>
      <c r="N458" s="20">
        <v>20500</v>
      </c>
      <c r="O458" s="20">
        <v>4</v>
      </c>
      <c r="P458" s="20">
        <v>15</v>
      </c>
      <c r="Q458" s="20">
        <v>1</v>
      </c>
      <c r="R458" s="20">
        <v>100</v>
      </c>
      <c r="S458" s="20">
        <v>1</v>
      </c>
      <c r="T458" s="20" t="s">
        <v>1877</v>
      </c>
      <c r="U458" s="104" t="str">
        <f t="shared" si="368"/>
        <v>item_bg_grade_04</v>
      </c>
      <c r="V458" s="20" t="s">
        <v>325</v>
      </c>
      <c r="W458" s="20" t="s">
        <v>400</v>
      </c>
      <c r="X458" s="104">
        <v>0</v>
      </c>
      <c r="Y458" s="104">
        <v>0</v>
      </c>
      <c r="Z458" s="104">
        <v>0</v>
      </c>
      <c r="AA458" s="104">
        <v>0</v>
      </c>
      <c r="AB458" s="104">
        <v>0</v>
      </c>
      <c r="AC458" s="104">
        <v>0</v>
      </c>
      <c r="AD458" s="142">
        <v>0</v>
      </c>
      <c r="AE458" s="112">
        <f t="shared" si="348"/>
        <v>40</v>
      </c>
      <c r="AF458" s="70">
        <v>4405030</v>
      </c>
      <c r="AG458" s="105" cm="1">
        <f t="array" ref="AG458">_xlfn.SWITCH(L458,3,1,
           4,1,
           5,1,
           6,1,0)</f>
        <v>1</v>
      </c>
      <c r="AH458" s="146">
        <f t="shared" si="358"/>
        <v>80101401</v>
      </c>
      <c r="AI458" s="90">
        <v>6002</v>
      </c>
      <c r="AJ458" s="90">
        <v>3006</v>
      </c>
      <c r="AK458" s="27">
        <v>4005</v>
      </c>
      <c r="AL458" s="123">
        <f>_xlfn.XLOOKUP(H458,'#각종 참고'!$B$11:$B$20,'#각종 참고'!$D$11:$D$20)</f>
        <v>0</v>
      </c>
      <c r="AM458" s="27">
        <v>1</v>
      </c>
      <c r="AN458" s="27">
        <v>1</v>
      </c>
      <c r="AO458" s="124">
        <f t="shared" si="355"/>
        <v>1</v>
      </c>
      <c r="AP458" s="27">
        <v>1</v>
      </c>
      <c r="AQ458" s="21">
        <v>14145021</v>
      </c>
      <c r="AR458" s="21" t="s">
        <v>2528</v>
      </c>
      <c r="AS458" s="68"/>
      <c r="AT458" s="68"/>
      <c r="AU458" s="68"/>
    </row>
    <row r="459" spans="1:47" x14ac:dyDescent="0.3">
      <c r="A459" s="19"/>
      <c r="B459" s="109">
        <v>14155001</v>
      </c>
      <c r="C459" s="99" t="str">
        <f t="shared" ref="C459:C462" si="369">IF(K459&gt;0,MID(K459,5, 1), 0)</f>
        <v>4</v>
      </c>
      <c r="D459" s="121">
        <f>COUNTIFS($F$33:F459,F459, $G$33:G459,G459, $C$33:C459,C459, $L$33:L459,L459)</f>
        <v>1</v>
      </c>
      <c r="E459" s="20">
        <v>1</v>
      </c>
      <c r="F459" s="20">
        <v>5</v>
      </c>
      <c r="G459" s="20">
        <v>1</v>
      </c>
      <c r="H459" s="103" t="s">
        <v>964</v>
      </c>
      <c r="I459" s="20" t="s">
        <v>1769</v>
      </c>
      <c r="J459" s="104" t="str">
        <f t="shared" si="342"/>
        <v>Item_Name_14155001</v>
      </c>
      <c r="K459" s="20">
        <v>10104001</v>
      </c>
      <c r="L459" s="107">
        <f t="shared" si="347"/>
        <v>5</v>
      </c>
      <c r="M459" s="105">
        <f>IF(D459=0, 0, _xlfn.XLOOKUP($F459,'#무게관련'!$B:$B,'#무게관련'!$C:$C)*_xlfn.XLOOKUP($L459,'#무게관련'!$F:$F,'#무게관련'!$G:$G)*100)</f>
        <v>10000</v>
      </c>
      <c r="N459" s="20">
        <v>20500</v>
      </c>
      <c r="O459" s="20">
        <v>4</v>
      </c>
      <c r="P459" s="20">
        <v>15</v>
      </c>
      <c r="Q459" s="20">
        <v>1</v>
      </c>
      <c r="R459" s="20">
        <v>100</v>
      </c>
      <c r="S459" s="20">
        <v>1</v>
      </c>
      <c r="T459" s="20" t="s">
        <v>1878</v>
      </c>
      <c r="U459" s="104" t="str">
        <f t="shared" ref="U459:U462" si="370">"item_bg_grade_0"&amp;L459</f>
        <v>item_bg_grade_05</v>
      </c>
      <c r="V459" s="20" t="s">
        <v>325</v>
      </c>
      <c r="W459" s="20" t="s">
        <v>400</v>
      </c>
      <c r="X459" s="104">
        <v>0</v>
      </c>
      <c r="Y459" s="104">
        <v>0</v>
      </c>
      <c r="Z459" s="104">
        <v>0</v>
      </c>
      <c r="AA459" s="104">
        <v>0</v>
      </c>
      <c r="AB459" s="104">
        <v>0</v>
      </c>
      <c r="AC459" s="104">
        <v>0</v>
      </c>
      <c r="AD459" s="142">
        <v>0</v>
      </c>
      <c r="AE459" s="112">
        <f t="shared" si="348"/>
        <v>50</v>
      </c>
      <c r="AF459" s="70">
        <v>4505010</v>
      </c>
      <c r="AG459" s="105" cm="1">
        <f t="array" ref="AG459">_xlfn.SWITCH(L459,3,1,
           4,1,
           5,1,
           6,1,0)</f>
        <v>1</v>
      </c>
      <c r="AH459" s="146">
        <f t="shared" si="358"/>
        <v>80101501</v>
      </c>
      <c r="AI459" s="90">
        <v>6003</v>
      </c>
      <c r="AJ459" s="90">
        <v>3008</v>
      </c>
      <c r="AK459" s="27">
        <v>5005</v>
      </c>
      <c r="AL459" s="123">
        <f>_xlfn.XLOOKUP(H459,'#각종 참고'!$B$11:$B$20,'#각종 참고'!$D$11:$D$20)</f>
        <v>0</v>
      </c>
      <c r="AM459" s="27">
        <v>1</v>
      </c>
      <c r="AN459" s="27">
        <v>1</v>
      </c>
      <c r="AO459" s="124">
        <f t="shared" si="355"/>
        <v>1</v>
      </c>
      <c r="AP459" s="27">
        <v>1</v>
      </c>
      <c r="AQ459" s="21">
        <v>14155001</v>
      </c>
      <c r="AR459" s="21" t="s">
        <v>1769</v>
      </c>
      <c r="AS459" s="68"/>
      <c r="AT459" s="68"/>
      <c r="AU459" s="68"/>
    </row>
    <row r="460" spans="1:47" x14ac:dyDescent="0.3">
      <c r="A460" s="19"/>
      <c r="B460" s="109">
        <v>14155002</v>
      </c>
      <c r="C460" s="99" t="str">
        <f t="shared" ref="C460:C461" si="371">IF(K460&gt;0,MID(K460,5, 1), 0)</f>
        <v>4</v>
      </c>
      <c r="D460" s="121">
        <f>COUNTIFS($F$33:F460,F460, $G$33:G460,G460, $C$33:C460,C460, $L$33:L460,L460)</f>
        <v>2</v>
      </c>
      <c r="E460" s="20">
        <v>1</v>
      </c>
      <c r="F460" s="20">
        <v>5</v>
      </c>
      <c r="G460" s="20">
        <v>1</v>
      </c>
      <c r="H460" s="103" t="s">
        <v>964</v>
      </c>
      <c r="I460" s="20" t="s">
        <v>2188</v>
      </c>
      <c r="J460" s="104" t="str">
        <f t="shared" si="342"/>
        <v>Item_Name_14155002</v>
      </c>
      <c r="K460" s="20">
        <v>10104001</v>
      </c>
      <c r="L460" s="107">
        <f t="shared" si="347"/>
        <v>5</v>
      </c>
      <c r="M460" s="105">
        <f>IF(D460=0, 0, _xlfn.XLOOKUP($F460,'#무게관련'!$B:$B,'#무게관련'!$C:$C)*_xlfn.XLOOKUP($L460,'#무게관련'!$F:$F,'#무게관련'!$G:$G)*100)</f>
        <v>10000</v>
      </c>
      <c r="N460" s="20">
        <v>20500</v>
      </c>
      <c r="O460" s="20">
        <v>4</v>
      </c>
      <c r="P460" s="20">
        <v>15</v>
      </c>
      <c r="Q460" s="20">
        <v>1</v>
      </c>
      <c r="R460" s="20">
        <v>100</v>
      </c>
      <c r="S460" s="20">
        <v>1</v>
      </c>
      <c r="T460" s="20" t="s">
        <v>1878</v>
      </c>
      <c r="U460" s="104" t="str">
        <f t="shared" ref="U460:U461" si="372">"item_bg_grade_0"&amp;L460</f>
        <v>item_bg_grade_05</v>
      </c>
      <c r="V460" s="20" t="s">
        <v>325</v>
      </c>
      <c r="W460" s="20" t="s">
        <v>400</v>
      </c>
      <c r="X460" s="104">
        <v>0</v>
      </c>
      <c r="Y460" s="104">
        <v>0</v>
      </c>
      <c r="Z460" s="104">
        <v>0</v>
      </c>
      <c r="AA460" s="104">
        <v>0</v>
      </c>
      <c r="AB460" s="104">
        <v>0</v>
      </c>
      <c r="AC460" s="104">
        <v>0</v>
      </c>
      <c r="AD460" s="142">
        <v>0</v>
      </c>
      <c r="AE460" s="112">
        <f t="shared" si="348"/>
        <v>50</v>
      </c>
      <c r="AF460" s="70">
        <v>4505020</v>
      </c>
      <c r="AG460" s="105" cm="1">
        <f t="array" ref="AG460">_xlfn.SWITCH(L460,3,1,
           4,1,
           5,1,
           6,1,0)</f>
        <v>1</v>
      </c>
      <c r="AH460" s="146">
        <f t="shared" si="358"/>
        <v>80101501</v>
      </c>
      <c r="AI460" s="90">
        <v>6003</v>
      </c>
      <c r="AJ460" s="90">
        <v>3008</v>
      </c>
      <c r="AK460" s="27">
        <v>5005</v>
      </c>
      <c r="AL460" s="123">
        <f>_xlfn.XLOOKUP(H460,'#각종 참고'!$B$11:$B$20,'#각종 참고'!$D$11:$D$20)</f>
        <v>0</v>
      </c>
      <c r="AM460" s="27">
        <v>1</v>
      </c>
      <c r="AN460" s="27">
        <v>1</v>
      </c>
      <c r="AO460" s="124">
        <f t="shared" si="355"/>
        <v>1</v>
      </c>
      <c r="AP460" s="27">
        <v>1</v>
      </c>
      <c r="AQ460" s="21">
        <v>14155011</v>
      </c>
      <c r="AR460" s="21" t="s">
        <v>2529</v>
      </c>
      <c r="AS460" s="68"/>
      <c r="AT460" s="68"/>
      <c r="AU460" s="68"/>
    </row>
    <row r="461" spans="1:47" x14ac:dyDescent="0.3">
      <c r="A461" s="19"/>
      <c r="B461" s="109">
        <v>14155003</v>
      </c>
      <c r="C461" s="99" t="str">
        <f t="shared" si="371"/>
        <v>4</v>
      </c>
      <c r="D461" s="121">
        <f>COUNTIFS($F$33:F461,F461, $G$33:G461,G461, $C$33:C461,C461, $L$33:L461,L461)</f>
        <v>3</v>
      </c>
      <c r="E461" s="20">
        <v>1</v>
      </c>
      <c r="F461" s="20">
        <v>5</v>
      </c>
      <c r="G461" s="20">
        <v>1</v>
      </c>
      <c r="H461" s="103" t="s">
        <v>964</v>
      </c>
      <c r="I461" s="20" t="s">
        <v>2187</v>
      </c>
      <c r="J461" s="104" t="str">
        <f t="shared" si="342"/>
        <v>Item_Name_14155003</v>
      </c>
      <c r="K461" s="20">
        <v>10104001</v>
      </c>
      <c r="L461" s="107">
        <f t="shared" si="347"/>
        <v>5</v>
      </c>
      <c r="M461" s="105">
        <f>IF(D461=0, 0, _xlfn.XLOOKUP($F461,'#무게관련'!$B:$B,'#무게관련'!$C:$C)*_xlfn.XLOOKUP($L461,'#무게관련'!$F:$F,'#무게관련'!$G:$G)*100)</f>
        <v>10000</v>
      </c>
      <c r="N461" s="20">
        <v>20500</v>
      </c>
      <c r="O461" s="20">
        <v>4</v>
      </c>
      <c r="P461" s="20">
        <v>15</v>
      </c>
      <c r="Q461" s="20">
        <v>1</v>
      </c>
      <c r="R461" s="20">
        <v>100</v>
      </c>
      <c r="S461" s="20">
        <v>1</v>
      </c>
      <c r="T461" s="20" t="s">
        <v>1878</v>
      </c>
      <c r="U461" s="104" t="str">
        <f t="shared" si="372"/>
        <v>item_bg_grade_05</v>
      </c>
      <c r="V461" s="20" t="s">
        <v>325</v>
      </c>
      <c r="W461" s="20" t="s">
        <v>400</v>
      </c>
      <c r="X461" s="104">
        <v>0</v>
      </c>
      <c r="Y461" s="104">
        <v>0</v>
      </c>
      <c r="Z461" s="104">
        <v>0</v>
      </c>
      <c r="AA461" s="104">
        <v>0</v>
      </c>
      <c r="AB461" s="104">
        <v>0</v>
      </c>
      <c r="AC461" s="104">
        <v>0</v>
      </c>
      <c r="AD461" s="142">
        <v>0</v>
      </c>
      <c r="AE461" s="112">
        <f t="shared" si="348"/>
        <v>50</v>
      </c>
      <c r="AF461" s="70">
        <v>4505030</v>
      </c>
      <c r="AG461" s="105" cm="1">
        <f t="array" ref="AG461">_xlfn.SWITCH(L461,3,1,
           4,1,
           5,1,
           6,1,0)</f>
        <v>1</v>
      </c>
      <c r="AH461" s="146">
        <f t="shared" si="358"/>
        <v>80101501</v>
      </c>
      <c r="AI461" s="90">
        <v>6003</v>
      </c>
      <c r="AJ461" s="90">
        <v>3008</v>
      </c>
      <c r="AK461" s="27">
        <v>5005</v>
      </c>
      <c r="AL461" s="123">
        <f>_xlfn.XLOOKUP(H461,'#각종 참고'!$B$11:$B$20,'#각종 참고'!$D$11:$D$20)</f>
        <v>0</v>
      </c>
      <c r="AM461" s="27">
        <v>1</v>
      </c>
      <c r="AN461" s="27">
        <v>1</v>
      </c>
      <c r="AO461" s="124">
        <f t="shared" si="355"/>
        <v>1</v>
      </c>
      <c r="AP461" s="27">
        <v>1</v>
      </c>
      <c r="AQ461" s="21">
        <v>14155021</v>
      </c>
      <c r="AR461" s="21" t="s">
        <v>2530</v>
      </c>
      <c r="AS461" s="68"/>
      <c r="AT461" s="68"/>
      <c r="AU461" s="68"/>
    </row>
    <row r="462" spans="1:47" x14ac:dyDescent="0.3">
      <c r="A462" s="19"/>
      <c r="B462" s="109">
        <v>14165001</v>
      </c>
      <c r="C462" s="99" t="str">
        <f t="shared" si="369"/>
        <v>4</v>
      </c>
      <c r="D462" s="121">
        <f>COUNTIFS($F$33:F462,F462, $G$33:G462,G462, $C$33:C462,C462, $L$33:L462,L462)</f>
        <v>1</v>
      </c>
      <c r="E462" s="20">
        <v>1</v>
      </c>
      <c r="F462" s="20">
        <v>5</v>
      </c>
      <c r="G462" s="20">
        <v>1</v>
      </c>
      <c r="H462" s="103" t="s">
        <v>964</v>
      </c>
      <c r="I462" s="20" t="s">
        <v>1771</v>
      </c>
      <c r="J462" s="104" t="str">
        <f t="shared" si="342"/>
        <v>Item_Name_14165001</v>
      </c>
      <c r="K462" s="20">
        <v>10104001</v>
      </c>
      <c r="L462" s="107">
        <f t="shared" si="347"/>
        <v>6</v>
      </c>
      <c r="M462" s="105">
        <f>IF(D462=0, 0, _xlfn.XLOOKUP($F462,'#무게관련'!$B:$B,'#무게관련'!$C:$C)*_xlfn.XLOOKUP($L462,'#무게관련'!$F:$F,'#무게관련'!$G:$G)*100)</f>
        <v>10000</v>
      </c>
      <c r="N462" s="20">
        <v>20500</v>
      </c>
      <c r="O462" s="20">
        <v>4</v>
      </c>
      <c r="P462" s="20">
        <v>15</v>
      </c>
      <c r="Q462" s="20">
        <v>1</v>
      </c>
      <c r="R462" s="20">
        <v>100</v>
      </c>
      <c r="S462" s="20">
        <v>1</v>
      </c>
      <c r="T462" s="109" t="s">
        <v>1878</v>
      </c>
      <c r="U462" s="104" t="str">
        <f t="shared" si="370"/>
        <v>item_bg_grade_06</v>
      </c>
      <c r="V462" s="20" t="s">
        <v>325</v>
      </c>
      <c r="W462" s="20" t="s">
        <v>400</v>
      </c>
      <c r="X462" s="104">
        <v>0</v>
      </c>
      <c r="Y462" s="104">
        <v>0</v>
      </c>
      <c r="Z462" s="104">
        <v>0</v>
      </c>
      <c r="AA462" s="104">
        <v>0</v>
      </c>
      <c r="AB462" s="104">
        <v>0</v>
      </c>
      <c r="AC462" s="104">
        <v>0</v>
      </c>
      <c r="AD462" s="142">
        <v>0</v>
      </c>
      <c r="AE462" s="112">
        <f t="shared" si="348"/>
        <v>70</v>
      </c>
      <c r="AF462" s="70">
        <v>4605010</v>
      </c>
      <c r="AG462" s="105" cm="1">
        <f t="array" ref="AG462">_xlfn.SWITCH(L462,3,1,
           4,1,
           5,1,
           6,1,0)</f>
        <v>1</v>
      </c>
      <c r="AH462" s="146">
        <f t="shared" si="358"/>
        <v>0</v>
      </c>
      <c r="AI462" s="90">
        <v>6004</v>
      </c>
      <c r="AJ462" s="90">
        <v>3010</v>
      </c>
      <c r="AK462" s="27">
        <v>6005</v>
      </c>
      <c r="AL462" s="123">
        <f>_xlfn.XLOOKUP(H462,'#각종 참고'!$B$11:$B$20,'#각종 참고'!$D$11:$D$20)</f>
        <v>0</v>
      </c>
      <c r="AM462" s="27">
        <v>1</v>
      </c>
      <c r="AN462" s="27">
        <v>1</v>
      </c>
      <c r="AO462" s="124">
        <f t="shared" si="355"/>
        <v>1</v>
      </c>
      <c r="AP462" s="27">
        <v>1</v>
      </c>
      <c r="AQ462" s="21">
        <v>14165001</v>
      </c>
      <c r="AR462" s="21" t="s">
        <v>1771</v>
      </c>
      <c r="AS462" s="68"/>
      <c r="AT462" s="68"/>
      <c r="AU462" s="68"/>
    </row>
    <row r="463" spans="1:47" x14ac:dyDescent="0.3">
      <c r="A463" s="19" t="s">
        <v>513</v>
      </c>
      <c r="B463" s="109">
        <v>14165002</v>
      </c>
      <c r="C463" s="99" t="str">
        <f t="shared" ref="C463:C464" si="373">IF(K463&gt;0,MID(K463,5, 1), 0)</f>
        <v>4</v>
      </c>
      <c r="D463" s="121">
        <f>COUNTIFS($F$33:F463,F463, $G$33:G463,G463, $C$33:C463,C463, $L$33:L463,L463)</f>
        <v>2</v>
      </c>
      <c r="E463" s="20">
        <v>1</v>
      </c>
      <c r="F463" s="20">
        <v>5</v>
      </c>
      <c r="G463" s="20">
        <v>1</v>
      </c>
      <c r="H463" s="103" t="s">
        <v>964</v>
      </c>
      <c r="I463" s="20" t="s">
        <v>1770</v>
      </c>
      <c r="J463" s="104" t="str">
        <f t="shared" si="342"/>
        <v>Item_Name_14165002</v>
      </c>
      <c r="K463" s="20">
        <v>10104001</v>
      </c>
      <c r="L463" s="107">
        <f t="shared" si="347"/>
        <v>6</v>
      </c>
      <c r="M463" s="105">
        <f>IF(D463=0, 0, _xlfn.XLOOKUP($F463,'#무게관련'!$B:$B,'#무게관련'!$C:$C)*_xlfn.XLOOKUP($L463,'#무게관련'!$F:$F,'#무게관련'!$G:$G)*100)</f>
        <v>10000</v>
      </c>
      <c r="N463" s="20">
        <v>20500</v>
      </c>
      <c r="O463" s="20">
        <v>4</v>
      </c>
      <c r="P463" s="20">
        <v>15</v>
      </c>
      <c r="Q463" s="20">
        <v>1</v>
      </c>
      <c r="R463" s="20">
        <v>100</v>
      </c>
      <c r="S463" s="20">
        <v>1</v>
      </c>
      <c r="T463" s="109" t="s">
        <v>1878</v>
      </c>
      <c r="U463" s="104" t="str">
        <f t="shared" ref="U463:U464" si="374">"item_bg_grade_0"&amp;L463</f>
        <v>item_bg_grade_06</v>
      </c>
      <c r="V463" s="20" t="s">
        <v>325</v>
      </c>
      <c r="W463" s="20" t="s">
        <v>400</v>
      </c>
      <c r="X463" s="104">
        <v>0</v>
      </c>
      <c r="Y463" s="104">
        <v>0</v>
      </c>
      <c r="Z463" s="104">
        <v>0</v>
      </c>
      <c r="AA463" s="104">
        <v>0</v>
      </c>
      <c r="AB463" s="104">
        <v>0</v>
      </c>
      <c r="AC463" s="104">
        <v>0</v>
      </c>
      <c r="AD463" s="142">
        <v>0</v>
      </c>
      <c r="AE463" s="112">
        <f t="shared" si="348"/>
        <v>70</v>
      </c>
      <c r="AF463" s="70">
        <v>4605010</v>
      </c>
      <c r="AG463" s="105" cm="1">
        <f t="array" ref="AG463">_xlfn.SWITCH(L463,3,1,
           4,1,
           5,1,
           6,1,0)</f>
        <v>1</v>
      </c>
      <c r="AH463" s="146">
        <f t="shared" si="358"/>
        <v>0</v>
      </c>
      <c r="AI463" s="90">
        <v>6004</v>
      </c>
      <c r="AJ463" s="90">
        <v>3010</v>
      </c>
      <c r="AK463" s="27">
        <v>6005</v>
      </c>
      <c r="AL463" s="123">
        <f>_xlfn.XLOOKUP(H463,'#각종 참고'!$B$11:$B$20,'#각종 참고'!$D$11:$D$20)</f>
        <v>0</v>
      </c>
      <c r="AM463" s="27">
        <v>1</v>
      </c>
      <c r="AN463" s="27">
        <v>1</v>
      </c>
      <c r="AO463" s="124">
        <f t="shared" si="355"/>
        <v>1</v>
      </c>
      <c r="AP463" s="27">
        <v>1</v>
      </c>
      <c r="AQ463" s="21">
        <v>14165011</v>
      </c>
      <c r="AR463" s="21" t="s">
        <v>2531</v>
      </c>
      <c r="AS463" s="68"/>
      <c r="AT463" s="68"/>
      <c r="AU463" s="68"/>
    </row>
    <row r="464" spans="1:47" x14ac:dyDescent="0.3">
      <c r="A464" s="19" t="s">
        <v>513</v>
      </c>
      <c r="B464" s="109">
        <v>14165003</v>
      </c>
      <c r="C464" s="99" t="str">
        <f t="shared" si="373"/>
        <v>4</v>
      </c>
      <c r="D464" s="121">
        <f>COUNTIFS($F$33:F464,F464, $G$33:G464,G464, $C$33:C464,C464, $L$33:L464,L464)</f>
        <v>3</v>
      </c>
      <c r="E464" s="20">
        <v>1</v>
      </c>
      <c r="F464" s="20">
        <v>5</v>
      </c>
      <c r="G464" s="20">
        <v>1</v>
      </c>
      <c r="H464" s="103" t="s">
        <v>964</v>
      </c>
      <c r="I464" s="20" t="s">
        <v>2189</v>
      </c>
      <c r="J464" s="104" t="str">
        <f t="shared" si="342"/>
        <v>Item_Name_14165003</v>
      </c>
      <c r="K464" s="20">
        <v>10104001</v>
      </c>
      <c r="L464" s="107">
        <f t="shared" si="347"/>
        <v>6</v>
      </c>
      <c r="M464" s="105">
        <f>IF(D464=0, 0, _xlfn.XLOOKUP($F464,'#무게관련'!$B:$B,'#무게관련'!$C:$C)*_xlfn.XLOOKUP($L464,'#무게관련'!$F:$F,'#무게관련'!$G:$G)*100)</f>
        <v>10000</v>
      </c>
      <c r="N464" s="20">
        <v>20500</v>
      </c>
      <c r="O464" s="20">
        <v>4</v>
      </c>
      <c r="P464" s="20">
        <v>15</v>
      </c>
      <c r="Q464" s="20">
        <v>1</v>
      </c>
      <c r="R464" s="20">
        <v>100</v>
      </c>
      <c r="S464" s="20">
        <v>1</v>
      </c>
      <c r="T464" s="109" t="s">
        <v>1878</v>
      </c>
      <c r="U464" s="104" t="str">
        <f t="shared" si="374"/>
        <v>item_bg_grade_06</v>
      </c>
      <c r="V464" s="20" t="s">
        <v>325</v>
      </c>
      <c r="W464" s="20" t="s">
        <v>400</v>
      </c>
      <c r="X464" s="104">
        <v>0</v>
      </c>
      <c r="Y464" s="104">
        <v>0</v>
      </c>
      <c r="Z464" s="104">
        <v>0</v>
      </c>
      <c r="AA464" s="104">
        <v>0</v>
      </c>
      <c r="AB464" s="104">
        <v>0</v>
      </c>
      <c r="AC464" s="104">
        <v>0</v>
      </c>
      <c r="AD464" s="142">
        <v>0</v>
      </c>
      <c r="AE464" s="112">
        <f t="shared" si="348"/>
        <v>70</v>
      </c>
      <c r="AF464" s="70">
        <v>4605010</v>
      </c>
      <c r="AG464" s="105" cm="1">
        <f t="array" ref="AG464">_xlfn.SWITCH(L464,3,1,
           4,1,
           5,1,
           6,1,0)</f>
        <v>1</v>
      </c>
      <c r="AH464" s="146">
        <f t="shared" si="358"/>
        <v>0</v>
      </c>
      <c r="AI464" s="90">
        <v>6004</v>
      </c>
      <c r="AJ464" s="90">
        <v>3010</v>
      </c>
      <c r="AK464" s="27">
        <v>6005</v>
      </c>
      <c r="AL464" s="123">
        <f>_xlfn.XLOOKUP(H464,'#각종 참고'!$B$11:$B$20,'#각종 참고'!$D$11:$D$20)</f>
        <v>0</v>
      </c>
      <c r="AM464" s="27">
        <v>1</v>
      </c>
      <c r="AN464" s="27">
        <v>1</v>
      </c>
      <c r="AO464" s="124">
        <f t="shared" si="355"/>
        <v>1</v>
      </c>
      <c r="AP464" s="27">
        <v>1</v>
      </c>
      <c r="AQ464" s="21">
        <v>14165021</v>
      </c>
      <c r="AR464" s="21" t="s">
        <v>2532</v>
      </c>
      <c r="AS464" s="68"/>
      <c r="AT464" s="68"/>
      <c r="AU464" s="68"/>
    </row>
    <row r="465" spans="1:47" s="68" customFormat="1" x14ac:dyDescent="0.3">
      <c r="A465" s="65"/>
      <c r="B465" s="110">
        <v>11116001</v>
      </c>
      <c r="C465" s="99" t="str">
        <f t="shared" si="267"/>
        <v>1</v>
      </c>
      <c r="D465" s="120">
        <f>COUNTIFS($F$33:F465,F465, $G$33:G465,G465, $C$33:C465,C465, $L$33:L465,L465)</f>
        <v>1</v>
      </c>
      <c r="E465" s="20">
        <v>1</v>
      </c>
      <c r="F465" s="66">
        <v>6</v>
      </c>
      <c r="G465" s="66">
        <v>1</v>
      </c>
      <c r="H465" s="103" t="s">
        <v>965</v>
      </c>
      <c r="I465" s="66" t="s">
        <v>1772</v>
      </c>
      <c r="J465" s="104" t="str">
        <f t="shared" si="342"/>
        <v>Item_Name_11116001</v>
      </c>
      <c r="K465" s="66">
        <v>10101001</v>
      </c>
      <c r="L465" s="106">
        <f t="shared" si="347"/>
        <v>1</v>
      </c>
      <c r="M465" s="105">
        <f>IF(D465=0, 0, _xlfn.XLOOKUP($F465,'#무게관련'!$B:$B,'#무게관련'!$C:$C)*_xlfn.XLOOKUP($L465,'#무게관련'!$F:$F,'#무게관련'!$G:$G)*100)</f>
        <v>4000</v>
      </c>
      <c r="N465" s="20">
        <v>20800</v>
      </c>
      <c r="O465" s="20">
        <v>1</v>
      </c>
      <c r="P465" s="66">
        <v>15</v>
      </c>
      <c r="Q465" s="20">
        <v>1</v>
      </c>
      <c r="R465" s="66">
        <v>100</v>
      </c>
      <c r="S465" s="66">
        <v>1</v>
      </c>
      <c r="T465" s="66" t="s">
        <v>1879</v>
      </c>
      <c r="U465" s="104" t="str">
        <f t="shared" si="333"/>
        <v>item_bg_grade_01</v>
      </c>
      <c r="V465" s="66" t="s">
        <v>326</v>
      </c>
      <c r="W465" s="66" t="s">
        <v>400</v>
      </c>
      <c r="X465" s="104">
        <v>0</v>
      </c>
      <c r="Y465" s="104">
        <v>0</v>
      </c>
      <c r="Z465" s="104">
        <v>0</v>
      </c>
      <c r="AA465" s="104">
        <v>0</v>
      </c>
      <c r="AB465" s="104">
        <v>0</v>
      </c>
      <c r="AC465" s="104">
        <v>0</v>
      </c>
      <c r="AD465" s="142">
        <v>0</v>
      </c>
      <c r="AE465" s="111">
        <f t="shared" si="348"/>
        <v>10</v>
      </c>
      <c r="AF465" s="70">
        <v>1106010</v>
      </c>
      <c r="AG465" s="105" cm="1">
        <f t="array" ref="AG465">_xlfn.SWITCH(L465,3,1,
           4,1,
           5,1,
           6,1,0)</f>
        <v>0</v>
      </c>
      <c r="AH465" s="147">
        <v>80101101</v>
      </c>
      <c r="AI465" s="90">
        <v>0</v>
      </c>
      <c r="AJ465" s="90">
        <v>0</v>
      </c>
      <c r="AK465" s="27">
        <v>0</v>
      </c>
      <c r="AL465" s="123">
        <f>_xlfn.XLOOKUP(H465,'#각종 참고'!$B$11:$B$20,'#각종 참고'!$D$11:$D$20)</f>
        <v>0</v>
      </c>
      <c r="AM465" s="27">
        <v>1</v>
      </c>
      <c r="AN465" s="27">
        <v>1</v>
      </c>
      <c r="AO465" s="124">
        <f t="shared" si="355"/>
        <v>1</v>
      </c>
      <c r="AP465" s="27">
        <v>1</v>
      </c>
      <c r="AQ465" s="21">
        <v>11116001</v>
      </c>
      <c r="AR465" s="68" t="s">
        <v>1772</v>
      </c>
    </row>
    <row r="466" spans="1:47" s="68" customFormat="1" x14ac:dyDescent="0.3">
      <c r="A466" s="65"/>
      <c r="B466" s="110">
        <v>11116002</v>
      </c>
      <c r="C466" s="99" t="str">
        <f t="shared" ref="C466:C467" si="375">IF(K466&gt;0,MID(K466,5, 1), 0)</f>
        <v>1</v>
      </c>
      <c r="D466" s="120">
        <f>COUNTIFS($F$33:F466,F466, $G$33:G466,G466, $C$33:C466,C466, $L$33:L466,L466)</f>
        <v>2</v>
      </c>
      <c r="E466" s="20">
        <v>1</v>
      </c>
      <c r="F466" s="66">
        <v>6</v>
      </c>
      <c r="G466" s="66">
        <v>1</v>
      </c>
      <c r="H466" s="103" t="s">
        <v>965</v>
      </c>
      <c r="I466" s="66" t="s">
        <v>2191</v>
      </c>
      <c r="J466" s="104" t="str">
        <f t="shared" si="342"/>
        <v>Item_Name_11116002</v>
      </c>
      <c r="K466" s="66">
        <v>10101001</v>
      </c>
      <c r="L466" s="106">
        <f t="shared" si="347"/>
        <v>1</v>
      </c>
      <c r="M466" s="105">
        <f>IF(D466=0, 0, _xlfn.XLOOKUP($F466,'#무게관련'!$B:$B,'#무게관련'!$C:$C)*_xlfn.XLOOKUP($L466,'#무게관련'!$F:$F,'#무게관련'!$G:$G)*100)</f>
        <v>4000</v>
      </c>
      <c r="N466" s="20">
        <v>20800</v>
      </c>
      <c r="O466" s="20">
        <v>1</v>
      </c>
      <c r="P466" s="66">
        <v>15</v>
      </c>
      <c r="Q466" s="20">
        <v>1</v>
      </c>
      <c r="R466" s="66">
        <v>100</v>
      </c>
      <c r="S466" s="66">
        <v>1</v>
      </c>
      <c r="T466" s="66" t="s">
        <v>1879</v>
      </c>
      <c r="U466" s="104" t="str">
        <f t="shared" ref="U466:U467" si="376">"item_bg_grade_0"&amp;L466</f>
        <v>item_bg_grade_01</v>
      </c>
      <c r="V466" s="66" t="s">
        <v>326</v>
      </c>
      <c r="W466" s="66" t="s">
        <v>400</v>
      </c>
      <c r="X466" s="104">
        <v>0</v>
      </c>
      <c r="Y466" s="104">
        <v>0</v>
      </c>
      <c r="Z466" s="104">
        <v>0</v>
      </c>
      <c r="AA466" s="104">
        <v>0</v>
      </c>
      <c r="AB466" s="104">
        <v>0</v>
      </c>
      <c r="AC466" s="104">
        <v>0</v>
      </c>
      <c r="AD466" s="142">
        <v>0</v>
      </c>
      <c r="AE466" s="111">
        <f t="shared" si="348"/>
        <v>10</v>
      </c>
      <c r="AF466" s="70">
        <v>1106020</v>
      </c>
      <c r="AG466" s="105" cm="1">
        <f t="array" ref="AG466">_xlfn.SWITCH(L466,3,1,
           4,1,
           5,1,
           6,1,0)</f>
        <v>0</v>
      </c>
      <c r="AH466" s="147">
        <v>80101101</v>
      </c>
      <c r="AI466" s="90">
        <v>0</v>
      </c>
      <c r="AJ466" s="90">
        <v>0</v>
      </c>
      <c r="AK466" s="27">
        <v>0</v>
      </c>
      <c r="AL466" s="123">
        <f>_xlfn.XLOOKUP(H466,'#각종 참고'!$B$11:$B$20,'#각종 참고'!$D$11:$D$20)</f>
        <v>0</v>
      </c>
      <c r="AM466" s="27">
        <v>1</v>
      </c>
      <c r="AN466" s="27">
        <v>1</v>
      </c>
      <c r="AO466" s="124">
        <f t="shared" si="355"/>
        <v>1</v>
      </c>
      <c r="AP466" s="27">
        <v>1</v>
      </c>
      <c r="AQ466" s="21">
        <v>11116011</v>
      </c>
      <c r="AR466" s="68" t="s">
        <v>2533</v>
      </c>
    </row>
    <row r="467" spans="1:47" s="68" customFormat="1" x14ac:dyDescent="0.3">
      <c r="A467" s="65"/>
      <c r="B467" s="110">
        <v>11116003</v>
      </c>
      <c r="C467" s="99" t="str">
        <f t="shared" si="375"/>
        <v>1</v>
      </c>
      <c r="D467" s="120">
        <f>COUNTIFS($F$33:F467,F467, $G$33:G467,G467, $C$33:C467,C467, $L$33:L467,L467)</f>
        <v>3</v>
      </c>
      <c r="E467" s="20">
        <v>1</v>
      </c>
      <c r="F467" s="66">
        <v>6</v>
      </c>
      <c r="G467" s="66">
        <v>1</v>
      </c>
      <c r="H467" s="103" t="s">
        <v>965</v>
      </c>
      <c r="I467" s="66" t="s">
        <v>2190</v>
      </c>
      <c r="J467" s="104" t="str">
        <f t="shared" si="342"/>
        <v>Item_Name_11116003</v>
      </c>
      <c r="K467" s="66">
        <v>10101001</v>
      </c>
      <c r="L467" s="106">
        <f t="shared" si="347"/>
        <v>1</v>
      </c>
      <c r="M467" s="105">
        <f>IF(D467=0, 0, _xlfn.XLOOKUP($F467,'#무게관련'!$B:$B,'#무게관련'!$C:$C)*_xlfn.XLOOKUP($L467,'#무게관련'!$F:$F,'#무게관련'!$G:$G)*100)</f>
        <v>4000</v>
      </c>
      <c r="N467" s="20">
        <v>20800</v>
      </c>
      <c r="O467" s="20">
        <v>1</v>
      </c>
      <c r="P467" s="66">
        <v>15</v>
      </c>
      <c r="Q467" s="20">
        <v>1</v>
      </c>
      <c r="R467" s="66">
        <v>100</v>
      </c>
      <c r="S467" s="66">
        <v>1</v>
      </c>
      <c r="T467" s="66" t="s">
        <v>1879</v>
      </c>
      <c r="U467" s="104" t="str">
        <f t="shared" si="376"/>
        <v>item_bg_grade_01</v>
      </c>
      <c r="V467" s="66" t="s">
        <v>326</v>
      </c>
      <c r="W467" s="66" t="s">
        <v>400</v>
      </c>
      <c r="X467" s="104">
        <v>0</v>
      </c>
      <c r="Y467" s="104">
        <v>0</v>
      </c>
      <c r="Z467" s="104">
        <v>0</v>
      </c>
      <c r="AA467" s="104">
        <v>0</v>
      </c>
      <c r="AB467" s="104">
        <v>0</v>
      </c>
      <c r="AC467" s="104">
        <v>0</v>
      </c>
      <c r="AD467" s="142">
        <v>0</v>
      </c>
      <c r="AE467" s="111">
        <f t="shared" si="348"/>
        <v>10</v>
      </c>
      <c r="AF467" s="70">
        <v>1106030</v>
      </c>
      <c r="AG467" s="105" cm="1">
        <f t="array" ref="AG467">_xlfn.SWITCH(L467,3,1,
           4,1,
           5,1,
           6,1,0)</f>
        <v>0</v>
      </c>
      <c r="AH467" s="147">
        <v>80101101</v>
      </c>
      <c r="AI467" s="90">
        <v>0</v>
      </c>
      <c r="AJ467" s="90">
        <v>0</v>
      </c>
      <c r="AK467" s="27">
        <v>0</v>
      </c>
      <c r="AL467" s="123">
        <f>_xlfn.XLOOKUP(H467,'#각종 참고'!$B$11:$B$20,'#각종 참고'!$D$11:$D$20)</f>
        <v>0</v>
      </c>
      <c r="AM467" s="27">
        <v>1</v>
      </c>
      <c r="AN467" s="27">
        <v>1</v>
      </c>
      <c r="AO467" s="124">
        <f t="shared" si="355"/>
        <v>1</v>
      </c>
      <c r="AP467" s="27">
        <v>1</v>
      </c>
      <c r="AQ467" s="21">
        <v>11116021</v>
      </c>
      <c r="AR467" s="68" t="s">
        <v>2534</v>
      </c>
    </row>
    <row r="468" spans="1:47" x14ac:dyDescent="0.3">
      <c r="A468" s="19"/>
      <c r="B468" s="109">
        <v>11126001</v>
      </c>
      <c r="C468" s="99" t="str">
        <f t="shared" si="267"/>
        <v>1</v>
      </c>
      <c r="D468" s="121">
        <f>COUNTIFS($F$33:F468,F468, $G$33:G468,G468, $C$33:C468,C468, $L$33:L468,L468)</f>
        <v>1</v>
      </c>
      <c r="E468" s="20">
        <v>1</v>
      </c>
      <c r="F468" s="20">
        <v>6</v>
      </c>
      <c r="G468" s="20">
        <v>1</v>
      </c>
      <c r="H468" s="103" t="s">
        <v>965</v>
      </c>
      <c r="I468" s="20" t="s">
        <v>1773</v>
      </c>
      <c r="J468" s="104" t="str">
        <f t="shared" si="342"/>
        <v>Item_Name_11126001</v>
      </c>
      <c r="K468" s="20">
        <v>10101001</v>
      </c>
      <c r="L468" s="108">
        <f t="shared" si="347"/>
        <v>2</v>
      </c>
      <c r="M468" s="105">
        <f>IF(D468=0, 0, _xlfn.XLOOKUP($F468,'#무게관련'!$B:$B,'#무게관련'!$C:$C)*_xlfn.XLOOKUP($L468,'#무게관련'!$F:$F,'#무게관련'!$G:$G)*100)</f>
        <v>4000</v>
      </c>
      <c r="N468" s="20">
        <v>20800</v>
      </c>
      <c r="O468" s="20">
        <v>1</v>
      </c>
      <c r="P468" s="20">
        <v>15</v>
      </c>
      <c r="Q468" s="20">
        <v>1</v>
      </c>
      <c r="R468" s="20">
        <v>100</v>
      </c>
      <c r="S468" s="20">
        <v>1</v>
      </c>
      <c r="T468" s="20" t="s">
        <v>1880</v>
      </c>
      <c r="U468" s="104" t="str">
        <f t="shared" si="333"/>
        <v>item_bg_grade_02</v>
      </c>
      <c r="V468" s="20" t="s">
        <v>326</v>
      </c>
      <c r="W468" s="20" t="s">
        <v>400</v>
      </c>
      <c r="X468" s="104">
        <v>0</v>
      </c>
      <c r="Y468" s="104">
        <v>0</v>
      </c>
      <c r="Z468" s="104">
        <v>0</v>
      </c>
      <c r="AA468" s="104">
        <v>0</v>
      </c>
      <c r="AB468" s="104">
        <v>0</v>
      </c>
      <c r="AC468" s="104">
        <v>0</v>
      </c>
      <c r="AD468" s="142">
        <v>0</v>
      </c>
      <c r="AE468" s="112">
        <f t="shared" si="348"/>
        <v>20</v>
      </c>
      <c r="AF468" s="70">
        <v>1206010</v>
      </c>
      <c r="AG468" s="105" cm="1">
        <f t="array" ref="AG468">_xlfn.SWITCH(L468,3,1,
           4,1,
           5,1,
           6,1,0)</f>
        <v>0</v>
      </c>
      <c r="AH468" s="147">
        <v>80101201</v>
      </c>
      <c r="AI468" s="90">
        <v>6000</v>
      </c>
      <c r="AJ468" s="90">
        <v>3001</v>
      </c>
      <c r="AK468" s="27">
        <v>2006</v>
      </c>
      <c r="AL468" s="123">
        <f>_xlfn.XLOOKUP(H468,'#각종 참고'!$B$11:$B$20,'#각종 참고'!$D$11:$D$20)</f>
        <v>0</v>
      </c>
      <c r="AM468" s="27">
        <v>1</v>
      </c>
      <c r="AN468" s="27">
        <v>1</v>
      </c>
      <c r="AO468" s="124">
        <f t="shared" si="355"/>
        <v>1</v>
      </c>
      <c r="AP468" s="27">
        <v>1</v>
      </c>
      <c r="AQ468" s="21">
        <v>11126001</v>
      </c>
      <c r="AR468" s="21" t="s">
        <v>1773</v>
      </c>
      <c r="AS468" s="68"/>
      <c r="AT468" s="68"/>
      <c r="AU468" s="68"/>
    </row>
    <row r="469" spans="1:47" x14ac:dyDescent="0.3">
      <c r="A469" s="19"/>
      <c r="B469" s="109">
        <v>11126002</v>
      </c>
      <c r="C469" s="99" t="str">
        <f t="shared" ref="C469:C470" si="377">IF(K469&gt;0,MID(K469,5, 1), 0)</f>
        <v>1</v>
      </c>
      <c r="D469" s="121">
        <f>COUNTIFS($F$33:F469,F469, $G$33:G469,G469, $C$33:C469,C469, $L$33:L469,L469)</f>
        <v>2</v>
      </c>
      <c r="E469" s="20">
        <v>1</v>
      </c>
      <c r="F469" s="20">
        <v>6</v>
      </c>
      <c r="G469" s="20">
        <v>1</v>
      </c>
      <c r="H469" s="103" t="s">
        <v>965</v>
      </c>
      <c r="I469" s="20" t="s">
        <v>2192</v>
      </c>
      <c r="J469" s="104" t="str">
        <f t="shared" si="342"/>
        <v>Item_Name_11126002</v>
      </c>
      <c r="K469" s="20">
        <v>10101001</v>
      </c>
      <c r="L469" s="108">
        <f t="shared" si="347"/>
        <v>2</v>
      </c>
      <c r="M469" s="105">
        <f>IF(D469=0, 0, _xlfn.XLOOKUP($F469,'#무게관련'!$B:$B,'#무게관련'!$C:$C)*_xlfn.XLOOKUP($L469,'#무게관련'!$F:$F,'#무게관련'!$G:$G)*100)</f>
        <v>4000</v>
      </c>
      <c r="N469" s="20">
        <v>20800</v>
      </c>
      <c r="O469" s="20">
        <v>1</v>
      </c>
      <c r="P469" s="20">
        <v>15</v>
      </c>
      <c r="Q469" s="20">
        <v>1</v>
      </c>
      <c r="R469" s="20">
        <v>100</v>
      </c>
      <c r="S469" s="20">
        <v>1</v>
      </c>
      <c r="T469" s="20" t="s">
        <v>1880</v>
      </c>
      <c r="U469" s="104" t="str">
        <f t="shared" ref="U469:U470" si="378">"item_bg_grade_0"&amp;L469</f>
        <v>item_bg_grade_02</v>
      </c>
      <c r="V469" s="20" t="s">
        <v>326</v>
      </c>
      <c r="W469" s="20" t="s">
        <v>400</v>
      </c>
      <c r="X469" s="104">
        <v>0</v>
      </c>
      <c r="Y469" s="104">
        <v>0</v>
      </c>
      <c r="Z469" s="104">
        <v>0</v>
      </c>
      <c r="AA469" s="104">
        <v>0</v>
      </c>
      <c r="AB469" s="104">
        <v>0</v>
      </c>
      <c r="AC469" s="104">
        <v>0</v>
      </c>
      <c r="AD469" s="142">
        <v>0</v>
      </c>
      <c r="AE469" s="112">
        <f t="shared" si="348"/>
        <v>20</v>
      </c>
      <c r="AF469" s="70">
        <v>1206020</v>
      </c>
      <c r="AG469" s="105" cm="1">
        <f t="array" ref="AG469">_xlfn.SWITCH(L469,3,1,
           4,1,
           5,1,
           6,1,0)</f>
        <v>0</v>
      </c>
      <c r="AH469" s="147">
        <v>80101201</v>
      </c>
      <c r="AI469" s="90">
        <v>6000</v>
      </c>
      <c r="AJ469" s="90">
        <v>3001</v>
      </c>
      <c r="AK469" s="27">
        <v>2006</v>
      </c>
      <c r="AL469" s="123">
        <f>_xlfn.XLOOKUP(H469,'#각종 참고'!$B$11:$B$20,'#각종 참고'!$D$11:$D$20)</f>
        <v>0</v>
      </c>
      <c r="AM469" s="27">
        <v>1</v>
      </c>
      <c r="AN469" s="27">
        <v>1</v>
      </c>
      <c r="AO469" s="124">
        <f t="shared" si="355"/>
        <v>1</v>
      </c>
      <c r="AP469" s="27">
        <v>1</v>
      </c>
      <c r="AQ469" s="21">
        <v>11126011</v>
      </c>
      <c r="AR469" s="21" t="s">
        <v>2535</v>
      </c>
      <c r="AS469" s="68"/>
      <c r="AT469" s="68"/>
      <c r="AU469" s="68"/>
    </row>
    <row r="470" spans="1:47" x14ac:dyDescent="0.3">
      <c r="A470" s="19"/>
      <c r="B470" s="109">
        <v>11126003</v>
      </c>
      <c r="C470" s="99" t="str">
        <f t="shared" si="377"/>
        <v>1</v>
      </c>
      <c r="D470" s="121">
        <f>COUNTIFS($F$33:F470,F470, $G$33:G470,G470, $C$33:C470,C470, $L$33:L470,L470)</f>
        <v>3</v>
      </c>
      <c r="E470" s="20">
        <v>1</v>
      </c>
      <c r="F470" s="20">
        <v>6</v>
      </c>
      <c r="G470" s="20">
        <v>1</v>
      </c>
      <c r="H470" s="103" t="s">
        <v>965</v>
      </c>
      <c r="I470" s="20" t="s">
        <v>1978</v>
      </c>
      <c r="J470" s="104" t="str">
        <f t="shared" si="342"/>
        <v>Item_Name_11126003</v>
      </c>
      <c r="K470" s="20">
        <v>10101001</v>
      </c>
      <c r="L470" s="108">
        <f t="shared" si="347"/>
        <v>2</v>
      </c>
      <c r="M470" s="105">
        <f>IF(D470=0, 0, _xlfn.XLOOKUP($F470,'#무게관련'!$B:$B,'#무게관련'!$C:$C)*_xlfn.XLOOKUP($L470,'#무게관련'!$F:$F,'#무게관련'!$G:$G)*100)</f>
        <v>4000</v>
      </c>
      <c r="N470" s="20">
        <v>20800</v>
      </c>
      <c r="O470" s="20">
        <v>1</v>
      </c>
      <c r="P470" s="20">
        <v>15</v>
      </c>
      <c r="Q470" s="20">
        <v>1</v>
      </c>
      <c r="R470" s="20">
        <v>100</v>
      </c>
      <c r="S470" s="20">
        <v>1</v>
      </c>
      <c r="T470" s="20" t="s">
        <v>1880</v>
      </c>
      <c r="U470" s="104" t="str">
        <f t="shared" si="378"/>
        <v>item_bg_grade_02</v>
      </c>
      <c r="V470" s="20" t="s">
        <v>326</v>
      </c>
      <c r="W470" s="20" t="s">
        <v>400</v>
      </c>
      <c r="X470" s="104">
        <v>0</v>
      </c>
      <c r="Y470" s="104">
        <v>0</v>
      </c>
      <c r="Z470" s="104">
        <v>0</v>
      </c>
      <c r="AA470" s="104">
        <v>0</v>
      </c>
      <c r="AB470" s="104">
        <v>0</v>
      </c>
      <c r="AC470" s="104">
        <v>0</v>
      </c>
      <c r="AD470" s="142">
        <v>0</v>
      </c>
      <c r="AE470" s="112">
        <f t="shared" si="348"/>
        <v>20</v>
      </c>
      <c r="AF470" s="70">
        <v>1206030</v>
      </c>
      <c r="AG470" s="105" cm="1">
        <f t="array" ref="AG470">_xlfn.SWITCH(L470,3,1,
           4,1,
           5,1,
           6,1,0)</f>
        <v>0</v>
      </c>
      <c r="AH470" s="147">
        <v>80101201</v>
      </c>
      <c r="AI470" s="90">
        <v>6000</v>
      </c>
      <c r="AJ470" s="90">
        <v>3001</v>
      </c>
      <c r="AK470" s="27">
        <v>2006</v>
      </c>
      <c r="AL470" s="123">
        <f>_xlfn.XLOOKUP(H470,'#각종 참고'!$B$11:$B$20,'#각종 참고'!$D$11:$D$20)</f>
        <v>0</v>
      </c>
      <c r="AM470" s="27">
        <v>1</v>
      </c>
      <c r="AN470" s="27">
        <v>1</v>
      </c>
      <c r="AO470" s="124">
        <f t="shared" si="355"/>
        <v>1</v>
      </c>
      <c r="AP470" s="27">
        <v>1</v>
      </c>
      <c r="AQ470" s="21">
        <v>11126021</v>
      </c>
      <c r="AR470" s="21" t="s">
        <v>2536</v>
      </c>
      <c r="AS470" s="68"/>
      <c r="AT470" s="68"/>
      <c r="AU470" s="68"/>
    </row>
    <row r="471" spans="1:47" x14ac:dyDescent="0.3">
      <c r="A471" s="19"/>
      <c r="B471" s="109">
        <v>11136001</v>
      </c>
      <c r="C471" s="99" t="str">
        <f t="shared" si="267"/>
        <v>1</v>
      </c>
      <c r="D471" s="121">
        <f>COUNTIFS($F$33:F471,F471, $G$33:G471,G471, $C$33:C471,C471, $L$33:L471,L471)</f>
        <v>1</v>
      </c>
      <c r="E471" s="20">
        <v>1</v>
      </c>
      <c r="F471" s="20">
        <v>6</v>
      </c>
      <c r="G471" s="20">
        <v>1</v>
      </c>
      <c r="H471" s="103" t="s">
        <v>965</v>
      </c>
      <c r="I471" s="20" t="s">
        <v>1774</v>
      </c>
      <c r="J471" s="104" t="str">
        <f t="shared" si="342"/>
        <v>Item_Name_11136001</v>
      </c>
      <c r="K471" s="20">
        <v>10101001</v>
      </c>
      <c r="L471" s="108">
        <f t="shared" si="347"/>
        <v>3</v>
      </c>
      <c r="M471" s="105">
        <f>IF(D471=0, 0, _xlfn.XLOOKUP($F471,'#무게관련'!$B:$B,'#무게관련'!$C:$C)*_xlfn.XLOOKUP($L471,'#무게관련'!$F:$F,'#무게관련'!$G:$G)*100)</f>
        <v>4000</v>
      </c>
      <c r="N471" s="20">
        <v>20800</v>
      </c>
      <c r="O471" s="20">
        <v>1</v>
      </c>
      <c r="P471" s="20">
        <v>15</v>
      </c>
      <c r="Q471" s="20">
        <v>1</v>
      </c>
      <c r="R471" s="20">
        <v>100</v>
      </c>
      <c r="S471" s="20">
        <v>1</v>
      </c>
      <c r="T471" s="20" t="s">
        <v>1881</v>
      </c>
      <c r="U471" s="104" t="str">
        <f t="shared" si="333"/>
        <v>item_bg_grade_03</v>
      </c>
      <c r="V471" s="20" t="s">
        <v>326</v>
      </c>
      <c r="W471" s="20" t="s">
        <v>400</v>
      </c>
      <c r="X471" s="104">
        <v>0</v>
      </c>
      <c r="Y471" s="104">
        <v>0</v>
      </c>
      <c r="Z471" s="104">
        <v>0</v>
      </c>
      <c r="AA471" s="104">
        <v>0</v>
      </c>
      <c r="AB471" s="104">
        <v>0</v>
      </c>
      <c r="AC471" s="104">
        <v>0</v>
      </c>
      <c r="AD471" s="142">
        <v>0</v>
      </c>
      <c r="AE471" s="112">
        <f t="shared" si="348"/>
        <v>30</v>
      </c>
      <c r="AF471" s="70">
        <v>1306010</v>
      </c>
      <c r="AG471" s="105" cm="1">
        <f t="array" ref="AG471">_xlfn.SWITCH(L471,3,1,
           4,1,
           5,1,
           6,1,0)</f>
        <v>1</v>
      </c>
      <c r="AH471" s="147">
        <v>80101301</v>
      </c>
      <c r="AI471" s="90">
        <v>6001</v>
      </c>
      <c r="AJ471" s="90">
        <v>3003</v>
      </c>
      <c r="AK471" s="27">
        <v>3006</v>
      </c>
      <c r="AL471" s="123">
        <f>_xlfn.XLOOKUP(H471,'#각종 참고'!$B$11:$B$20,'#각종 참고'!$D$11:$D$20)</f>
        <v>0</v>
      </c>
      <c r="AM471" s="27">
        <v>1</v>
      </c>
      <c r="AN471" s="27">
        <v>1</v>
      </c>
      <c r="AO471" s="124">
        <f t="shared" si="355"/>
        <v>1</v>
      </c>
      <c r="AP471" s="27">
        <v>1</v>
      </c>
      <c r="AQ471" s="21">
        <v>11136001</v>
      </c>
      <c r="AR471" s="21" t="s">
        <v>1774</v>
      </c>
      <c r="AS471" s="68"/>
      <c r="AT471" s="68"/>
      <c r="AU471" s="68"/>
    </row>
    <row r="472" spans="1:47" x14ac:dyDescent="0.3">
      <c r="A472" s="19"/>
      <c r="B472" s="109">
        <v>11136002</v>
      </c>
      <c r="C472" s="99" t="str">
        <f t="shared" ref="C472:C473" si="379">IF(K472&gt;0,MID(K472,5, 1), 0)</f>
        <v>1</v>
      </c>
      <c r="D472" s="121">
        <f>COUNTIFS($F$33:F472,F472, $G$33:G472,G472, $C$33:C472,C472, $L$33:L472,L472)</f>
        <v>2</v>
      </c>
      <c r="E472" s="20">
        <v>1</v>
      </c>
      <c r="F472" s="20">
        <v>6</v>
      </c>
      <c r="G472" s="20">
        <v>1</v>
      </c>
      <c r="H472" s="103" t="s">
        <v>965</v>
      </c>
      <c r="I472" s="20" t="s">
        <v>1775</v>
      </c>
      <c r="J472" s="104" t="str">
        <f t="shared" si="342"/>
        <v>Item_Name_11136002</v>
      </c>
      <c r="K472" s="20">
        <v>10101001</v>
      </c>
      <c r="L472" s="108">
        <f t="shared" si="347"/>
        <v>3</v>
      </c>
      <c r="M472" s="105">
        <f>IF(D472=0, 0, _xlfn.XLOOKUP($F472,'#무게관련'!$B:$B,'#무게관련'!$C:$C)*_xlfn.XLOOKUP($L472,'#무게관련'!$F:$F,'#무게관련'!$G:$G)*100)</f>
        <v>4000</v>
      </c>
      <c r="N472" s="20">
        <v>20800</v>
      </c>
      <c r="O472" s="20">
        <v>1</v>
      </c>
      <c r="P472" s="20">
        <v>15</v>
      </c>
      <c r="Q472" s="20">
        <v>1</v>
      </c>
      <c r="R472" s="20">
        <v>100</v>
      </c>
      <c r="S472" s="20">
        <v>1</v>
      </c>
      <c r="T472" s="20" t="s">
        <v>1881</v>
      </c>
      <c r="U472" s="104" t="str">
        <f t="shared" ref="U472:U473" si="380">"item_bg_grade_0"&amp;L472</f>
        <v>item_bg_grade_03</v>
      </c>
      <c r="V472" s="20" t="s">
        <v>326</v>
      </c>
      <c r="W472" s="20" t="s">
        <v>400</v>
      </c>
      <c r="X472" s="104">
        <v>0</v>
      </c>
      <c r="Y472" s="104">
        <v>0</v>
      </c>
      <c r="Z472" s="104">
        <v>0</v>
      </c>
      <c r="AA472" s="104">
        <v>0</v>
      </c>
      <c r="AB472" s="104">
        <v>0</v>
      </c>
      <c r="AC472" s="104">
        <v>0</v>
      </c>
      <c r="AD472" s="142">
        <v>0</v>
      </c>
      <c r="AE472" s="112">
        <f t="shared" si="348"/>
        <v>30</v>
      </c>
      <c r="AF472" s="70">
        <v>1306020</v>
      </c>
      <c r="AG472" s="105" cm="1">
        <f t="array" ref="AG472">_xlfn.SWITCH(L472,3,1,
           4,1,
           5,1,
           6,1,0)</f>
        <v>1</v>
      </c>
      <c r="AH472" s="147">
        <v>80101301</v>
      </c>
      <c r="AI472" s="90">
        <v>6001</v>
      </c>
      <c r="AJ472" s="90">
        <v>3003</v>
      </c>
      <c r="AK472" s="27">
        <v>3006</v>
      </c>
      <c r="AL472" s="123">
        <f>_xlfn.XLOOKUP(H472,'#각종 참고'!$B$11:$B$20,'#각종 참고'!$D$11:$D$20)</f>
        <v>0</v>
      </c>
      <c r="AM472" s="27">
        <v>1</v>
      </c>
      <c r="AN472" s="27">
        <v>1</v>
      </c>
      <c r="AO472" s="124">
        <f t="shared" si="355"/>
        <v>1</v>
      </c>
      <c r="AP472" s="27">
        <v>1</v>
      </c>
      <c r="AQ472" s="21">
        <v>11136011</v>
      </c>
      <c r="AR472" s="21" t="s">
        <v>2537</v>
      </c>
      <c r="AS472" s="68"/>
      <c r="AT472" s="68"/>
      <c r="AU472" s="68"/>
    </row>
    <row r="473" spans="1:47" x14ac:dyDescent="0.3">
      <c r="A473" s="19"/>
      <c r="B473" s="109">
        <v>11136003</v>
      </c>
      <c r="C473" s="99" t="str">
        <f t="shared" si="379"/>
        <v>1</v>
      </c>
      <c r="D473" s="121">
        <f>COUNTIFS($F$33:F473,F473, $G$33:G473,G473, $C$33:C473,C473, $L$33:L473,L473)</f>
        <v>3</v>
      </c>
      <c r="E473" s="20">
        <v>1</v>
      </c>
      <c r="F473" s="20">
        <v>6</v>
      </c>
      <c r="G473" s="20">
        <v>1</v>
      </c>
      <c r="H473" s="103" t="s">
        <v>965</v>
      </c>
      <c r="I473" s="20" t="s">
        <v>2193</v>
      </c>
      <c r="J473" s="104" t="str">
        <f t="shared" si="342"/>
        <v>Item_Name_11136003</v>
      </c>
      <c r="K473" s="20">
        <v>10101001</v>
      </c>
      <c r="L473" s="108">
        <f t="shared" si="347"/>
        <v>3</v>
      </c>
      <c r="M473" s="105">
        <f>IF(D473=0, 0, _xlfn.XLOOKUP($F473,'#무게관련'!$B:$B,'#무게관련'!$C:$C)*_xlfn.XLOOKUP($L473,'#무게관련'!$F:$F,'#무게관련'!$G:$G)*100)</f>
        <v>4000</v>
      </c>
      <c r="N473" s="20">
        <v>20800</v>
      </c>
      <c r="O473" s="20">
        <v>1</v>
      </c>
      <c r="P473" s="20">
        <v>15</v>
      </c>
      <c r="Q473" s="20">
        <v>1</v>
      </c>
      <c r="R473" s="20">
        <v>100</v>
      </c>
      <c r="S473" s="20">
        <v>1</v>
      </c>
      <c r="T473" s="20" t="s">
        <v>1881</v>
      </c>
      <c r="U473" s="104" t="str">
        <f t="shared" si="380"/>
        <v>item_bg_grade_03</v>
      </c>
      <c r="V473" s="20" t="s">
        <v>326</v>
      </c>
      <c r="W473" s="20" t="s">
        <v>400</v>
      </c>
      <c r="X473" s="104">
        <v>0</v>
      </c>
      <c r="Y473" s="104">
        <v>0</v>
      </c>
      <c r="Z473" s="104">
        <v>0</v>
      </c>
      <c r="AA473" s="104">
        <v>0</v>
      </c>
      <c r="AB473" s="104">
        <v>0</v>
      </c>
      <c r="AC473" s="104">
        <v>0</v>
      </c>
      <c r="AD473" s="142">
        <v>0</v>
      </c>
      <c r="AE473" s="112">
        <f t="shared" si="348"/>
        <v>30</v>
      </c>
      <c r="AF473" s="70">
        <v>1306030</v>
      </c>
      <c r="AG473" s="105" cm="1">
        <f t="array" ref="AG473">_xlfn.SWITCH(L473,3,1,
           4,1,
           5,1,
           6,1,0)</f>
        <v>1</v>
      </c>
      <c r="AH473" s="147">
        <v>80101301</v>
      </c>
      <c r="AI473" s="90">
        <v>6001</v>
      </c>
      <c r="AJ473" s="90">
        <v>3003</v>
      </c>
      <c r="AK473" s="27">
        <v>3006</v>
      </c>
      <c r="AL473" s="123">
        <f>_xlfn.XLOOKUP(H473,'#각종 참고'!$B$11:$B$20,'#각종 참고'!$D$11:$D$20)</f>
        <v>0</v>
      </c>
      <c r="AM473" s="27">
        <v>1</v>
      </c>
      <c r="AN473" s="27">
        <v>1</v>
      </c>
      <c r="AO473" s="124">
        <f t="shared" si="355"/>
        <v>1</v>
      </c>
      <c r="AP473" s="27">
        <v>1</v>
      </c>
      <c r="AQ473" s="21">
        <v>11136021</v>
      </c>
      <c r="AR473" s="21" t="s">
        <v>2538</v>
      </c>
      <c r="AS473" s="68"/>
      <c r="AT473" s="68"/>
      <c r="AU473" s="68"/>
    </row>
    <row r="474" spans="1:47" x14ac:dyDescent="0.3">
      <c r="A474" s="19"/>
      <c r="B474" s="109">
        <v>11146001</v>
      </c>
      <c r="C474" s="99" t="str">
        <f t="shared" si="267"/>
        <v>1</v>
      </c>
      <c r="D474" s="121">
        <f>COUNTIFS($F$33:F474,F474, $G$33:G474,G474, $C$33:C474,C474, $L$33:L474,L474)</f>
        <v>1</v>
      </c>
      <c r="E474" s="20">
        <v>1</v>
      </c>
      <c r="F474" s="20">
        <v>6</v>
      </c>
      <c r="G474" s="20">
        <v>1</v>
      </c>
      <c r="H474" s="103" t="s">
        <v>965</v>
      </c>
      <c r="I474" s="20" t="s">
        <v>1776</v>
      </c>
      <c r="J474" s="104" t="str">
        <f t="shared" si="342"/>
        <v>Item_Name_11146001</v>
      </c>
      <c r="K474" s="20">
        <v>10101001</v>
      </c>
      <c r="L474" s="108">
        <f t="shared" si="347"/>
        <v>4</v>
      </c>
      <c r="M474" s="105">
        <f>IF(D474=0, 0, _xlfn.XLOOKUP($F474,'#무게관련'!$B:$B,'#무게관련'!$C:$C)*_xlfn.XLOOKUP($L474,'#무게관련'!$F:$F,'#무게관련'!$G:$G)*100)</f>
        <v>4000</v>
      </c>
      <c r="N474" s="20">
        <v>20800</v>
      </c>
      <c r="O474" s="20">
        <v>1</v>
      </c>
      <c r="P474" s="20">
        <v>15</v>
      </c>
      <c r="Q474" s="20">
        <v>1</v>
      </c>
      <c r="R474" s="20">
        <v>100</v>
      </c>
      <c r="S474" s="20">
        <v>1</v>
      </c>
      <c r="T474" s="20" t="s">
        <v>1882</v>
      </c>
      <c r="U474" s="104" t="str">
        <f t="shared" si="333"/>
        <v>item_bg_grade_04</v>
      </c>
      <c r="V474" s="20" t="s">
        <v>326</v>
      </c>
      <c r="W474" s="20" t="s">
        <v>400</v>
      </c>
      <c r="X474" s="104">
        <v>0</v>
      </c>
      <c r="Y474" s="104">
        <v>0</v>
      </c>
      <c r="Z474" s="104">
        <v>0</v>
      </c>
      <c r="AA474" s="104">
        <v>0</v>
      </c>
      <c r="AB474" s="104">
        <v>0</v>
      </c>
      <c r="AC474" s="104">
        <v>0</v>
      </c>
      <c r="AD474" s="142">
        <v>0</v>
      </c>
      <c r="AE474" s="112">
        <f t="shared" si="348"/>
        <v>40</v>
      </c>
      <c r="AF474" s="70">
        <v>1406010</v>
      </c>
      <c r="AG474" s="105" cm="1">
        <f t="array" ref="AG474">_xlfn.SWITCH(L474,3,1,
           4,1,
           5,1,
           6,1,0)</f>
        <v>1</v>
      </c>
      <c r="AH474" s="147">
        <v>80101401</v>
      </c>
      <c r="AI474" s="90">
        <v>6002</v>
      </c>
      <c r="AJ474" s="90">
        <v>3005</v>
      </c>
      <c r="AK474" s="27">
        <v>4006</v>
      </c>
      <c r="AL474" s="123">
        <f>_xlfn.XLOOKUP(H474,'#각종 참고'!$B$11:$B$20,'#각종 참고'!$D$11:$D$20)</f>
        <v>0</v>
      </c>
      <c r="AM474" s="27">
        <v>1</v>
      </c>
      <c r="AN474" s="27">
        <v>1</v>
      </c>
      <c r="AO474" s="124">
        <f t="shared" si="355"/>
        <v>1</v>
      </c>
      <c r="AP474" s="27">
        <v>1</v>
      </c>
      <c r="AQ474" s="21">
        <v>11146001</v>
      </c>
      <c r="AR474" s="21" t="s">
        <v>1776</v>
      </c>
      <c r="AS474" s="68"/>
      <c r="AT474" s="68"/>
      <c r="AU474" s="68"/>
    </row>
    <row r="475" spans="1:47" x14ac:dyDescent="0.3">
      <c r="A475" s="19"/>
      <c r="B475" s="109">
        <v>11146002</v>
      </c>
      <c r="C475" s="99" t="str">
        <f t="shared" ref="C475:C476" si="381">IF(K475&gt;0,MID(K475,5, 1), 0)</f>
        <v>1</v>
      </c>
      <c r="D475" s="121">
        <f>COUNTIFS($F$33:F475,F475, $G$33:G475,G475, $C$33:C475,C475, $L$33:L475,L475)</f>
        <v>2</v>
      </c>
      <c r="E475" s="20">
        <v>1</v>
      </c>
      <c r="F475" s="20">
        <v>6</v>
      </c>
      <c r="G475" s="20">
        <v>1</v>
      </c>
      <c r="H475" s="103" t="s">
        <v>965</v>
      </c>
      <c r="I475" s="20" t="s">
        <v>1777</v>
      </c>
      <c r="J475" s="104" t="str">
        <f t="shared" si="342"/>
        <v>Item_Name_11146002</v>
      </c>
      <c r="K475" s="20">
        <v>10101001</v>
      </c>
      <c r="L475" s="108">
        <f t="shared" si="347"/>
        <v>4</v>
      </c>
      <c r="M475" s="105">
        <f>IF(D475=0, 0, _xlfn.XLOOKUP($F475,'#무게관련'!$B:$B,'#무게관련'!$C:$C)*_xlfn.XLOOKUP($L475,'#무게관련'!$F:$F,'#무게관련'!$G:$G)*100)</f>
        <v>4000</v>
      </c>
      <c r="N475" s="20">
        <v>20800</v>
      </c>
      <c r="O475" s="20">
        <v>1</v>
      </c>
      <c r="P475" s="20">
        <v>15</v>
      </c>
      <c r="Q475" s="20">
        <v>1</v>
      </c>
      <c r="R475" s="20">
        <v>100</v>
      </c>
      <c r="S475" s="20">
        <v>1</v>
      </c>
      <c r="T475" s="20" t="s">
        <v>1882</v>
      </c>
      <c r="U475" s="104" t="str">
        <f t="shared" ref="U475:U476" si="382">"item_bg_grade_0"&amp;L475</f>
        <v>item_bg_grade_04</v>
      </c>
      <c r="V475" s="20" t="s">
        <v>326</v>
      </c>
      <c r="W475" s="20" t="s">
        <v>400</v>
      </c>
      <c r="X475" s="104">
        <v>0</v>
      </c>
      <c r="Y475" s="104">
        <v>0</v>
      </c>
      <c r="Z475" s="104">
        <v>0</v>
      </c>
      <c r="AA475" s="104">
        <v>0</v>
      </c>
      <c r="AB475" s="104">
        <v>0</v>
      </c>
      <c r="AC475" s="104">
        <v>0</v>
      </c>
      <c r="AD475" s="142">
        <v>0</v>
      </c>
      <c r="AE475" s="112">
        <f t="shared" si="348"/>
        <v>40</v>
      </c>
      <c r="AF475" s="70">
        <v>1406020</v>
      </c>
      <c r="AG475" s="105" cm="1">
        <f t="array" ref="AG475">_xlfn.SWITCH(L475,3,1,
           4,1,
           5,1,
           6,1,0)</f>
        <v>1</v>
      </c>
      <c r="AH475" s="147">
        <v>80101401</v>
      </c>
      <c r="AI475" s="90">
        <v>6002</v>
      </c>
      <c r="AJ475" s="90">
        <v>3005</v>
      </c>
      <c r="AK475" s="27">
        <v>4006</v>
      </c>
      <c r="AL475" s="123">
        <f>_xlfn.XLOOKUP(H475,'#각종 참고'!$B$11:$B$20,'#각종 참고'!$D$11:$D$20)</f>
        <v>0</v>
      </c>
      <c r="AM475" s="27">
        <v>1</v>
      </c>
      <c r="AN475" s="27">
        <v>1</v>
      </c>
      <c r="AO475" s="124">
        <f t="shared" si="355"/>
        <v>1</v>
      </c>
      <c r="AP475" s="27">
        <v>1</v>
      </c>
      <c r="AQ475" s="21">
        <v>11146011</v>
      </c>
      <c r="AR475" s="21" t="s">
        <v>2539</v>
      </c>
      <c r="AS475" s="68"/>
      <c r="AT475" s="68"/>
      <c r="AU475" s="68"/>
    </row>
    <row r="476" spans="1:47" x14ac:dyDescent="0.3">
      <c r="A476" s="19"/>
      <c r="B476" s="109">
        <v>11146003</v>
      </c>
      <c r="C476" s="99" t="str">
        <f t="shared" si="381"/>
        <v>1</v>
      </c>
      <c r="D476" s="121">
        <f>COUNTIFS($F$33:F476,F476, $G$33:G476,G476, $C$33:C476,C476, $L$33:L476,L476)</f>
        <v>3</v>
      </c>
      <c r="E476" s="20">
        <v>1</v>
      </c>
      <c r="F476" s="20">
        <v>6</v>
      </c>
      <c r="G476" s="20">
        <v>1</v>
      </c>
      <c r="H476" s="103" t="s">
        <v>965</v>
      </c>
      <c r="I476" s="20" t="s">
        <v>2010</v>
      </c>
      <c r="J476" s="104" t="str">
        <f t="shared" si="342"/>
        <v>Item_Name_11146003</v>
      </c>
      <c r="K476" s="20">
        <v>10101001</v>
      </c>
      <c r="L476" s="108">
        <f t="shared" si="347"/>
        <v>4</v>
      </c>
      <c r="M476" s="105">
        <f>IF(D476=0, 0, _xlfn.XLOOKUP($F476,'#무게관련'!$B:$B,'#무게관련'!$C:$C)*_xlfn.XLOOKUP($L476,'#무게관련'!$F:$F,'#무게관련'!$G:$G)*100)</f>
        <v>4000</v>
      </c>
      <c r="N476" s="20">
        <v>20800</v>
      </c>
      <c r="O476" s="20">
        <v>1</v>
      </c>
      <c r="P476" s="20">
        <v>15</v>
      </c>
      <c r="Q476" s="20">
        <v>1</v>
      </c>
      <c r="R476" s="20">
        <v>100</v>
      </c>
      <c r="S476" s="20">
        <v>1</v>
      </c>
      <c r="T476" s="20" t="s">
        <v>1882</v>
      </c>
      <c r="U476" s="104" t="str">
        <f t="shared" si="382"/>
        <v>item_bg_grade_04</v>
      </c>
      <c r="V476" s="20" t="s">
        <v>326</v>
      </c>
      <c r="W476" s="20" t="s">
        <v>400</v>
      </c>
      <c r="X476" s="104">
        <v>0</v>
      </c>
      <c r="Y476" s="104">
        <v>0</v>
      </c>
      <c r="Z476" s="104">
        <v>0</v>
      </c>
      <c r="AA476" s="104">
        <v>0</v>
      </c>
      <c r="AB476" s="104">
        <v>0</v>
      </c>
      <c r="AC476" s="104">
        <v>0</v>
      </c>
      <c r="AD476" s="142">
        <v>0</v>
      </c>
      <c r="AE476" s="112">
        <f t="shared" si="348"/>
        <v>40</v>
      </c>
      <c r="AF476" s="70">
        <v>1406030</v>
      </c>
      <c r="AG476" s="105" cm="1">
        <f t="array" ref="AG476">_xlfn.SWITCH(L476,3,1,
           4,1,
           5,1,
           6,1,0)</f>
        <v>1</v>
      </c>
      <c r="AH476" s="147">
        <v>80101401</v>
      </c>
      <c r="AI476" s="90">
        <v>6002</v>
      </c>
      <c r="AJ476" s="90">
        <v>3005</v>
      </c>
      <c r="AK476" s="27">
        <v>4006</v>
      </c>
      <c r="AL476" s="123">
        <f>_xlfn.XLOOKUP(H476,'#각종 참고'!$B$11:$B$20,'#각종 참고'!$D$11:$D$20)</f>
        <v>0</v>
      </c>
      <c r="AM476" s="27">
        <v>1</v>
      </c>
      <c r="AN476" s="27">
        <v>1</v>
      </c>
      <c r="AO476" s="124">
        <f t="shared" si="355"/>
        <v>1</v>
      </c>
      <c r="AP476" s="27">
        <v>1</v>
      </c>
      <c r="AQ476" s="21">
        <v>11146021</v>
      </c>
      <c r="AR476" s="21" t="s">
        <v>2540</v>
      </c>
      <c r="AS476" s="68"/>
      <c r="AT476" s="68"/>
      <c r="AU476" s="68"/>
    </row>
    <row r="477" spans="1:47" x14ac:dyDescent="0.3">
      <c r="A477" s="19"/>
      <c r="B477" s="109">
        <v>11156001</v>
      </c>
      <c r="C477" s="99" t="str">
        <f t="shared" ref="C477:C480" si="383">IF(K477&gt;0,MID(K477,5, 1), 0)</f>
        <v>1</v>
      </c>
      <c r="D477" s="121">
        <f>COUNTIFS($F$33:F477,F477, $G$33:G477,G477, $C$33:C477,C477, $L$33:L477,L477)</f>
        <v>1</v>
      </c>
      <c r="E477" s="20">
        <v>1</v>
      </c>
      <c r="F477" s="20">
        <v>6</v>
      </c>
      <c r="G477" s="20">
        <v>1</v>
      </c>
      <c r="H477" s="103" t="s">
        <v>965</v>
      </c>
      <c r="I477" s="20" t="s">
        <v>1778</v>
      </c>
      <c r="J477" s="104" t="str">
        <f t="shared" si="342"/>
        <v>Item_Name_11156001</v>
      </c>
      <c r="K477" s="20">
        <v>10101001</v>
      </c>
      <c r="L477" s="108">
        <f t="shared" si="347"/>
        <v>5</v>
      </c>
      <c r="M477" s="105">
        <f>IF(D477=0, 0, _xlfn.XLOOKUP($F477,'#무게관련'!$B:$B,'#무게관련'!$C:$C)*_xlfn.XLOOKUP($L477,'#무게관련'!$F:$F,'#무게관련'!$G:$G)*100)</f>
        <v>4000</v>
      </c>
      <c r="N477" s="20">
        <v>20800</v>
      </c>
      <c r="O477" s="20">
        <v>1</v>
      </c>
      <c r="P477" s="20">
        <v>15</v>
      </c>
      <c r="Q477" s="20">
        <v>1</v>
      </c>
      <c r="R477" s="20">
        <v>100</v>
      </c>
      <c r="S477" s="20">
        <v>1</v>
      </c>
      <c r="T477" s="20" t="s">
        <v>1883</v>
      </c>
      <c r="U477" s="104" t="str">
        <f t="shared" ref="U477:U480" si="384">"item_bg_grade_0"&amp;L477</f>
        <v>item_bg_grade_05</v>
      </c>
      <c r="V477" s="20" t="s">
        <v>326</v>
      </c>
      <c r="W477" s="20" t="s">
        <v>400</v>
      </c>
      <c r="X477" s="104">
        <v>0</v>
      </c>
      <c r="Y477" s="104">
        <v>0</v>
      </c>
      <c r="Z477" s="104">
        <v>0</v>
      </c>
      <c r="AA477" s="104">
        <v>0</v>
      </c>
      <c r="AB477" s="104">
        <v>0</v>
      </c>
      <c r="AC477" s="104">
        <v>0</v>
      </c>
      <c r="AD477" s="142">
        <v>0</v>
      </c>
      <c r="AE477" s="112">
        <f t="shared" si="348"/>
        <v>50</v>
      </c>
      <c r="AF477" s="70">
        <v>1506010</v>
      </c>
      <c r="AG477" s="105" cm="1">
        <f t="array" ref="AG477">_xlfn.SWITCH(L477,3,1,
           4,1,
           5,1,
           6,1,0)</f>
        <v>1</v>
      </c>
      <c r="AH477" s="147">
        <v>80101501</v>
      </c>
      <c r="AI477" s="90">
        <v>6003</v>
      </c>
      <c r="AJ477" s="90">
        <v>3007</v>
      </c>
      <c r="AK477" s="27">
        <v>5006</v>
      </c>
      <c r="AL477" s="123">
        <f>_xlfn.XLOOKUP(H477,'#각종 참고'!$B$11:$B$20,'#각종 참고'!$D$11:$D$20)</f>
        <v>0</v>
      </c>
      <c r="AM477" s="27">
        <v>1</v>
      </c>
      <c r="AN477" s="27">
        <v>1</v>
      </c>
      <c r="AO477" s="124">
        <f t="shared" si="355"/>
        <v>1</v>
      </c>
      <c r="AP477" s="27">
        <v>1</v>
      </c>
      <c r="AQ477" s="21">
        <v>11156001</v>
      </c>
      <c r="AR477" s="21" t="s">
        <v>1778</v>
      </c>
      <c r="AS477" s="68"/>
      <c r="AT477" s="68"/>
      <c r="AU477" s="68"/>
    </row>
    <row r="478" spans="1:47" x14ac:dyDescent="0.3">
      <c r="A478" s="19"/>
      <c r="B478" s="109">
        <v>11156002</v>
      </c>
      <c r="C478" s="99" t="str">
        <f t="shared" ref="C478:C479" si="385">IF(K478&gt;0,MID(K478,5, 1), 0)</f>
        <v>1</v>
      </c>
      <c r="D478" s="121">
        <f>COUNTIFS($F$33:F478,F478, $G$33:G478,G478, $C$33:C478,C478, $L$33:L478,L478)</f>
        <v>2</v>
      </c>
      <c r="E478" s="20">
        <v>1</v>
      </c>
      <c r="F478" s="20">
        <v>6</v>
      </c>
      <c r="G478" s="20">
        <v>1</v>
      </c>
      <c r="H478" s="103" t="s">
        <v>965</v>
      </c>
      <c r="I478" s="20" t="s">
        <v>1779</v>
      </c>
      <c r="J478" s="104" t="str">
        <f t="shared" si="342"/>
        <v>Item_Name_11156002</v>
      </c>
      <c r="K478" s="20">
        <v>10101001</v>
      </c>
      <c r="L478" s="108">
        <f t="shared" si="347"/>
        <v>5</v>
      </c>
      <c r="M478" s="105">
        <f>IF(D478=0, 0, _xlfn.XLOOKUP($F478,'#무게관련'!$B:$B,'#무게관련'!$C:$C)*_xlfn.XLOOKUP($L478,'#무게관련'!$F:$F,'#무게관련'!$G:$G)*100)</f>
        <v>4000</v>
      </c>
      <c r="N478" s="20">
        <v>20800</v>
      </c>
      <c r="O478" s="20">
        <v>1</v>
      </c>
      <c r="P478" s="20">
        <v>15</v>
      </c>
      <c r="Q478" s="20">
        <v>1</v>
      </c>
      <c r="R478" s="20">
        <v>100</v>
      </c>
      <c r="S478" s="20">
        <v>1</v>
      </c>
      <c r="T478" s="20" t="s">
        <v>1883</v>
      </c>
      <c r="U478" s="104" t="str">
        <f t="shared" ref="U478:U479" si="386">"item_bg_grade_0"&amp;L478</f>
        <v>item_bg_grade_05</v>
      </c>
      <c r="V478" s="20" t="s">
        <v>326</v>
      </c>
      <c r="W478" s="20" t="s">
        <v>400</v>
      </c>
      <c r="X478" s="104">
        <v>0</v>
      </c>
      <c r="Y478" s="104">
        <v>0</v>
      </c>
      <c r="Z478" s="104">
        <v>0</v>
      </c>
      <c r="AA478" s="104">
        <v>0</v>
      </c>
      <c r="AB478" s="104">
        <v>0</v>
      </c>
      <c r="AC478" s="104">
        <v>0</v>
      </c>
      <c r="AD478" s="142">
        <v>0</v>
      </c>
      <c r="AE478" s="112">
        <f t="shared" si="348"/>
        <v>50</v>
      </c>
      <c r="AF478" s="70">
        <v>1506020</v>
      </c>
      <c r="AG478" s="105" cm="1">
        <f t="array" ref="AG478">_xlfn.SWITCH(L478,3,1,
           4,1,
           5,1,
           6,1,0)</f>
        <v>1</v>
      </c>
      <c r="AH478" s="147">
        <v>80101501</v>
      </c>
      <c r="AI478" s="90">
        <v>6003</v>
      </c>
      <c r="AJ478" s="90">
        <v>3007</v>
      </c>
      <c r="AK478" s="27">
        <v>5006</v>
      </c>
      <c r="AL478" s="123">
        <f>_xlfn.XLOOKUP(H478,'#각종 참고'!$B$11:$B$20,'#각종 참고'!$D$11:$D$20)</f>
        <v>0</v>
      </c>
      <c r="AM478" s="27">
        <v>1</v>
      </c>
      <c r="AN478" s="27">
        <v>1</v>
      </c>
      <c r="AO478" s="124">
        <f t="shared" si="355"/>
        <v>1</v>
      </c>
      <c r="AP478" s="27">
        <v>1</v>
      </c>
      <c r="AQ478" s="21">
        <v>11156011</v>
      </c>
      <c r="AR478" s="21" t="s">
        <v>2541</v>
      </c>
      <c r="AS478" s="68"/>
      <c r="AT478" s="68"/>
      <c r="AU478" s="68"/>
    </row>
    <row r="479" spans="1:47" x14ac:dyDescent="0.3">
      <c r="A479" s="19"/>
      <c r="B479" s="109">
        <v>11156003</v>
      </c>
      <c r="C479" s="99" t="str">
        <f t="shared" si="385"/>
        <v>1</v>
      </c>
      <c r="D479" s="121">
        <f>COUNTIFS($F$33:F479,F479, $G$33:G479,G479, $C$33:C479,C479, $L$33:L479,L479)</f>
        <v>3</v>
      </c>
      <c r="E479" s="20">
        <v>1</v>
      </c>
      <c r="F479" s="20">
        <v>6</v>
      </c>
      <c r="G479" s="20">
        <v>1</v>
      </c>
      <c r="H479" s="103" t="s">
        <v>965</v>
      </c>
      <c r="I479" s="20" t="s">
        <v>1970</v>
      </c>
      <c r="J479" s="104" t="str">
        <f t="shared" si="342"/>
        <v>Item_Name_11156003</v>
      </c>
      <c r="K479" s="20">
        <v>10101001</v>
      </c>
      <c r="L479" s="108">
        <f t="shared" si="347"/>
        <v>5</v>
      </c>
      <c r="M479" s="105">
        <f>IF(D479=0, 0, _xlfn.XLOOKUP($F479,'#무게관련'!$B:$B,'#무게관련'!$C:$C)*_xlfn.XLOOKUP($L479,'#무게관련'!$F:$F,'#무게관련'!$G:$G)*100)</f>
        <v>4000</v>
      </c>
      <c r="N479" s="20">
        <v>20800</v>
      </c>
      <c r="O479" s="20">
        <v>1</v>
      </c>
      <c r="P479" s="20">
        <v>15</v>
      </c>
      <c r="Q479" s="20">
        <v>1</v>
      </c>
      <c r="R479" s="20">
        <v>100</v>
      </c>
      <c r="S479" s="20">
        <v>1</v>
      </c>
      <c r="T479" s="20" t="s">
        <v>1883</v>
      </c>
      <c r="U479" s="104" t="str">
        <f t="shared" si="386"/>
        <v>item_bg_grade_05</v>
      </c>
      <c r="V479" s="20" t="s">
        <v>326</v>
      </c>
      <c r="W479" s="20" t="s">
        <v>400</v>
      </c>
      <c r="X479" s="104">
        <v>0</v>
      </c>
      <c r="Y479" s="104">
        <v>0</v>
      </c>
      <c r="Z479" s="104">
        <v>0</v>
      </c>
      <c r="AA479" s="104">
        <v>0</v>
      </c>
      <c r="AB479" s="104">
        <v>0</v>
      </c>
      <c r="AC479" s="104">
        <v>0</v>
      </c>
      <c r="AD479" s="142">
        <v>0</v>
      </c>
      <c r="AE479" s="112">
        <f t="shared" si="348"/>
        <v>50</v>
      </c>
      <c r="AF479" s="70">
        <v>1506030</v>
      </c>
      <c r="AG479" s="105" cm="1">
        <f t="array" ref="AG479">_xlfn.SWITCH(L479,3,1,
           4,1,
           5,1,
           6,1,0)</f>
        <v>1</v>
      </c>
      <c r="AH479" s="147">
        <v>80101501</v>
      </c>
      <c r="AI479" s="90">
        <v>6003</v>
      </c>
      <c r="AJ479" s="90">
        <v>3007</v>
      </c>
      <c r="AK479" s="27">
        <v>5006</v>
      </c>
      <c r="AL479" s="123">
        <f>_xlfn.XLOOKUP(H479,'#각종 참고'!$B$11:$B$20,'#각종 참고'!$D$11:$D$20)</f>
        <v>0</v>
      </c>
      <c r="AM479" s="27">
        <v>1</v>
      </c>
      <c r="AN479" s="27">
        <v>1</v>
      </c>
      <c r="AO479" s="124">
        <f t="shared" si="355"/>
        <v>1</v>
      </c>
      <c r="AP479" s="27">
        <v>1</v>
      </c>
      <c r="AQ479" s="21">
        <v>11156021</v>
      </c>
      <c r="AR479" s="21" t="s">
        <v>2542</v>
      </c>
      <c r="AS479" s="68"/>
      <c r="AT479" s="68"/>
      <c r="AU479" s="68"/>
    </row>
    <row r="480" spans="1:47" x14ac:dyDescent="0.3">
      <c r="A480" s="19"/>
      <c r="B480" s="109">
        <v>11166001</v>
      </c>
      <c r="C480" s="99" t="str">
        <f t="shared" si="383"/>
        <v>1</v>
      </c>
      <c r="D480" s="121">
        <f>COUNTIFS($F$33:F480,F480, $G$33:G480,G480, $C$33:C480,C480, $L$33:L480,L480)</f>
        <v>1</v>
      </c>
      <c r="E480" s="20">
        <v>1</v>
      </c>
      <c r="F480" s="20">
        <v>6</v>
      </c>
      <c r="G480" s="20">
        <v>1</v>
      </c>
      <c r="H480" s="103" t="s">
        <v>965</v>
      </c>
      <c r="I480" s="20" t="s">
        <v>1780</v>
      </c>
      <c r="J480" s="104" t="str">
        <f t="shared" si="342"/>
        <v>Item_Name_11166001</v>
      </c>
      <c r="K480" s="20">
        <v>10101001</v>
      </c>
      <c r="L480" s="108">
        <f t="shared" si="347"/>
        <v>6</v>
      </c>
      <c r="M480" s="105">
        <f>IF(D480=0, 0, _xlfn.XLOOKUP($F480,'#무게관련'!$B:$B,'#무게관련'!$C:$C)*_xlfn.XLOOKUP($L480,'#무게관련'!$F:$F,'#무게관련'!$G:$G)*100)</f>
        <v>4000</v>
      </c>
      <c r="N480" s="20">
        <v>20800</v>
      </c>
      <c r="O480" s="20">
        <v>1</v>
      </c>
      <c r="P480" s="20">
        <v>15</v>
      </c>
      <c r="Q480" s="20">
        <v>1</v>
      </c>
      <c r="R480" s="20">
        <v>100</v>
      </c>
      <c r="S480" s="20">
        <v>1</v>
      </c>
      <c r="T480" s="109" t="s">
        <v>1883</v>
      </c>
      <c r="U480" s="104" t="str">
        <f t="shared" si="384"/>
        <v>item_bg_grade_06</v>
      </c>
      <c r="V480" s="20" t="s">
        <v>326</v>
      </c>
      <c r="W480" s="20" t="s">
        <v>400</v>
      </c>
      <c r="X480" s="104">
        <v>0</v>
      </c>
      <c r="Y480" s="104">
        <v>0</v>
      </c>
      <c r="Z480" s="104">
        <v>0</v>
      </c>
      <c r="AA480" s="104">
        <v>0</v>
      </c>
      <c r="AB480" s="104">
        <v>0</v>
      </c>
      <c r="AC480" s="104">
        <v>0</v>
      </c>
      <c r="AD480" s="142">
        <v>0</v>
      </c>
      <c r="AE480" s="112">
        <f t="shared" si="348"/>
        <v>70</v>
      </c>
      <c r="AF480" s="70">
        <v>1606010</v>
      </c>
      <c r="AG480" s="105" cm="1">
        <f t="array" ref="AG480">_xlfn.SWITCH(L480,3,1,
           4,1,
           5,1,
           6,1,0)</f>
        <v>1</v>
      </c>
      <c r="AH480" s="147">
        <v>0</v>
      </c>
      <c r="AI480" s="90">
        <v>6004</v>
      </c>
      <c r="AJ480" s="90">
        <v>3009</v>
      </c>
      <c r="AK480" s="27">
        <v>6006</v>
      </c>
      <c r="AL480" s="123">
        <f>_xlfn.XLOOKUP(H480,'#각종 참고'!$B$11:$B$20,'#각종 참고'!$D$11:$D$20)</f>
        <v>0</v>
      </c>
      <c r="AM480" s="27">
        <v>1</v>
      </c>
      <c r="AN480" s="27">
        <v>1</v>
      </c>
      <c r="AO480" s="124">
        <f t="shared" si="355"/>
        <v>1</v>
      </c>
      <c r="AP480" s="27">
        <v>1</v>
      </c>
      <c r="AQ480" s="21">
        <v>11166001</v>
      </c>
      <c r="AR480" s="21" t="s">
        <v>1780</v>
      </c>
      <c r="AS480" s="68"/>
      <c r="AT480" s="68"/>
      <c r="AU480" s="68"/>
    </row>
    <row r="481" spans="1:47" x14ac:dyDescent="0.3">
      <c r="A481" s="19" t="s">
        <v>513</v>
      </c>
      <c r="B481" s="109">
        <v>11166002</v>
      </c>
      <c r="C481" s="99" t="str">
        <f t="shared" ref="C481:C482" si="387">IF(K481&gt;0,MID(K481,5, 1), 0)</f>
        <v>1</v>
      </c>
      <c r="D481" s="121">
        <f>COUNTIFS($F$33:F481,F481, $G$33:G481,G481, $C$33:C481,C481, $L$33:L481,L481)</f>
        <v>2</v>
      </c>
      <c r="E481" s="20">
        <v>1</v>
      </c>
      <c r="F481" s="20">
        <v>6</v>
      </c>
      <c r="G481" s="20">
        <v>1</v>
      </c>
      <c r="H481" s="103" t="s">
        <v>965</v>
      </c>
      <c r="I481" s="20" t="s">
        <v>2195</v>
      </c>
      <c r="J481" s="104" t="str">
        <f t="shared" si="342"/>
        <v>Item_Name_11166002</v>
      </c>
      <c r="K481" s="20">
        <v>10101001</v>
      </c>
      <c r="L481" s="108">
        <f t="shared" si="347"/>
        <v>6</v>
      </c>
      <c r="M481" s="105">
        <f>IF(D481=0, 0, _xlfn.XLOOKUP($F481,'#무게관련'!$B:$B,'#무게관련'!$C:$C)*_xlfn.XLOOKUP($L481,'#무게관련'!$F:$F,'#무게관련'!$G:$G)*100)</f>
        <v>4000</v>
      </c>
      <c r="N481" s="20">
        <v>20800</v>
      </c>
      <c r="O481" s="20">
        <v>1</v>
      </c>
      <c r="P481" s="20">
        <v>15</v>
      </c>
      <c r="Q481" s="20">
        <v>1</v>
      </c>
      <c r="R481" s="20">
        <v>100</v>
      </c>
      <c r="S481" s="20">
        <v>1</v>
      </c>
      <c r="T481" s="109" t="s">
        <v>1883</v>
      </c>
      <c r="U481" s="104" t="str">
        <f t="shared" ref="U481:U482" si="388">"item_bg_grade_0"&amp;L481</f>
        <v>item_bg_grade_06</v>
      </c>
      <c r="V481" s="20" t="s">
        <v>326</v>
      </c>
      <c r="W481" s="20" t="s">
        <v>400</v>
      </c>
      <c r="X481" s="104">
        <v>0</v>
      </c>
      <c r="Y481" s="104">
        <v>0</v>
      </c>
      <c r="Z481" s="104">
        <v>0</v>
      </c>
      <c r="AA481" s="104">
        <v>0</v>
      </c>
      <c r="AB481" s="104">
        <v>0</v>
      </c>
      <c r="AC481" s="104">
        <v>0</v>
      </c>
      <c r="AD481" s="142">
        <v>0</v>
      </c>
      <c r="AE481" s="112">
        <f t="shared" si="348"/>
        <v>70</v>
      </c>
      <c r="AF481" s="70">
        <v>1606010</v>
      </c>
      <c r="AG481" s="105" cm="1">
        <f t="array" ref="AG481">_xlfn.SWITCH(L481,3,1,
           4,1,
           5,1,
           6,1,0)</f>
        <v>1</v>
      </c>
      <c r="AH481" s="147">
        <v>0</v>
      </c>
      <c r="AI481" s="90">
        <v>6004</v>
      </c>
      <c r="AJ481" s="90">
        <v>3009</v>
      </c>
      <c r="AK481" s="27">
        <v>6006</v>
      </c>
      <c r="AL481" s="123">
        <f>_xlfn.XLOOKUP(H481,'#각종 참고'!$B$11:$B$20,'#각종 참고'!$D$11:$D$20)</f>
        <v>0</v>
      </c>
      <c r="AM481" s="27">
        <v>1</v>
      </c>
      <c r="AN481" s="27">
        <v>1</v>
      </c>
      <c r="AO481" s="124">
        <f t="shared" si="355"/>
        <v>1</v>
      </c>
      <c r="AP481" s="27">
        <v>1</v>
      </c>
      <c r="AQ481" s="21">
        <v>11166011</v>
      </c>
      <c r="AR481" s="21" t="s">
        <v>2543</v>
      </c>
      <c r="AS481" s="68"/>
      <c r="AT481" s="68"/>
      <c r="AU481" s="68"/>
    </row>
    <row r="482" spans="1:47" x14ac:dyDescent="0.3">
      <c r="A482" s="19" t="s">
        <v>513</v>
      </c>
      <c r="B482" s="109">
        <v>11166003</v>
      </c>
      <c r="C482" s="99" t="str">
        <f t="shared" si="387"/>
        <v>1</v>
      </c>
      <c r="D482" s="121">
        <f>COUNTIFS($F$33:F482,F482, $G$33:G482,G482, $C$33:C482,C482, $L$33:L482,L482)</f>
        <v>3</v>
      </c>
      <c r="E482" s="20">
        <v>1</v>
      </c>
      <c r="F482" s="20">
        <v>6</v>
      </c>
      <c r="G482" s="20">
        <v>1</v>
      </c>
      <c r="H482" s="103" t="s">
        <v>965</v>
      </c>
      <c r="I482" s="20" t="s">
        <v>2194</v>
      </c>
      <c r="J482" s="104" t="str">
        <f t="shared" si="342"/>
        <v>Item_Name_11166003</v>
      </c>
      <c r="K482" s="20">
        <v>10101001</v>
      </c>
      <c r="L482" s="108">
        <f t="shared" si="347"/>
        <v>6</v>
      </c>
      <c r="M482" s="105">
        <f>IF(D482=0, 0, _xlfn.XLOOKUP($F482,'#무게관련'!$B:$B,'#무게관련'!$C:$C)*_xlfn.XLOOKUP($L482,'#무게관련'!$F:$F,'#무게관련'!$G:$G)*100)</f>
        <v>4000</v>
      </c>
      <c r="N482" s="20">
        <v>20800</v>
      </c>
      <c r="O482" s="20">
        <v>1</v>
      </c>
      <c r="P482" s="20">
        <v>15</v>
      </c>
      <c r="Q482" s="20">
        <v>1</v>
      </c>
      <c r="R482" s="20">
        <v>100</v>
      </c>
      <c r="S482" s="20">
        <v>1</v>
      </c>
      <c r="T482" s="109" t="s">
        <v>1883</v>
      </c>
      <c r="U482" s="104" t="str">
        <f t="shared" si="388"/>
        <v>item_bg_grade_06</v>
      </c>
      <c r="V482" s="20" t="s">
        <v>326</v>
      </c>
      <c r="W482" s="20" t="s">
        <v>400</v>
      </c>
      <c r="X482" s="104">
        <v>0</v>
      </c>
      <c r="Y482" s="104">
        <v>0</v>
      </c>
      <c r="Z482" s="104">
        <v>0</v>
      </c>
      <c r="AA482" s="104">
        <v>0</v>
      </c>
      <c r="AB482" s="104">
        <v>0</v>
      </c>
      <c r="AC482" s="104">
        <v>0</v>
      </c>
      <c r="AD482" s="142">
        <v>0</v>
      </c>
      <c r="AE482" s="112">
        <f t="shared" si="348"/>
        <v>70</v>
      </c>
      <c r="AF482" s="70">
        <v>1606010</v>
      </c>
      <c r="AG482" s="105" cm="1">
        <f t="array" ref="AG482">_xlfn.SWITCH(L482,3,1,
           4,1,
           5,1,
           6,1,0)</f>
        <v>1</v>
      </c>
      <c r="AH482" s="147">
        <v>0</v>
      </c>
      <c r="AI482" s="90">
        <v>6004</v>
      </c>
      <c r="AJ482" s="90">
        <v>3009</v>
      </c>
      <c r="AK482" s="27">
        <v>6006</v>
      </c>
      <c r="AL482" s="123">
        <f>_xlfn.XLOOKUP(H482,'#각종 참고'!$B$11:$B$20,'#각종 참고'!$D$11:$D$20)</f>
        <v>0</v>
      </c>
      <c r="AM482" s="27">
        <v>1</v>
      </c>
      <c r="AN482" s="27">
        <v>1</v>
      </c>
      <c r="AO482" s="124">
        <f t="shared" si="355"/>
        <v>1</v>
      </c>
      <c r="AP482" s="27">
        <v>1</v>
      </c>
      <c r="AQ482" s="21">
        <v>11166021</v>
      </c>
      <c r="AR482" s="21" t="s">
        <v>2544</v>
      </c>
      <c r="AS482" s="68"/>
      <c r="AT482" s="68"/>
      <c r="AU482" s="68"/>
    </row>
    <row r="483" spans="1:47" s="68" customFormat="1" x14ac:dyDescent="0.3">
      <c r="A483" s="65"/>
      <c r="B483" s="110">
        <v>12116001</v>
      </c>
      <c r="C483" s="99" t="str">
        <f t="shared" si="267"/>
        <v>2</v>
      </c>
      <c r="D483" s="120">
        <f>COUNTIFS($F$33:F483,F483, $G$33:G483,G483, $C$33:C483,C483, $L$33:L483,L483)</f>
        <v>1</v>
      </c>
      <c r="E483" s="20">
        <v>1</v>
      </c>
      <c r="F483" s="66">
        <v>6</v>
      </c>
      <c r="G483" s="66">
        <v>1</v>
      </c>
      <c r="H483" s="103" t="s">
        <v>965</v>
      </c>
      <c r="I483" s="66" t="s">
        <v>1781</v>
      </c>
      <c r="J483" s="104" t="str">
        <f t="shared" si="342"/>
        <v>Item_Name_12116001</v>
      </c>
      <c r="K483" s="66">
        <v>10102001</v>
      </c>
      <c r="L483" s="106">
        <f t="shared" si="347"/>
        <v>1</v>
      </c>
      <c r="M483" s="105">
        <f>IF(D483=0, 0, _xlfn.XLOOKUP($F483,'#무게관련'!$B:$B,'#무게관련'!$C:$C)*_xlfn.XLOOKUP($L483,'#무게관련'!$F:$F,'#무게관련'!$G:$G)*100)</f>
        <v>4000</v>
      </c>
      <c r="N483" s="20">
        <v>20800</v>
      </c>
      <c r="O483" s="20">
        <v>2</v>
      </c>
      <c r="P483" s="66">
        <v>15</v>
      </c>
      <c r="Q483" s="20">
        <v>1</v>
      </c>
      <c r="R483" s="66">
        <v>100</v>
      </c>
      <c r="S483" s="66">
        <v>1</v>
      </c>
      <c r="T483" s="66" t="s">
        <v>1879</v>
      </c>
      <c r="U483" s="104" t="str">
        <f t="shared" si="333"/>
        <v>item_bg_grade_01</v>
      </c>
      <c r="V483" s="66" t="s">
        <v>326</v>
      </c>
      <c r="W483" s="66" t="s">
        <v>400</v>
      </c>
      <c r="X483" s="104">
        <v>0</v>
      </c>
      <c r="Y483" s="104">
        <v>0</v>
      </c>
      <c r="Z483" s="104">
        <v>0</v>
      </c>
      <c r="AA483" s="104">
        <v>0</v>
      </c>
      <c r="AB483" s="104">
        <v>0</v>
      </c>
      <c r="AC483" s="104">
        <v>0</v>
      </c>
      <c r="AD483" s="142">
        <v>0</v>
      </c>
      <c r="AE483" s="111">
        <f t="shared" si="348"/>
        <v>10</v>
      </c>
      <c r="AF483" s="70">
        <v>2106010</v>
      </c>
      <c r="AG483" s="105" cm="1">
        <f t="array" ref="AG483">_xlfn.SWITCH(L483,3,1,
           4,1,
           5,1,
           6,1,0)</f>
        <v>0</v>
      </c>
      <c r="AH483" s="146">
        <f t="shared" ref="AH483:AH514" si="389">AH465</f>
        <v>80101101</v>
      </c>
      <c r="AI483" s="90">
        <v>0</v>
      </c>
      <c r="AJ483" s="90">
        <v>0</v>
      </c>
      <c r="AK483" s="27">
        <v>0</v>
      </c>
      <c r="AL483" s="123">
        <f>_xlfn.XLOOKUP(H483,'#각종 참고'!$B$11:$B$20,'#각종 참고'!$D$11:$D$20)</f>
        <v>0</v>
      </c>
      <c r="AM483" s="27">
        <v>1</v>
      </c>
      <c r="AN483" s="27">
        <v>1</v>
      </c>
      <c r="AO483" s="124">
        <f t="shared" si="355"/>
        <v>1</v>
      </c>
      <c r="AP483" s="27">
        <v>1</v>
      </c>
      <c r="AQ483" s="21">
        <v>12116001</v>
      </c>
      <c r="AR483" s="68" t="s">
        <v>1781</v>
      </c>
    </row>
    <row r="484" spans="1:47" s="68" customFormat="1" x14ac:dyDescent="0.3">
      <c r="A484" s="65"/>
      <c r="B484" s="110">
        <v>12116002</v>
      </c>
      <c r="C484" s="99" t="str">
        <f t="shared" ref="C484:C485" si="390">IF(K484&gt;0,MID(K484,5, 1), 0)</f>
        <v>2</v>
      </c>
      <c r="D484" s="120">
        <f>COUNTIFS($F$33:F484,F484, $G$33:G484,G484, $C$33:C484,C484, $L$33:L484,L484)</f>
        <v>2</v>
      </c>
      <c r="E484" s="20">
        <v>1</v>
      </c>
      <c r="F484" s="66">
        <v>6</v>
      </c>
      <c r="G484" s="66">
        <v>1</v>
      </c>
      <c r="H484" s="103" t="s">
        <v>965</v>
      </c>
      <c r="I484" s="66" t="s">
        <v>2197</v>
      </c>
      <c r="J484" s="104" t="str">
        <f t="shared" si="342"/>
        <v>Item_Name_12116002</v>
      </c>
      <c r="K484" s="66">
        <v>10102001</v>
      </c>
      <c r="L484" s="106">
        <f t="shared" si="347"/>
        <v>1</v>
      </c>
      <c r="M484" s="105">
        <f>IF(D484=0, 0, _xlfn.XLOOKUP($F484,'#무게관련'!$B:$B,'#무게관련'!$C:$C)*_xlfn.XLOOKUP($L484,'#무게관련'!$F:$F,'#무게관련'!$G:$G)*100)</f>
        <v>4000</v>
      </c>
      <c r="N484" s="20">
        <v>20800</v>
      </c>
      <c r="O484" s="20">
        <v>2</v>
      </c>
      <c r="P484" s="66">
        <v>15</v>
      </c>
      <c r="Q484" s="20">
        <v>1</v>
      </c>
      <c r="R484" s="66">
        <v>100</v>
      </c>
      <c r="S484" s="66">
        <v>1</v>
      </c>
      <c r="T484" s="66" t="s">
        <v>1879</v>
      </c>
      <c r="U484" s="104" t="str">
        <f t="shared" ref="U484:U485" si="391">"item_bg_grade_0"&amp;L484</f>
        <v>item_bg_grade_01</v>
      </c>
      <c r="V484" s="66" t="s">
        <v>326</v>
      </c>
      <c r="W484" s="66" t="s">
        <v>400</v>
      </c>
      <c r="X484" s="104">
        <v>0</v>
      </c>
      <c r="Y484" s="104">
        <v>0</v>
      </c>
      <c r="Z484" s="104">
        <v>0</v>
      </c>
      <c r="AA484" s="104">
        <v>0</v>
      </c>
      <c r="AB484" s="104">
        <v>0</v>
      </c>
      <c r="AC484" s="104">
        <v>0</v>
      </c>
      <c r="AD484" s="142">
        <v>0</v>
      </c>
      <c r="AE484" s="111">
        <f t="shared" si="348"/>
        <v>10</v>
      </c>
      <c r="AF484" s="70">
        <v>2106020</v>
      </c>
      <c r="AG484" s="105" cm="1">
        <f t="array" ref="AG484">_xlfn.SWITCH(L484,3,1,
           4,1,
           5,1,
           6,1,0)</f>
        <v>0</v>
      </c>
      <c r="AH484" s="146">
        <f t="shared" si="389"/>
        <v>80101101</v>
      </c>
      <c r="AI484" s="90">
        <v>0</v>
      </c>
      <c r="AJ484" s="90">
        <v>0</v>
      </c>
      <c r="AK484" s="27">
        <v>0</v>
      </c>
      <c r="AL484" s="123">
        <f>_xlfn.XLOOKUP(H484,'#각종 참고'!$B$11:$B$20,'#각종 참고'!$D$11:$D$20)</f>
        <v>0</v>
      </c>
      <c r="AM484" s="27">
        <v>1</v>
      </c>
      <c r="AN484" s="27">
        <v>1</v>
      </c>
      <c r="AO484" s="124">
        <f t="shared" ref="AO484:AO527" si="392">IF(AM484=1,AM484,AL484)</f>
        <v>1</v>
      </c>
      <c r="AP484" s="27">
        <v>1</v>
      </c>
      <c r="AQ484" s="21">
        <v>12116011</v>
      </c>
      <c r="AR484" s="68" t="s">
        <v>2545</v>
      </c>
    </row>
    <row r="485" spans="1:47" s="68" customFormat="1" x14ac:dyDescent="0.3">
      <c r="A485" s="65"/>
      <c r="B485" s="110">
        <v>12116003</v>
      </c>
      <c r="C485" s="99" t="str">
        <f t="shared" si="390"/>
        <v>2</v>
      </c>
      <c r="D485" s="120">
        <f>COUNTIFS($F$33:F485,F485, $G$33:G485,G485, $C$33:C485,C485, $L$33:L485,L485)</f>
        <v>3</v>
      </c>
      <c r="E485" s="20">
        <v>1</v>
      </c>
      <c r="F485" s="66">
        <v>6</v>
      </c>
      <c r="G485" s="66">
        <v>1</v>
      </c>
      <c r="H485" s="103" t="s">
        <v>965</v>
      </c>
      <c r="I485" s="66" t="s">
        <v>2196</v>
      </c>
      <c r="J485" s="104" t="str">
        <f t="shared" si="342"/>
        <v>Item_Name_12116003</v>
      </c>
      <c r="K485" s="66">
        <v>10102001</v>
      </c>
      <c r="L485" s="106">
        <f t="shared" si="347"/>
        <v>1</v>
      </c>
      <c r="M485" s="105">
        <f>IF(D485=0, 0, _xlfn.XLOOKUP($F485,'#무게관련'!$B:$B,'#무게관련'!$C:$C)*_xlfn.XLOOKUP($L485,'#무게관련'!$F:$F,'#무게관련'!$G:$G)*100)</f>
        <v>4000</v>
      </c>
      <c r="N485" s="20">
        <v>20800</v>
      </c>
      <c r="O485" s="20">
        <v>2</v>
      </c>
      <c r="P485" s="66">
        <v>15</v>
      </c>
      <c r="Q485" s="20">
        <v>1</v>
      </c>
      <c r="R485" s="66">
        <v>100</v>
      </c>
      <c r="S485" s="66">
        <v>1</v>
      </c>
      <c r="T485" s="66" t="s">
        <v>1879</v>
      </c>
      <c r="U485" s="104" t="str">
        <f t="shared" si="391"/>
        <v>item_bg_grade_01</v>
      </c>
      <c r="V485" s="66" t="s">
        <v>326</v>
      </c>
      <c r="W485" s="66" t="s">
        <v>400</v>
      </c>
      <c r="X485" s="104">
        <v>0</v>
      </c>
      <c r="Y485" s="104">
        <v>0</v>
      </c>
      <c r="Z485" s="104">
        <v>0</v>
      </c>
      <c r="AA485" s="104">
        <v>0</v>
      </c>
      <c r="AB485" s="104">
        <v>0</v>
      </c>
      <c r="AC485" s="104">
        <v>0</v>
      </c>
      <c r="AD485" s="142">
        <v>0</v>
      </c>
      <c r="AE485" s="111">
        <f t="shared" si="348"/>
        <v>10</v>
      </c>
      <c r="AF485" s="70">
        <v>2106030</v>
      </c>
      <c r="AG485" s="105" cm="1">
        <f t="array" ref="AG485">_xlfn.SWITCH(L485,3,1,
           4,1,
           5,1,
           6,1,0)</f>
        <v>0</v>
      </c>
      <c r="AH485" s="146">
        <f t="shared" si="389"/>
        <v>80101101</v>
      </c>
      <c r="AI485" s="90">
        <v>0</v>
      </c>
      <c r="AJ485" s="90">
        <v>0</v>
      </c>
      <c r="AK485" s="27">
        <v>0</v>
      </c>
      <c r="AL485" s="123">
        <f>_xlfn.XLOOKUP(H485,'#각종 참고'!$B$11:$B$20,'#각종 참고'!$D$11:$D$20)</f>
        <v>0</v>
      </c>
      <c r="AM485" s="27">
        <v>1</v>
      </c>
      <c r="AN485" s="27">
        <v>1</v>
      </c>
      <c r="AO485" s="124">
        <f t="shared" si="392"/>
        <v>1</v>
      </c>
      <c r="AP485" s="27">
        <v>1</v>
      </c>
      <c r="AQ485" s="21">
        <v>12116021</v>
      </c>
      <c r="AR485" s="68" t="s">
        <v>2546</v>
      </c>
    </row>
    <row r="486" spans="1:47" x14ac:dyDescent="0.3">
      <c r="A486" s="19"/>
      <c r="B486" s="109">
        <v>12126001</v>
      </c>
      <c r="C486" s="99" t="str">
        <f t="shared" si="267"/>
        <v>2</v>
      </c>
      <c r="D486" s="121">
        <f>COUNTIFS($F$33:F486,F486, $G$33:G486,G486, $C$33:C486,C486, $L$33:L486,L486)</f>
        <v>1</v>
      </c>
      <c r="E486" s="20">
        <v>1</v>
      </c>
      <c r="F486" s="20">
        <v>6</v>
      </c>
      <c r="G486" s="20">
        <v>1</v>
      </c>
      <c r="H486" s="103" t="s">
        <v>965</v>
      </c>
      <c r="I486" s="20" t="s">
        <v>1782</v>
      </c>
      <c r="J486" s="104" t="str">
        <f t="shared" si="342"/>
        <v>Item_Name_12126001</v>
      </c>
      <c r="K486" s="20">
        <v>10102001</v>
      </c>
      <c r="L486" s="107">
        <f t="shared" si="347"/>
        <v>2</v>
      </c>
      <c r="M486" s="105">
        <f>IF(D486=0, 0, _xlfn.XLOOKUP($F486,'#무게관련'!$B:$B,'#무게관련'!$C:$C)*_xlfn.XLOOKUP($L486,'#무게관련'!$F:$F,'#무게관련'!$G:$G)*100)</f>
        <v>4000</v>
      </c>
      <c r="N486" s="20">
        <v>20800</v>
      </c>
      <c r="O486" s="20">
        <v>2</v>
      </c>
      <c r="P486" s="20">
        <v>15</v>
      </c>
      <c r="Q486" s="20">
        <v>1</v>
      </c>
      <c r="R486" s="20">
        <v>100</v>
      </c>
      <c r="S486" s="20">
        <v>1</v>
      </c>
      <c r="T486" s="20" t="s">
        <v>1880</v>
      </c>
      <c r="U486" s="104" t="str">
        <f t="shared" si="333"/>
        <v>item_bg_grade_02</v>
      </c>
      <c r="V486" s="20" t="s">
        <v>326</v>
      </c>
      <c r="W486" s="20" t="s">
        <v>400</v>
      </c>
      <c r="X486" s="104">
        <v>0</v>
      </c>
      <c r="Y486" s="104">
        <v>0</v>
      </c>
      <c r="Z486" s="104">
        <v>0</v>
      </c>
      <c r="AA486" s="104">
        <v>0</v>
      </c>
      <c r="AB486" s="104">
        <v>0</v>
      </c>
      <c r="AC486" s="104">
        <v>0</v>
      </c>
      <c r="AD486" s="142">
        <v>0</v>
      </c>
      <c r="AE486" s="112">
        <f t="shared" si="348"/>
        <v>20</v>
      </c>
      <c r="AF486" s="70">
        <v>2206010</v>
      </c>
      <c r="AG486" s="105" cm="1">
        <f t="array" ref="AG486">_xlfn.SWITCH(L486,3,1,
           4,1,
           5,1,
           6,1,0)</f>
        <v>0</v>
      </c>
      <c r="AH486" s="146">
        <f t="shared" si="389"/>
        <v>80101201</v>
      </c>
      <c r="AI486" s="90">
        <v>6000</v>
      </c>
      <c r="AJ486" s="90">
        <v>3001</v>
      </c>
      <c r="AK486" s="27">
        <v>2006</v>
      </c>
      <c r="AL486" s="123">
        <f>_xlfn.XLOOKUP(H486,'#각종 참고'!$B$11:$B$20,'#각종 참고'!$D$11:$D$20)</f>
        <v>0</v>
      </c>
      <c r="AM486" s="27">
        <v>1</v>
      </c>
      <c r="AN486" s="27">
        <v>1</v>
      </c>
      <c r="AO486" s="124">
        <f t="shared" si="392"/>
        <v>1</v>
      </c>
      <c r="AP486" s="27">
        <v>1</v>
      </c>
      <c r="AQ486" s="21">
        <v>12126001</v>
      </c>
      <c r="AR486" s="21" t="s">
        <v>1782</v>
      </c>
      <c r="AS486" s="68"/>
      <c r="AT486" s="68"/>
      <c r="AU486" s="68"/>
    </row>
    <row r="487" spans="1:47" x14ac:dyDescent="0.3">
      <c r="A487" s="19"/>
      <c r="B487" s="109">
        <v>12126002</v>
      </c>
      <c r="C487" s="99" t="str">
        <f t="shared" ref="C487:C488" si="393">IF(K487&gt;0,MID(K487,5, 1), 0)</f>
        <v>2</v>
      </c>
      <c r="D487" s="121">
        <f>COUNTIFS($F$33:F487,F487, $G$33:G487,G487, $C$33:C487,C487, $L$33:L487,L487)</f>
        <v>2</v>
      </c>
      <c r="E487" s="20">
        <v>1</v>
      </c>
      <c r="F487" s="20">
        <v>6</v>
      </c>
      <c r="G487" s="20">
        <v>1</v>
      </c>
      <c r="H487" s="103" t="s">
        <v>965</v>
      </c>
      <c r="I487" s="20" t="s">
        <v>2198</v>
      </c>
      <c r="J487" s="104" t="str">
        <f t="shared" si="342"/>
        <v>Item_Name_12126002</v>
      </c>
      <c r="K487" s="20">
        <v>10102001</v>
      </c>
      <c r="L487" s="107">
        <f t="shared" si="347"/>
        <v>2</v>
      </c>
      <c r="M487" s="105">
        <f>IF(D487=0, 0, _xlfn.XLOOKUP($F487,'#무게관련'!$B:$B,'#무게관련'!$C:$C)*_xlfn.XLOOKUP($L487,'#무게관련'!$F:$F,'#무게관련'!$G:$G)*100)</f>
        <v>4000</v>
      </c>
      <c r="N487" s="20">
        <v>20800</v>
      </c>
      <c r="O487" s="20">
        <v>2</v>
      </c>
      <c r="P487" s="20">
        <v>15</v>
      </c>
      <c r="Q487" s="20">
        <v>1</v>
      </c>
      <c r="R487" s="20">
        <v>100</v>
      </c>
      <c r="S487" s="20">
        <v>1</v>
      </c>
      <c r="T487" s="20" t="s">
        <v>1880</v>
      </c>
      <c r="U487" s="104" t="str">
        <f t="shared" ref="U487:U488" si="394">"item_bg_grade_0"&amp;L487</f>
        <v>item_bg_grade_02</v>
      </c>
      <c r="V487" s="20" t="s">
        <v>326</v>
      </c>
      <c r="W487" s="20" t="s">
        <v>400</v>
      </c>
      <c r="X487" s="104">
        <v>0</v>
      </c>
      <c r="Y487" s="104">
        <v>0</v>
      </c>
      <c r="Z487" s="104">
        <v>0</v>
      </c>
      <c r="AA487" s="104">
        <v>0</v>
      </c>
      <c r="AB487" s="104">
        <v>0</v>
      </c>
      <c r="AC487" s="104">
        <v>0</v>
      </c>
      <c r="AD487" s="142">
        <v>0</v>
      </c>
      <c r="AE487" s="112">
        <f t="shared" si="348"/>
        <v>20</v>
      </c>
      <c r="AF487" s="70">
        <v>2206020</v>
      </c>
      <c r="AG487" s="105" cm="1">
        <f t="array" ref="AG487">_xlfn.SWITCH(L487,3,1,
           4,1,
           5,1,
           6,1,0)</f>
        <v>0</v>
      </c>
      <c r="AH487" s="146">
        <f t="shared" si="389"/>
        <v>80101201</v>
      </c>
      <c r="AI487" s="90">
        <v>6000</v>
      </c>
      <c r="AJ487" s="90">
        <v>3001</v>
      </c>
      <c r="AK487" s="27">
        <v>2006</v>
      </c>
      <c r="AL487" s="123">
        <f>_xlfn.XLOOKUP(H487,'#각종 참고'!$B$11:$B$20,'#각종 참고'!$D$11:$D$20)</f>
        <v>0</v>
      </c>
      <c r="AM487" s="27">
        <v>1</v>
      </c>
      <c r="AN487" s="27">
        <v>1</v>
      </c>
      <c r="AO487" s="124">
        <f t="shared" si="392"/>
        <v>1</v>
      </c>
      <c r="AP487" s="27">
        <v>1</v>
      </c>
      <c r="AQ487" s="21">
        <v>12126011</v>
      </c>
      <c r="AR487" s="21" t="s">
        <v>2547</v>
      </c>
      <c r="AS487" s="68"/>
      <c r="AT487" s="68"/>
      <c r="AU487" s="68"/>
    </row>
    <row r="488" spans="1:47" x14ac:dyDescent="0.3">
      <c r="A488" s="19"/>
      <c r="B488" s="109">
        <v>12126003</v>
      </c>
      <c r="C488" s="99" t="str">
        <f t="shared" si="393"/>
        <v>2</v>
      </c>
      <c r="D488" s="121">
        <f>COUNTIFS($F$33:F488,F488, $G$33:G488,G488, $C$33:C488,C488, $L$33:L488,L488)</f>
        <v>3</v>
      </c>
      <c r="E488" s="20">
        <v>1</v>
      </c>
      <c r="F488" s="20">
        <v>6</v>
      </c>
      <c r="G488" s="20">
        <v>1</v>
      </c>
      <c r="H488" s="103" t="s">
        <v>965</v>
      </c>
      <c r="I488" s="20" t="s">
        <v>1986</v>
      </c>
      <c r="J488" s="104" t="str">
        <f t="shared" si="342"/>
        <v>Item_Name_12126003</v>
      </c>
      <c r="K488" s="20">
        <v>10102001</v>
      </c>
      <c r="L488" s="107">
        <f t="shared" si="347"/>
        <v>2</v>
      </c>
      <c r="M488" s="105">
        <f>IF(D488=0, 0, _xlfn.XLOOKUP($F488,'#무게관련'!$B:$B,'#무게관련'!$C:$C)*_xlfn.XLOOKUP($L488,'#무게관련'!$F:$F,'#무게관련'!$G:$G)*100)</f>
        <v>4000</v>
      </c>
      <c r="N488" s="20">
        <v>20800</v>
      </c>
      <c r="O488" s="20">
        <v>2</v>
      </c>
      <c r="P488" s="20">
        <v>15</v>
      </c>
      <c r="Q488" s="20">
        <v>1</v>
      </c>
      <c r="R488" s="20">
        <v>100</v>
      </c>
      <c r="S488" s="20">
        <v>1</v>
      </c>
      <c r="T488" s="20" t="s">
        <v>1880</v>
      </c>
      <c r="U488" s="104" t="str">
        <f t="shared" si="394"/>
        <v>item_bg_grade_02</v>
      </c>
      <c r="V488" s="20" t="s">
        <v>326</v>
      </c>
      <c r="W488" s="20" t="s">
        <v>400</v>
      </c>
      <c r="X488" s="104">
        <v>0</v>
      </c>
      <c r="Y488" s="104">
        <v>0</v>
      </c>
      <c r="Z488" s="104">
        <v>0</v>
      </c>
      <c r="AA488" s="104">
        <v>0</v>
      </c>
      <c r="AB488" s="104">
        <v>0</v>
      </c>
      <c r="AC488" s="104">
        <v>0</v>
      </c>
      <c r="AD488" s="142">
        <v>0</v>
      </c>
      <c r="AE488" s="112">
        <f t="shared" si="348"/>
        <v>20</v>
      </c>
      <c r="AF488" s="70">
        <v>2206030</v>
      </c>
      <c r="AG488" s="105" cm="1">
        <f t="array" ref="AG488">_xlfn.SWITCH(L488,3,1,
           4,1,
           5,1,
           6,1,0)</f>
        <v>0</v>
      </c>
      <c r="AH488" s="146">
        <f t="shared" si="389"/>
        <v>80101201</v>
      </c>
      <c r="AI488" s="90">
        <v>6000</v>
      </c>
      <c r="AJ488" s="90">
        <v>3001</v>
      </c>
      <c r="AK488" s="27">
        <v>2006</v>
      </c>
      <c r="AL488" s="123">
        <f>_xlfn.XLOOKUP(H488,'#각종 참고'!$B$11:$B$20,'#각종 참고'!$D$11:$D$20)</f>
        <v>0</v>
      </c>
      <c r="AM488" s="27">
        <v>1</v>
      </c>
      <c r="AN488" s="27">
        <v>1</v>
      </c>
      <c r="AO488" s="124">
        <f t="shared" si="392"/>
        <v>1</v>
      </c>
      <c r="AP488" s="27">
        <v>1</v>
      </c>
      <c r="AQ488" s="21">
        <v>12126021</v>
      </c>
      <c r="AR488" s="21" t="s">
        <v>2548</v>
      </c>
      <c r="AS488" s="68"/>
      <c r="AT488" s="68"/>
      <c r="AU488" s="68"/>
    </row>
    <row r="489" spans="1:47" x14ac:dyDescent="0.3">
      <c r="A489" s="19"/>
      <c r="B489" s="109">
        <v>12136001</v>
      </c>
      <c r="C489" s="99" t="str">
        <f t="shared" si="267"/>
        <v>2</v>
      </c>
      <c r="D489" s="121">
        <f>COUNTIFS($F$33:F489,F489, $G$33:G489,G489, $C$33:C489,C489, $L$33:L489,L489)</f>
        <v>1</v>
      </c>
      <c r="E489" s="20">
        <v>1</v>
      </c>
      <c r="F489" s="20">
        <v>6</v>
      </c>
      <c r="G489" s="20">
        <v>1</v>
      </c>
      <c r="H489" s="103" t="s">
        <v>965</v>
      </c>
      <c r="I489" s="20" t="s">
        <v>1563</v>
      </c>
      <c r="J489" s="104" t="str">
        <f t="shared" si="342"/>
        <v>Item_Name_12136001</v>
      </c>
      <c r="K489" s="20">
        <v>10102001</v>
      </c>
      <c r="L489" s="107">
        <f t="shared" si="347"/>
        <v>3</v>
      </c>
      <c r="M489" s="105">
        <f>IF(D489=0, 0, _xlfn.XLOOKUP($F489,'#무게관련'!$B:$B,'#무게관련'!$C:$C)*_xlfn.XLOOKUP($L489,'#무게관련'!$F:$F,'#무게관련'!$G:$G)*100)</f>
        <v>4000</v>
      </c>
      <c r="N489" s="20">
        <v>20800</v>
      </c>
      <c r="O489" s="20">
        <v>2</v>
      </c>
      <c r="P489" s="20">
        <v>15</v>
      </c>
      <c r="Q489" s="20">
        <v>1</v>
      </c>
      <c r="R489" s="20">
        <v>100</v>
      </c>
      <c r="S489" s="20">
        <v>1</v>
      </c>
      <c r="T489" s="20" t="s">
        <v>1881</v>
      </c>
      <c r="U489" s="104" t="str">
        <f t="shared" si="333"/>
        <v>item_bg_grade_03</v>
      </c>
      <c r="V489" s="20" t="s">
        <v>326</v>
      </c>
      <c r="W489" s="20" t="s">
        <v>400</v>
      </c>
      <c r="X489" s="104">
        <v>0</v>
      </c>
      <c r="Y489" s="104">
        <v>0</v>
      </c>
      <c r="Z489" s="104">
        <v>0</v>
      </c>
      <c r="AA489" s="104">
        <v>0</v>
      </c>
      <c r="AB489" s="104">
        <v>0</v>
      </c>
      <c r="AC489" s="104">
        <v>0</v>
      </c>
      <c r="AD489" s="142">
        <v>0</v>
      </c>
      <c r="AE489" s="112">
        <f t="shared" si="348"/>
        <v>30</v>
      </c>
      <c r="AF489" s="70">
        <v>2306010</v>
      </c>
      <c r="AG489" s="105" cm="1">
        <f t="array" ref="AG489">_xlfn.SWITCH(L489,3,1,
           4,1,
           5,1,
           6,1,0)</f>
        <v>1</v>
      </c>
      <c r="AH489" s="146">
        <f t="shared" si="389"/>
        <v>80101301</v>
      </c>
      <c r="AI489" s="90">
        <v>6001</v>
      </c>
      <c r="AJ489" s="90">
        <v>3003</v>
      </c>
      <c r="AK489" s="27">
        <v>3006</v>
      </c>
      <c r="AL489" s="123">
        <f>_xlfn.XLOOKUP(H489,'#각종 참고'!$B$11:$B$20,'#각종 참고'!$D$11:$D$20)</f>
        <v>0</v>
      </c>
      <c r="AM489" s="27">
        <v>1</v>
      </c>
      <c r="AN489" s="27">
        <v>1</v>
      </c>
      <c r="AO489" s="124">
        <f t="shared" si="392"/>
        <v>1</v>
      </c>
      <c r="AP489" s="27">
        <v>1</v>
      </c>
      <c r="AQ489" s="21">
        <v>12136001</v>
      </c>
      <c r="AR489" s="21" t="s">
        <v>1563</v>
      </c>
      <c r="AS489" s="68"/>
      <c r="AT489" s="68"/>
      <c r="AU489" s="68"/>
    </row>
    <row r="490" spans="1:47" x14ac:dyDescent="0.3">
      <c r="A490" s="19"/>
      <c r="B490" s="109">
        <v>12136002</v>
      </c>
      <c r="C490" s="99" t="str">
        <f t="shared" ref="C490:C491" si="395">IF(K490&gt;0,MID(K490,5, 1), 0)</f>
        <v>2</v>
      </c>
      <c r="D490" s="121">
        <f>COUNTIFS($F$33:F490,F490, $G$33:G490,G490, $C$33:C490,C490, $L$33:L490,L490)</f>
        <v>2</v>
      </c>
      <c r="E490" s="20">
        <v>1</v>
      </c>
      <c r="F490" s="20">
        <v>6</v>
      </c>
      <c r="G490" s="20">
        <v>1</v>
      </c>
      <c r="H490" s="103" t="s">
        <v>965</v>
      </c>
      <c r="I490" s="20" t="s">
        <v>1783</v>
      </c>
      <c r="J490" s="104" t="str">
        <f t="shared" si="342"/>
        <v>Item_Name_12136002</v>
      </c>
      <c r="K490" s="20">
        <v>10102001</v>
      </c>
      <c r="L490" s="107">
        <f t="shared" si="347"/>
        <v>3</v>
      </c>
      <c r="M490" s="105">
        <f>IF(D490=0, 0, _xlfn.XLOOKUP($F490,'#무게관련'!$B:$B,'#무게관련'!$C:$C)*_xlfn.XLOOKUP($L490,'#무게관련'!$F:$F,'#무게관련'!$G:$G)*100)</f>
        <v>4000</v>
      </c>
      <c r="N490" s="20">
        <v>20800</v>
      </c>
      <c r="O490" s="20">
        <v>2</v>
      </c>
      <c r="P490" s="20">
        <v>15</v>
      </c>
      <c r="Q490" s="20">
        <v>1</v>
      </c>
      <c r="R490" s="20">
        <v>100</v>
      </c>
      <c r="S490" s="20">
        <v>1</v>
      </c>
      <c r="T490" s="20" t="s">
        <v>1881</v>
      </c>
      <c r="U490" s="104" t="str">
        <f t="shared" ref="U490:U491" si="396">"item_bg_grade_0"&amp;L490</f>
        <v>item_bg_grade_03</v>
      </c>
      <c r="V490" s="20" t="s">
        <v>326</v>
      </c>
      <c r="W490" s="20" t="s">
        <v>400</v>
      </c>
      <c r="X490" s="104">
        <v>0</v>
      </c>
      <c r="Y490" s="104">
        <v>0</v>
      </c>
      <c r="Z490" s="104">
        <v>0</v>
      </c>
      <c r="AA490" s="104">
        <v>0</v>
      </c>
      <c r="AB490" s="104">
        <v>0</v>
      </c>
      <c r="AC490" s="104">
        <v>0</v>
      </c>
      <c r="AD490" s="142">
        <v>0</v>
      </c>
      <c r="AE490" s="112">
        <f t="shared" si="348"/>
        <v>30</v>
      </c>
      <c r="AF490" s="70">
        <v>2306020</v>
      </c>
      <c r="AG490" s="105" cm="1">
        <f t="array" ref="AG490">_xlfn.SWITCH(L490,3,1,
           4,1,
           5,1,
           6,1,0)</f>
        <v>1</v>
      </c>
      <c r="AH490" s="146">
        <f t="shared" si="389"/>
        <v>80101301</v>
      </c>
      <c r="AI490" s="90">
        <v>6001</v>
      </c>
      <c r="AJ490" s="90">
        <v>3003</v>
      </c>
      <c r="AK490" s="27">
        <v>3006</v>
      </c>
      <c r="AL490" s="123">
        <f>_xlfn.XLOOKUP(H490,'#각종 참고'!$B$11:$B$20,'#각종 참고'!$D$11:$D$20)</f>
        <v>0</v>
      </c>
      <c r="AM490" s="27">
        <v>1</v>
      </c>
      <c r="AN490" s="27">
        <v>1</v>
      </c>
      <c r="AO490" s="124">
        <f t="shared" si="392"/>
        <v>1</v>
      </c>
      <c r="AP490" s="27">
        <v>1</v>
      </c>
      <c r="AQ490" s="21">
        <v>12136011</v>
      </c>
      <c r="AR490" s="21" t="s">
        <v>2549</v>
      </c>
      <c r="AS490" s="68"/>
      <c r="AT490" s="68"/>
      <c r="AU490" s="68"/>
    </row>
    <row r="491" spans="1:47" x14ac:dyDescent="0.3">
      <c r="A491" s="19"/>
      <c r="B491" s="109">
        <v>12136003</v>
      </c>
      <c r="C491" s="99" t="str">
        <f t="shared" si="395"/>
        <v>2</v>
      </c>
      <c r="D491" s="121">
        <f>COUNTIFS($F$33:F491,F491, $G$33:G491,G491, $C$33:C491,C491, $L$33:L491,L491)</f>
        <v>3</v>
      </c>
      <c r="E491" s="20">
        <v>1</v>
      </c>
      <c r="F491" s="20">
        <v>6</v>
      </c>
      <c r="G491" s="20">
        <v>1</v>
      </c>
      <c r="H491" s="103" t="s">
        <v>965</v>
      </c>
      <c r="I491" s="20" t="s">
        <v>2199</v>
      </c>
      <c r="J491" s="104" t="str">
        <f t="shared" si="342"/>
        <v>Item_Name_12136003</v>
      </c>
      <c r="K491" s="20">
        <v>10102001</v>
      </c>
      <c r="L491" s="107">
        <f t="shared" si="347"/>
        <v>3</v>
      </c>
      <c r="M491" s="105">
        <f>IF(D491=0, 0, _xlfn.XLOOKUP($F491,'#무게관련'!$B:$B,'#무게관련'!$C:$C)*_xlfn.XLOOKUP($L491,'#무게관련'!$F:$F,'#무게관련'!$G:$G)*100)</f>
        <v>4000</v>
      </c>
      <c r="N491" s="20">
        <v>20800</v>
      </c>
      <c r="O491" s="20">
        <v>2</v>
      </c>
      <c r="P491" s="20">
        <v>15</v>
      </c>
      <c r="Q491" s="20">
        <v>1</v>
      </c>
      <c r="R491" s="20">
        <v>100</v>
      </c>
      <c r="S491" s="20">
        <v>1</v>
      </c>
      <c r="T491" s="20" t="s">
        <v>1881</v>
      </c>
      <c r="U491" s="104" t="str">
        <f t="shared" si="396"/>
        <v>item_bg_grade_03</v>
      </c>
      <c r="V491" s="20" t="s">
        <v>326</v>
      </c>
      <c r="W491" s="20" t="s">
        <v>400</v>
      </c>
      <c r="X491" s="104">
        <v>0</v>
      </c>
      <c r="Y491" s="104">
        <v>0</v>
      </c>
      <c r="Z491" s="104">
        <v>0</v>
      </c>
      <c r="AA491" s="104">
        <v>0</v>
      </c>
      <c r="AB491" s="104">
        <v>0</v>
      </c>
      <c r="AC491" s="104">
        <v>0</v>
      </c>
      <c r="AD491" s="142">
        <v>0</v>
      </c>
      <c r="AE491" s="112">
        <f t="shared" si="348"/>
        <v>30</v>
      </c>
      <c r="AF491" s="70">
        <v>2306030</v>
      </c>
      <c r="AG491" s="105" cm="1">
        <f t="array" ref="AG491">_xlfn.SWITCH(L491,3,1,
           4,1,
           5,1,
           6,1,0)</f>
        <v>1</v>
      </c>
      <c r="AH491" s="146">
        <f t="shared" si="389"/>
        <v>80101301</v>
      </c>
      <c r="AI491" s="90">
        <v>6001</v>
      </c>
      <c r="AJ491" s="90">
        <v>3003</v>
      </c>
      <c r="AK491" s="27">
        <v>3006</v>
      </c>
      <c r="AL491" s="123">
        <f>_xlfn.XLOOKUP(H491,'#각종 참고'!$B$11:$B$20,'#각종 참고'!$D$11:$D$20)</f>
        <v>0</v>
      </c>
      <c r="AM491" s="27">
        <v>1</v>
      </c>
      <c r="AN491" s="27">
        <v>1</v>
      </c>
      <c r="AO491" s="124">
        <f t="shared" si="392"/>
        <v>1</v>
      </c>
      <c r="AP491" s="27">
        <v>1</v>
      </c>
      <c r="AQ491" s="21">
        <v>12136021</v>
      </c>
      <c r="AR491" s="21" t="s">
        <v>2550</v>
      </c>
      <c r="AS491" s="68"/>
      <c r="AT491" s="68"/>
      <c r="AU491" s="68"/>
    </row>
    <row r="492" spans="1:47" x14ac:dyDescent="0.3">
      <c r="A492" s="19"/>
      <c r="B492" s="109">
        <v>12146001</v>
      </c>
      <c r="C492" s="99" t="str">
        <f t="shared" si="267"/>
        <v>2</v>
      </c>
      <c r="D492" s="121">
        <f>COUNTIFS($F$33:F492,F492, $G$33:G492,G492, $C$33:C492,C492, $L$33:L492,L492)</f>
        <v>1</v>
      </c>
      <c r="E492" s="20">
        <v>1</v>
      </c>
      <c r="F492" s="20">
        <v>6</v>
      </c>
      <c r="G492" s="20">
        <v>1</v>
      </c>
      <c r="H492" s="103" t="s">
        <v>965</v>
      </c>
      <c r="I492" s="20" t="s">
        <v>1564</v>
      </c>
      <c r="J492" s="104" t="str">
        <f t="shared" si="342"/>
        <v>Item_Name_12146001</v>
      </c>
      <c r="K492" s="20">
        <v>10102001</v>
      </c>
      <c r="L492" s="107">
        <f t="shared" si="347"/>
        <v>4</v>
      </c>
      <c r="M492" s="105">
        <f>IF(D492=0, 0, _xlfn.XLOOKUP($F492,'#무게관련'!$B:$B,'#무게관련'!$C:$C)*_xlfn.XLOOKUP($L492,'#무게관련'!$F:$F,'#무게관련'!$G:$G)*100)</f>
        <v>4000</v>
      </c>
      <c r="N492" s="20">
        <v>20800</v>
      </c>
      <c r="O492" s="20">
        <v>2</v>
      </c>
      <c r="P492" s="20">
        <v>15</v>
      </c>
      <c r="Q492" s="20">
        <v>1</v>
      </c>
      <c r="R492" s="20">
        <v>100</v>
      </c>
      <c r="S492" s="20">
        <v>1</v>
      </c>
      <c r="T492" s="20" t="s">
        <v>1882</v>
      </c>
      <c r="U492" s="104" t="str">
        <f t="shared" si="333"/>
        <v>item_bg_grade_04</v>
      </c>
      <c r="V492" s="20" t="s">
        <v>326</v>
      </c>
      <c r="W492" s="20" t="s">
        <v>400</v>
      </c>
      <c r="X492" s="104">
        <v>0</v>
      </c>
      <c r="Y492" s="104">
        <v>0</v>
      </c>
      <c r="Z492" s="104">
        <v>0</v>
      </c>
      <c r="AA492" s="104">
        <v>0</v>
      </c>
      <c r="AB492" s="104">
        <v>0</v>
      </c>
      <c r="AC492" s="104">
        <v>0</v>
      </c>
      <c r="AD492" s="142">
        <v>0</v>
      </c>
      <c r="AE492" s="112">
        <f t="shared" si="348"/>
        <v>40</v>
      </c>
      <c r="AF492" s="70">
        <v>2406010</v>
      </c>
      <c r="AG492" s="105" cm="1">
        <f t="array" ref="AG492">_xlfn.SWITCH(L492,3,1,
           4,1,
           5,1,
           6,1,0)</f>
        <v>1</v>
      </c>
      <c r="AH492" s="146">
        <f t="shared" si="389"/>
        <v>80101401</v>
      </c>
      <c r="AI492" s="90">
        <v>6002</v>
      </c>
      <c r="AJ492" s="90">
        <v>3005</v>
      </c>
      <c r="AK492" s="27">
        <v>4006</v>
      </c>
      <c r="AL492" s="123">
        <f>_xlfn.XLOOKUP(H492,'#각종 참고'!$B$11:$B$20,'#각종 참고'!$D$11:$D$20)</f>
        <v>0</v>
      </c>
      <c r="AM492" s="27">
        <v>1</v>
      </c>
      <c r="AN492" s="27">
        <v>1</v>
      </c>
      <c r="AO492" s="124">
        <f t="shared" si="392"/>
        <v>1</v>
      </c>
      <c r="AP492" s="27">
        <v>1</v>
      </c>
      <c r="AQ492" s="21">
        <v>12146001</v>
      </c>
      <c r="AR492" s="21" t="s">
        <v>1564</v>
      </c>
      <c r="AS492" s="68"/>
      <c r="AT492" s="68"/>
      <c r="AU492" s="68"/>
    </row>
    <row r="493" spans="1:47" x14ac:dyDescent="0.3">
      <c r="A493" s="19"/>
      <c r="B493" s="109">
        <v>12146002</v>
      </c>
      <c r="C493" s="99" t="str">
        <f t="shared" ref="C493:C494" si="397">IF(K493&gt;0,MID(K493,5, 1), 0)</f>
        <v>2</v>
      </c>
      <c r="D493" s="121">
        <f>COUNTIFS($F$33:F493,F493, $G$33:G493,G493, $C$33:C493,C493, $L$33:L493,L493)</f>
        <v>2</v>
      </c>
      <c r="E493" s="20">
        <v>1</v>
      </c>
      <c r="F493" s="20">
        <v>6</v>
      </c>
      <c r="G493" s="20">
        <v>1</v>
      </c>
      <c r="H493" s="103" t="s">
        <v>965</v>
      </c>
      <c r="I493" s="20" t="s">
        <v>1784</v>
      </c>
      <c r="J493" s="104" t="str">
        <f t="shared" ref="J493:J556" si="398">"Item_Name_"&amp;$B493</f>
        <v>Item_Name_12146002</v>
      </c>
      <c r="K493" s="20">
        <v>10102001</v>
      </c>
      <c r="L493" s="107">
        <f t="shared" si="347"/>
        <v>4</v>
      </c>
      <c r="M493" s="105">
        <f>IF(D493=0, 0, _xlfn.XLOOKUP($F493,'#무게관련'!$B:$B,'#무게관련'!$C:$C)*_xlfn.XLOOKUP($L493,'#무게관련'!$F:$F,'#무게관련'!$G:$G)*100)</f>
        <v>4000</v>
      </c>
      <c r="N493" s="20">
        <v>20800</v>
      </c>
      <c r="O493" s="20">
        <v>2</v>
      </c>
      <c r="P493" s="20">
        <v>15</v>
      </c>
      <c r="Q493" s="20">
        <v>1</v>
      </c>
      <c r="R493" s="20">
        <v>100</v>
      </c>
      <c r="S493" s="20">
        <v>1</v>
      </c>
      <c r="T493" s="20" t="s">
        <v>1882</v>
      </c>
      <c r="U493" s="104" t="str">
        <f t="shared" ref="U493:U494" si="399">"item_bg_grade_0"&amp;L493</f>
        <v>item_bg_grade_04</v>
      </c>
      <c r="V493" s="20" t="s">
        <v>326</v>
      </c>
      <c r="W493" s="20" t="s">
        <v>400</v>
      </c>
      <c r="X493" s="104">
        <v>0</v>
      </c>
      <c r="Y493" s="104">
        <v>0</v>
      </c>
      <c r="Z493" s="104">
        <v>0</v>
      </c>
      <c r="AA493" s="104">
        <v>0</v>
      </c>
      <c r="AB493" s="104">
        <v>0</v>
      </c>
      <c r="AC493" s="104">
        <v>0</v>
      </c>
      <c r="AD493" s="142">
        <v>0</v>
      </c>
      <c r="AE493" s="112">
        <f t="shared" si="348"/>
        <v>40</v>
      </c>
      <c r="AF493" s="70">
        <v>2406020</v>
      </c>
      <c r="AG493" s="105" cm="1">
        <f t="array" ref="AG493">_xlfn.SWITCH(L493,3,1,
           4,1,
           5,1,
           6,1,0)</f>
        <v>1</v>
      </c>
      <c r="AH493" s="146">
        <f t="shared" si="389"/>
        <v>80101401</v>
      </c>
      <c r="AI493" s="90">
        <v>6002</v>
      </c>
      <c r="AJ493" s="90">
        <v>3005</v>
      </c>
      <c r="AK493" s="27">
        <v>4006</v>
      </c>
      <c r="AL493" s="123">
        <f>_xlfn.XLOOKUP(H493,'#각종 참고'!$B$11:$B$20,'#각종 참고'!$D$11:$D$20)</f>
        <v>0</v>
      </c>
      <c r="AM493" s="27">
        <v>1</v>
      </c>
      <c r="AN493" s="27">
        <v>1</v>
      </c>
      <c r="AO493" s="124">
        <f t="shared" si="392"/>
        <v>1</v>
      </c>
      <c r="AP493" s="27">
        <v>1</v>
      </c>
      <c r="AQ493" s="21">
        <v>12146011</v>
      </c>
      <c r="AR493" s="21" t="s">
        <v>2551</v>
      </c>
      <c r="AS493" s="68"/>
      <c r="AT493" s="68"/>
      <c r="AU493" s="68"/>
    </row>
    <row r="494" spans="1:47" x14ac:dyDescent="0.3">
      <c r="A494" s="19"/>
      <c r="B494" s="109">
        <v>12146003</v>
      </c>
      <c r="C494" s="99" t="str">
        <f t="shared" si="397"/>
        <v>2</v>
      </c>
      <c r="D494" s="121">
        <f>COUNTIFS($F$33:F494,F494, $G$33:G494,G494, $C$33:C494,C494, $L$33:L494,L494)</f>
        <v>3</v>
      </c>
      <c r="E494" s="20">
        <v>1</v>
      </c>
      <c r="F494" s="20">
        <v>6</v>
      </c>
      <c r="G494" s="20">
        <v>1</v>
      </c>
      <c r="H494" s="103" t="s">
        <v>965</v>
      </c>
      <c r="I494" s="20" t="s">
        <v>2002</v>
      </c>
      <c r="J494" s="104" t="str">
        <f t="shared" si="398"/>
        <v>Item_Name_12146003</v>
      </c>
      <c r="K494" s="20">
        <v>10102001</v>
      </c>
      <c r="L494" s="107">
        <f t="shared" si="347"/>
        <v>4</v>
      </c>
      <c r="M494" s="105">
        <f>IF(D494=0, 0, _xlfn.XLOOKUP($F494,'#무게관련'!$B:$B,'#무게관련'!$C:$C)*_xlfn.XLOOKUP($L494,'#무게관련'!$F:$F,'#무게관련'!$G:$G)*100)</f>
        <v>4000</v>
      </c>
      <c r="N494" s="20">
        <v>20800</v>
      </c>
      <c r="O494" s="20">
        <v>2</v>
      </c>
      <c r="P494" s="20">
        <v>15</v>
      </c>
      <c r="Q494" s="20">
        <v>1</v>
      </c>
      <c r="R494" s="20">
        <v>100</v>
      </c>
      <c r="S494" s="20">
        <v>1</v>
      </c>
      <c r="T494" s="20" t="s">
        <v>1882</v>
      </c>
      <c r="U494" s="104" t="str">
        <f t="shared" si="399"/>
        <v>item_bg_grade_04</v>
      </c>
      <c r="V494" s="20" t="s">
        <v>326</v>
      </c>
      <c r="W494" s="20" t="s">
        <v>400</v>
      </c>
      <c r="X494" s="104">
        <v>0</v>
      </c>
      <c r="Y494" s="104">
        <v>0</v>
      </c>
      <c r="Z494" s="104">
        <v>0</v>
      </c>
      <c r="AA494" s="104">
        <v>0</v>
      </c>
      <c r="AB494" s="104">
        <v>0</v>
      </c>
      <c r="AC494" s="104">
        <v>0</v>
      </c>
      <c r="AD494" s="142">
        <v>0</v>
      </c>
      <c r="AE494" s="112">
        <f t="shared" si="348"/>
        <v>40</v>
      </c>
      <c r="AF494" s="70">
        <v>2406030</v>
      </c>
      <c r="AG494" s="105" cm="1">
        <f t="array" ref="AG494">_xlfn.SWITCH(L494,3,1,
           4,1,
           5,1,
           6,1,0)</f>
        <v>1</v>
      </c>
      <c r="AH494" s="146">
        <f t="shared" si="389"/>
        <v>80101401</v>
      </c>
      <c r="AI494" s="90">
        <v>6002</v>
      </c>
      <c r="AJ494" s="90">
        <v>3005</v>
      </c>
      <c r="AK494" s="27">
        <v>4006</v>
      </c>
      <c r="AL494" s="123">
        <f>_xlfn.XLOOKUP(H494,'#각종 참고'!$B$11:$B$20,'#각종 참고'!$D$11:$D$20)</f>
        <v>0</v>
      </c>
      <c r="AM494" s="27">
        <v>1</v>
      </c>
      <c r="AN494" s="27">
        <v>1</v>
      </c>
      <c r="AO494" s="124">
        <f t="shared" si="392"/>
        <v>1</v>
      </c>
      <c r="AP494" s="27">
        <v>1</v>
      </c>
      <c r="AQ494" s="21">
        <v>12146021</v>
      </c>
      <c r="AR494" s="21" t="s">
        <v>2552</v>
      </c>
      <c r="AS494" s="68"/>
      <c r="AT494" s="68"/>
      <c r="AU494" s="68"/>
    </row>
    <row r="495" spans="1:47" x14ac:dyDescent="0.3">
      <c r="A495" s="19"/>
      <c r="B495" s="109">
        <v>12156001</v>
      </c>
      <c r="C495" s="99" t="str">
        <f t="shared" ref="C495:C498" si="400">IF(K495&gt;0,MID(K495,5, 1), 0)</f>
        <v>2</v>
      </c>
      <c r="D495" s="121">
        <f>COUNTIFS($F$33:F495,F495, $G$33:G495,G495, $C$33:C495,C495, $L$33:L495,L495)</f>
        <v>1</v>
      </c>
      <c r="E495" s="20">
        <v>1</v>
      </c>
      <c r="F495" s="20">
        <v>6</v>
      </c>
      <c r="G495" s="20">
        <v>1</v>
      </c>
      <c r="H495" s="103" t="s">
        <v>965</v>
      </c>
      <c r="I495" s="20" t="s">
        <v>1785</v>
      </c>
      <c r="J495" s="104" t="str">
        <f t="shared" si="398"/>
        <v>Item_Name_12156001</v>
      </c>
      <c r="K495" s="20">
        <v>10102001</v>
      </c>
      <c r="L495" s="107">
        <f t="shared" si="347"/>
        <v>5</v>
      </c>
      <c r="M495" s="105">
        <f>IF(D495=0, 0, _xlfn.XLOOKUP($F495,'#무게관련'!$B:$B,'#무게관련'!$C:$C)*_xlfn.XLOOKUP($L495,'#무게관련'!$F:$F,'#무게관련'!$G:$G)*100)</f>
        <v>4000</v>
      </c>
      <c r="N495" s="20">
        <v>20800</v>
      </c>
      <c r="O495" s="20">
        <v>2</v>
      </c>
      <c r="P495" s="20">
        <v>15</v>
      </c>
      <c r="Q495" s="20">
        <v>1</v>
      </c>
      <c r="R495" s="20">
        <v>100</v>
      </c>
      <c r="S495" s="20">
        <v>1</v>
      </c>
      <c r="T495" s="20" t="s">
        <v>1883</v>
      </c>
      <c r="U495" s="104" t="str">
        <f t="shared" ref="U495:U498" si="401">"item_bg_grade_0"&amp;L495</f>
        <v>item_bg_grade_05</v>
      </c>
      <c r="V495" s="20" t="s">
        <v>326</v>
      </c>
      <c r="W495" s="20" t="s">
        <v>400</v>
      </c>
      <c r="X495" s="104">
        <v>0</v>
      </c>
      <c r="Y495" s="104">
        <v>0</v>
      </c>
      <c r="Z495" s="104">
        <v>0</v>
      </c>
      <c r="AA495" s="104">
        <v>0</v>
      </c>
      <c r="AB495" s="104">
        <v>0</v>
      </c>
      <c r="AC495" s="104">
        <v>0</v>
      </c>
      <c r="AD495" s="142">
        <v>0</v>
      </c>
      <c r="AE495" s="112">
        <f t="shared" si="348"/>
        <v>50</v>
      </c>
      <c r="AF495" s="70">
        <v>2506010</v>
      </c>
      <c r="AG495" s="105" cm="1">
        <f t="array" ref="AG495">_xlfn.SWITCH(L495,3,1,
           4,1,
           5,1,
           6,1,0)</f>
        <v>1</v>
      </c>
      <c r="AH495" s="146">
        <f t="shared" si="389"/>
        <v>80101501</v>
      </c>
      <c r="AI495" s="90">
        <v>6003</v>
      </c>
      <c r="AJ495" s="90">
        <v>3007</v>
      </c>
      <c r="AK495" s="27">
        <v>5006</v>
      </c>
      <c r="AL495" s="123">
        <f>_xlfn.XLOOKUP(H495,'#각종 참고'!$B$11:$B$20,'#각종 참고'!$D$11:$D$20)</f>
        <v>0</v>
      </c>
      <c r="AM495" s="27">
        <v>1</v>
      </c>
      <c r="AN495" s="27">
        <v>1</v>
      </c>
      <c r="AO495" s="124">
        <f t="shared" si="392"/>
        <v>1</v>
      </c>
      <c r="AP495" s="27">
        <v>1</v>
      </c>
      <c r="AQ495" s="21">
        <v>12156001</v>
      </c>
      <c r="AR495" s="21" t="s">
        <v>1785</v>
      </c>
      <c r="AS495" s="68"/>
      <c r="AT495" s="68"/>
      <c r="AU495" s="68"/>
    </row>
    <row r="496" spans="1:47" x14ac:dyDescent="0.3">
      <c r="A496" s="19"/>
      <c r="B496" s="109">
        <v>12156002</v>
      </c>
      <c r="C496" s="99" t="str">
        <f t="shared" ref="C496:C497" si="402">IF(K496&gt;0,MID(K496,5, 1), 0)</f>
        <v>2</v>
      </c>
      <c r="D496" s="121">
        <f>COUNTIFS($F$33:F496,F496, $G$33:G496,G496, $C$33:C496,C496, $L$33:L496,L496)</f>
        <v>2</v>
      </c>
      <c r="E496" s="20">
        <v>1</v>
      </c>
      <c r="F496" s="20">
        <v>6</v>
      </c>
      <c r="G496" s="20">
        <v>1</v>
      </c>
      <c r="H496" s="103" t="s">
        <v>965</v>
      </c>
      <c r="I496" s="20" t="s">
        <v>2200</v>
      </c>
      <c r="J496" s="104" t="str">
        <f t="shared" si="398"/>
        <v>Item_Name_12156002</v>
      </c>
      <c r="K496" s="20">
        <v>10102001</v>
      </c>
      <c r="L496" s="107">
        <f t="shared" si="347"/>
        <v>5</v>
      </c>
      <c r="M496" s="105">
        <f>IF(D496=0, 0, _xlfn.XLOOKUP($F496,'#무게관련'!$B:$B,'#무게관련'!$C:$C)*_xlfn.XLOOKUP($L496,'#무게관련'!$F:$F,'#무게관련'!$G:$G)*100)</f>
        <v>4000</v>
      </c>
      <c r="N496" s="20">
        <v>20800</v>
      </c>
      <c r="O496" s="20">
        <v>2</v>
      </c>
      <c r="P496" s="20">
        <v>15</v>
      </c>
      <c r="Q496" s="20">
        <v>1</v>
      </c>
      <c r="R496" s="20">
        <v>100</v>
      </c>
      <c r="S496" s="20">
        <v>1</v>
      </c>
      <c r="T496" s="20" t="s">
        <v>1883</v>
      </c>
      <c r="U496" s="104" t="str">
        <f t="shared" ref="U496:U497" si="403">"item_bg_grade_0"&amp;L496</f>
        <v>item_bg_grade_05</v>
      </c>
      <c r="V496" s="20" t="s">
        <v>326</v>
      </c>
      <c r="W496" s="20" t="s">
        <v>400</v>
      </c>
      <c r="X496" s="104">
        <v>0</v>
      </c>
      <c r="Y496" s="104">
        <v>0</v>
      </c>
      <c r="Z496" s="104">
        <v>0</v>
      </c>
      <c r="AA496" s="104">
        <v>0</v>
      </c>
      <c r="AB496" s="104">
        <v>0</v>
      </c>
      <c r="AC496" s="104">
        <v>0</v>
      </c>
      <c r="AD496" s="142">
        <v>0</v>
      </c>
      <c r="AE496" s="112">
        <f t="shared" si="348"/>
        <v>50</v>
      </c>
      <c r="AF496" s="70">
        <v>2506020</v>
      </c>
      <c r="AG496" s="105" cm="1">
        <f t="array" ref="AG496">_xlfn.SWITCH(L496,3,1,
           4,1,
           5,1,
           6,1,0)</f>
        <v>1</v>
      </c>
      <c r="AH496" s="146">
        <f t="shared" si="389"/>
        <v>80101501</v>
      </c>
      <c r="AI496" s="90">
        <v>6003</v>
      </c>
      <c r="AJ496" s="90">
        <v>3007</v>
      </c>
      <c r="AK496" s="27">
        <v>5006</v>
      </c>
      <c r="AL496" s="123">
        <f>_xlfn.XLOOKUP(H496,'#각종 참고'!$B$11:$B$20,'#각종 참고'!$D$11:$D$20)</f>
        <v>0</v>
      </c>
      <c r="AM496" s="27">
        <v>1</v>
      </c>
      <c r="AN496" s="27">
        <v>1</v>
      </c>
      <c r="AO496" s="124">
        <f t="shared" si="392"/>
        <v>1</v>
      </c>
      <c r="AP496" s="27">
        <v>1</v>
      </c>
      <c r="AQ496" s="21">
        <v>12156011</v>
      </c>
      <c r="AR496" s="21" t="s">
        <v>2553</v>
      </c>
      <c r="AS496" s="68"/>
      <c r="AT496" s="68"/>
      <c r="AU496" s="68"/>
    </row>
    <row r="497" spans="1:47" x14ac:dyDescent="0.3">
      <c r="A497" s="19"/>
      <c r="B497" s="109">
        <v>12156003</v>
      </c>
      <c r="C497" s="99" t="str">
        <f t="shared" si="402"/>
        <v>2</v>
      </c>
      <c r="D497" s="121">
        <f>COUNTIFS($F$33:F497,F497, $G$33:G497,G497, $C$33:C497,C497, $L$33:L497,L497)</f>
        <v>3</v>
      </c>
      <c r="E497" s="20">
        <v>1</v>
      </c>
      <c r="F497" s="20">
        <v>6</v>
      </c>
      <c r="G497" s="20">
        <v>1</v>
      </c>
      <c r="H497" s="103" t="s">
        <v>965</v>
      </c>
      <c r="I497" s="20" t="s">
        <v>1786</v>
      </c>
      <c r="J497" s="104" t="str">
        <f t="shared" si="398"/>
        <v>Item_Name_12156003</v>
      </c>
      <c r="K497" s="20">
        <v>10102001</v>
      </c>
      <c r="L497" s="107">
        <f t="shared" si="347"/>
        <v>5</v>
      </c>
      <c r="M497" s="105">
        <f>IF(D497=0, 0, _xlfn.XLOOKUP($F497,'#무게관련'!$B:$B,'#무게관련'!$C:$C)*_xlfn.XLOOKUP($L497,'#무게관련'!$F:$F,'#무게관련'!$G:$G)*100)</f>
        <v>4000</v>
      </c>
      <c r="N497" s="20">
        <v>20800</v>
      </c>
      <c r="O497" s="20">
        <v>2</v>
      </c>
      <c r="P497" s="20">
        <v>15</v>
      </c>
      <c r="Q497" s="20">
        <v>1</v>
      </c>
      <c r="R497" s="20">
        <v>100</v>
      </c>
      <c r="S497" s="20">
        <v>1</v>
      </c>
      <c r="T497" s="20" t="s">
        <v>1883</v>
      </c>
      <c r="U497" s="104" t="str">
        <f t="shared" si="403"/>
        <v>item_bg_grade_05</v>
      </c>
      <c r="V497" s="20" t="s">
        <v>326</v>
      </c>
      <c r="W497" s="20" t="s">
        <v>400</v>
      </c>
      <c r="X497" s="104">
        <v>0</v>
      </c>
      <c r="Y497" s="104">
        <v>0</v>
      </c>
      <c r="Z497" s="104">
        <v>0</v>
      </c>
      <c r="AA497" s="104">
        <v>0</v>
      </c>
      <c r="AB497" s="104">
        <v>0</v>
      </c>
      <c r="AC497" s="104">
        <v>0</v>
      </c>
      <c r="AD497" s="142">
        <v>0</v>
      </c>
      <c r="AE497" s="112">
        <f t="shared" si="348"/>
        <v>50</v>
      </c>
      <c r="AF497" s="70">
        <v>2506030</v>
      </c>
      <c r="AG497" s="105" cm="1">
        <f t="array" ref="AG497">_xlfn.SWITCH(L497,3,1,
           4,1,
           5,1,
           6,1,0)</f>
        <v>1</v>
      </c>
      <c r="AH497" s="146">
        <f t="shared" si="389"/>
        <v>80101501</v>
      </c>
      <c r="AI497" s="90">
        <v>6003</v>
      </c>
      <c r="AJ497" s="90">
        <v>3007</v>
      </c>
      <c r="AK497" s="27">
        <v>5006</v>
      </c>
      <c r="AL497" s="123">
        <f>_xlfn.XLOOKUP(H497,'#각종 참고'!$B$11:$B$20,'#각종 참고'!$D$11:$D$20)</f>
        <v>0</v>
      </c>
      <c r="AM497" s="27">
        <v>1</v>
      </c>
      <c r="AN497" s="27">
        <v>1</v>
      </c>
      <c r="AO497" s="124">
        <f t="shared" si="392"/>
        <v>1</v>
      </c>
      <c r="AP497" s="27">
        <v>1</v>
      </c>
      <c r="AQ497" s="21">
        <v>12156021</v>
      </c>
      <c r="AR497" s="21" t="s">
        <v>2554</v>
      </c>
      <c r="AS497" s="68"/>
      <c r="AT497" s="68"/>
      <c r="AU497" s="68"/>
    </row>
    <row r="498" spans="1:47" x14ac:dyDescent="0.3">
      <c r="A498" s="19"/>
      <c r="B498" s="109">
        <v>12166001</v>
      </c>
      <c r="C498" s="99" t="str">
        <f t="shared" si="400"/>
        <v>2</v>
      </c>
      <c r="D498" s="121">
        <f>COUNTIFS($F$33:F498,F498, $G$33:G498,G498, $C$33:C498,C498, $L$33:L498,L498)</f>
        <v>1</v>
      </c>
      <c r="E498" s="20">
        <v>1</v>
      </c>
      <c r="F498" s="20">
        <v>6</v>
      </c>
      <c r="G498" s="20">
        <v>1</v>
      </c>
      <c r="H498" s="103" t="s">
        <v>965</v>
      </c>
      <c r="I498" s="20" t="s">
        <v>1787</v>
      </c>
      <c r="J498" s="104" t="str">
        <f t="shared" si="398"/>
        <v>Item_Name_12166001</v>
      </c>
      <c r="K498" s="20">
        <v>10102001</v>
      </c>
      <c r="L498" s="107">
        <f t="shared" si="347"/>
        <v>6</v>
      </c>
      <c r="M498" s="105">
        <f>IF(D498=0, 0, _xlfn.XLOOKUP($F498,'#무게관련'!$B:$B,'#무게관련'!$C:$C)*_xlfn.XLOOKUP($L498,'#무게관련'!$F:$F,'#무게관련'!$G:$G)*100)</f>
        <v>4000</v>
      </c>
      <c r="N498" s="20">
        <v>20800</v>
      </c>
      <c r="O498" s="20">
        <v>2</v>
      </c>
      <c r="P498" s="20">
        <v>15</v>
      </c>
      <c r="Q498" s="20">
        <v>1</v>
      </c>
      <c r="R498" s="20">
        <v>100</v>
      </c>
      <c r="S498" s="20">
        <v>1</v>
      </c>
      <c r="T498" s="109" t="s">
        <v>1883</v>
      </c>
      <c r="U498" s="104" t="str">
        <f t="shared" si="401"/>
        <v>item_bg_grade_06</v>
      </c>
      <c r="V498" s="20" t="s">
        <v>326</v>
      </c>
      <c r="W498" s="20" t="s">
        <v>400</v>
      </c>
      <c r="X498" s="104">
        <v>0</v>
      </c>
      <c r="Y498" s="104">
        <v>0</v>
      </c>
      <c r="Z498" s="104">
        <v>0</v>
      </c>
      <c r="AA498" s="104">
        <v>0</v>
      </c>
      <c r="AB498" s="104">
        <v>0</v>
      </c>
      <c r="AC498" s="104">
        <v>0</v>
      </c>
      <c r="AD498" s="142">
        <v>0</v>
      </c>
      <c r="AE498" s="112">
        <f t="shared" si="348"/>
        <v>70</v>
      </c>
      <c r="AF498" s="70">
        <v>2606010</v>
      </c>
      <c r="AG498" s="105" cm="1">
        <f t="array" ref="AG498">_xlfn.SWITCH(L498,3,1,
           4,1,
           5,1,
           6,1,0)</f>
        <v>1</v>
      </c>
      <c r="AH498" s="146">
        <f t="shared" si="389"/>
        <v>0</v>
      </c>
      <c r="AI498" s="90">
        <v>6004</v>
      </c>
      <c r="AJ498" s="90">
        <v>3009</v>
      </c>
      <c r="AK498" s="27">
        <v>6006</v>
      </c>
      <c r="AL498" s="123">
        <f>_xlfn.XLOOKUP(H498,'#각종 참고'!$B$11:$B$20,'#각종 참고'!$D$11:$D$20)</f>
        <v>0</v>
      </c>
      <c r="AM498" s="27">
        <v>1</v>
      </c>
      <c r="AN498" s="27">
        <v>1</v>
      </c>
      <c r="AO498" s="124">
        <f t="shared" si="392"/>
        <v>1</v>
      </c>
      <c r="AP498" s="27">
        <v>1</v>
      </c>
      <c r="AQ498" s="21">
        <v>12166001</v>
      </c>
      <c r="AR498" s="21" t="s">
        <v>1787</v>
      </c>
      <c r="AS498" s="68"/>
      <c r="AT498" s="68"/>
      <c r="AU498" s="68"/>
    </row>
    <row r="499" spans="1:47" x14ac:dyDescent="0.3">
      <c r="A499" s="19" t="s">
        <v>513</v>
      </c>
      <c r="B499" s="109">
        <v>12166002</v>
      </c>
      <c r="C499" s="99" t="str">
        <f t="shared" ref="C499:C500" si="404">IF(K499&gt;0,MID(K499,5, 1), 0)</f>
        <v>2</v>
      </c>
      <c r="D499" s="121">
        <f>COUNTIFS($F$33:F499,F499, $G$33:G499,G499, $C$33:C499,C499, $L$33:L499,L499)</f>
        <v>2</v>
      </c>
      <c r="E499" s="20">
        <v>1</v>
      </c>
      <c r="F499" s="20">
        <v>6</v>
      </c>
      <c r="G499" s="20">
        <v>1</v>
      </c>
      <c r="H499" s="103" t="s">
        <v>965</v>
      </c>
      <c r="I499" s="20" t="s">
        <v>2202</v>
      </c>
      <c r="J499" s="104" t="str">
        <f t="shared" si="398"/>
        <v>Item_Name_12166002</v>
      </c>
      <c r="K499" s="20">
        <v>10102001</v>
      </c>
      <c r="L499" s="107">
        <f t="shared" ref="L499:L562" si="405">L481</f>
        <v>6</v>
      </c>
      <c r="M499" s="105">
        <f>IF(D499=0, 0, _xlfn.XLOOKUP($F499,'#무게관련'!$B:$B,'#무게관련'!$C:$C)*_xlfn.XLOOKUP($L499,'#무게관련'!$F:$F,'#무게관련'!$G:$G)*100)</f>
        <v>4000</v>
      </c>
      <c r="N499" s="20">
        <v>20800</v>
      </c>
      <c r="O499" s="20">
        <v>2</v>
      </c>
      <c r="P499" s="20">
        <v>15</v>
      </c>
      <c r="Q499" s="20">
        <v>1</v>
      </c>
      <c r="R499" s="20">
        <v>100</v>
      </c>
      <c r="S499" s="20">
        <v>1</v>
      </c>
      <c r="T499" s="109" t="s">
        <v>1883</v>
      </c>
      <c r="U499" s="104" t="str">
        <f t="shared" ref="U499:U500" si="406">"item_bg_grade_0"&amp;L499</f>
        <v>item_bg_grade_06</v>
      </c>
      <c r="V499" s="20" t="s">
        <v>326</v>
      </c>
      <c r="W499" s="20" t="s">
        <v>400</v>
      </c>
      <c r="X499" s="104">
        <v>0</v>
      </c>
      <c r="Y499" s="104">
        <v>0</v>
      </c>
      <c r="Z499" s="104">
        <v>0</v>
      </c>
      <c r="AA499" s="104">
        <v>0</v>
      </c>
      <c r="AB499" s="104">
        <v>0</v>
      </c>
      <c r="AC499" s="104">
        <v>0</v>
      </c>
      <c r="AD499" s="142">
        <v>0</v>
      </c>
      <c r="AE499" s="112">
        <f t="shared" ref="AE499:AE562" si="407">AE481</f>
        <v>70</v>
      </c>
      <c r="AF499" s="70">
        <v>2606010</v>
      </c>
      <c r="AG499" s="105" cm="1">
        <f t="array" ref="AG499">_xlfn.SWITCH(L499,3,1,
           4,1,
           5,1,
           6,1,0)</f>
        <v>1</v>
      </c>
      <c r="AH499" s="146">
        <f t="shared" si="389"/>
        <v>0</v>
      </c>
      <c r="AI499" s="90">
        <v>6004</v>
      </c>
      <c r="AJ499" s="90">
        <v>3009</v>
      </c>
      <c r="AK499" s="27">
        <v>6006</v>
      </c>
      <c r="AL499" s="123">
        <f>_xlfn.XLOOKUP(H499,'#각종 참고'!$B$11:$B$20,'#각종 참고'!$D$11:$D$20)</f>
        <v>0</v>
      </c>
      <c r="AM499" s="27">
        <v>1</v>
      </c>
      <c r="AN499" s="27">
        <v>1</v>
      </c>
      <c r="AO499" s="124">
        <f t="shared" si="392"/>
        <v>1</v>
      </c>
      <c r="AP499" s="27">
        <v>1</v>
      </c>
      <c r="AQ499" s="21">
        <v>12166011</v>
      </c>
      <c r="AR499" s="21" t="s">
        <v>2555</v>
      </c>
      <c r="AS499" s="68"/>
      <c r="AT499" s="68"/>
      <c r="AU499" s="68"/>
    </row>
    <row r="500" spans="1:47" x14ac:dyDescent="0.3">
      <c r="A500" s="19" t="s">
        <v>513</v>
      </c>
      <c r="B500" s="109">
        <v>12166003</v>
      </c>
      <c r="C500" s="99" t="str">
        <f t="shared" si="404"/>
        <v>2</v>
      </c>
      <c r="D500" s="121">
        <f>COUNTIFS($F$33:F500,F500, $G$33:G500,G500, $C$33:C500,C500, $L$33:L500,L500)</f>
        <v>3</v>
      </c>
      <c r="E500" s="20">
        <v>1</v>
      </c>
      <c r="F500" s="20">
        <v>6</v>
      </c>
      <c r="G500" s="20">
        <v>1</v>
      </c>
      <c r="H500" s="103" t="s">
        <v>965</v>
      </c>
      <c r="I500" s="20" t="s">
        <v>2201</v>
      </c>
      <c r="J500" s="104" t="str">
        <f t="shared" si="398"/>
        <v>Item_Name_12166003</v>
      </c>
      <c r="K500" s="20">
        <v>10102001</v>
      </c>
      <c r="L500" s="107">
        <f t="shared" si="405"/>
        <v>6</v>
      </c>
      <c r="M500" s="105">
        <f>IF(D500=0, 0, _xlfn.XLOOKUP($F500,'#무게관련'!$B:$B,'#무게관련'!$C:$C)*_xlfn.XLOOKUP($L500,'#무게관련'!$F:$F,'#무게관련'!$G:$G)*100)</f>
        <v>4000</v>
      </c>
      <c r="N500" s="20">
        <v>20800</v>
      </c>
      <c r="O500" s="20">
        <v>2</v>
      </c>
      <c r="P500" s="20">
        <v>15</v>
      </c>
      <c r="Q500" s="20">
        <v>1</v>
      </c>
      <c r="R500" s="20">
        <v>100</v>
      </c>
      <c r="S500" s="20">
        <v>1</v>
      </c>
      <c r="T500" s="109" t="s">
        <v>1883</v>
      </c>
      <c r="U500" s="104" t="str">
        <f t="shared" si="406"/>
        <v>item_bg_grade_06</v>
      </c>
      <c r="V500" s="20" t="s">
        <v>326</v>
      </c>
      <c r="W500" s="20" t="s">
        <v>400</v>
      </c>
      <c r="X500" s="104">
        <v>0</v>
      </c>
      <c r="Y500" s="104">
        <v>0</v>
      </c>
      <c r="Z500" s="104">
        <v>0</v>
      </c>
      <c r="AA500" s="104">
        <v>0</v>
      </c>
      <c r="AB500" s="104">
        <v>0</v>
      </c>
      <c r="AC500" s="104">
        <v>0</v>
      </c>
      <c r="AD500" s="142">
        <v>0</v>
      </c>
      <c r="AE500" s="112">
        <f t="shared" si="407"/>
        <v>70</v>
      </c>
      <c r="AF500" s="70">
        <v>2606010</v>
      </c>
      <c r="AG500" s="105" cm="1">
        <f t="array" ref="AG500">_xlfn.SWITCH(L500,3,1,
           4,1,
           5,1,
           6,1,0)</f>
        <v>1</v>
      </c>
      <c r="AH500" s="146">
        <f t="shared" si="389"/>
        <v>0</v>
      </c>
      <c r="AI500" s="90">
        <v>6004</v>
      </c>
      <c r="AJ500" s="90">
        <v>3009</v>
      </c>
      <c r="AK500" s="27">
        <v>6006</v>
      </c>
      <c r="AL500" s="123">
        <f>_xlfn.XLOOKUP(H500,'#각종 참고'!$B$11:$B$20,'#각종 참고'!$D$11:$D$20)</f>
        <v>0</v>
      </c>
      <c r="AM500" s="27">
        <v>1</v>
      </c>
      <c r="AN500" s="27">
        <v>1</v>
      </c>
      <c r="AO500" s="124">
        <f t="shared" si="392"/>
        <v>1</v>
      </c>
      <c r="AP500" s="27">
        <v>1</v>
      </c>
      <c r="AQ500" s="21">
        <v>12166021</v>
      </c>
      <c r="AR500" s="21" t="s">
        <v>2556</v>
      </c>
      <c r="AS500" s="68"/>
      <c r="AT500" s="68"/>
      <c r="AU500" s="68"/>
    </row>
    <row r="501" spans="1:47" s="68" customFormat="1" x14ac:dyDescent="0.3">
      <c r="A501" s="65"/>
      <c r="B501" s="110">
        <v>13116001</v>
      </c>
      <c r="C501" s="99" t="str">
        <f t="shared" si="267"/>
        <v>3</v>
      </c>
      <c r="D501" s="120">
        <f>COUNTIFS($F$33:F501,F501, $G$33:G501,G501, $C$33:C501,C501, $L$33:L501,L501)</f>
        <v>1</v>
      </c>
      <c r="E501" s="20">
        <v>1</v>
      </c>
      <c r="F501" s="66">
        <v>6</v>
      </c>
      <c r="G501" s="66">
        <v>1</v>
      </c>
      <c r="H501" s="103" t="s">
        <v>965</v>
      </c>
      <c r="I501" s="66" t="s">
        <v>1788</v>
      </c>
      <c r="J501" s="104" t="str">
        <f t="shared" si="398"/>
        <v>Item_Name_13116001</v>
      </c>
      <c r="K501" s="66">
        <v>10103001</v>
      </c>
      <c r="L501" s="106">
        <f t="shared" si="405"/>
        <v>1</v>
      </c>
      <c r="M501" s="105">
        <f>IF(D501=0, 0, _xlfn.XLOOKUP($F501,'#무게관련'!$B:$B,'#무게관련'!$C:$C)*_xlfn.XLOOKUP($L501,'#무게관련'!$F:$F,'#무게관련'!$G:$G)*100)</f>
        <v>4000</v>
      </c>
      <c r="N501" s="20">
        <v>20800</v>
      </c>
      <c r="O501" s="20">
        <v>3</v>
      </c>
      <c r="P501" s="66">
        <v>15</v>
      </c>
      <c r="Q501" s="20">
        <v>1</v>
      </c>
      <c r="R501" s="66">
        <v>100</v>
      </c>
      <c r="S501" s="66">
        <v>1</v>
      </c>
      <c r="T501" s="66" t="s">
        <v>1879</v>
      </c>
      <c r="U501" s="104" t="str">
        <f t="shared" si="333"/>
        <v>item_bg_grade_01</v>
      </c>
      <c r="V501" s="66" t="s">
        <v>326</v>
      </c>
      <c r="W501" s="66" t="s">
        <v>400</v>
      </c>
      <c r="X501" s="104">
        <v>0</v>
      </c>
      <c r="Y501" s="104">
        <v>0</v>
      </c>
      <c r="Z501" s="104">
        <v>0</v>
      </c>
      <c r="AA501" s="104">
        <v>0</v>
      </c>
      <c r="AB501" s="104">
        <v>0</v>
      </c>
      <c r="AC501" s="104">
        <v>0</v>
      </c>
      <c r="AD501" s="142">
        <v>0</v>
      </c>
      <c r="AE501" s="111">
        <f t="shared" si="407"/>
        <v>10</v>
      </c>
      <c r="AF501" s="70">
        <v>3106010</v>
      </c>
      <c r="AG501" s="105" cm="1">
        <f t="array" ref="AG501">_xlfn.SWITCH(L501,3,1,
           4,1,
           5,1,
           6,1,0)</f>
        <v>0</v>
      </c>
      <c r="AH501" s="146">
        <f t="shared" si="389"/>
        <v>80101101</v>
      </c>
      <c r="AI501" s="90">
        <v>0</v>
      </c>
      <c r="AJ501" s="90">
        <v>0</v>
      </c>
      <c r="AK501" s="27">
        <v>0</v>
      </c>
      <c r="AL501" s="123">
        <f>_xlfn.XLOOKUP(H501,'#각종 참고'!$B$11:$B$20,'#각종 참고'!$D$11:$D$20)</f>
        <v>0</v>
      </c>
      <c r="AM501" s="27">
        <v>1</v>
      </c>
      <c r="AN501" s="27">
        <v>1</v>
      </c>
      <c r="AO501" s="124">
        <f t="shared" si="392"/>
        <v>1</v>
      </c>
      <c r="AP501" s="27">
        <v>1</v>
      </c>
      <c r="AQ501" s="21">
        <v>13116001</v>
      </c>
      <c r="AR501" s="68" t="s">
        <v>1788</v>
      </c>
    </row>
    <row r="502" spans="1:47" s="68" customFormat="1" x14ac:dyDescent="0.3">
      <c r="A502" s="65"/>
      <c r="B502" s="110">
        <v>13116002</v>
      </c>
      <c r="C502" s="99" t="str">
        <f t="shared" ref="C502:C503" si="408">IF(K502&gt;0,MID(K502,5, 1), 0)</f>
        <v>3</v>
      </c>
      <c r="D502" s="120">
        <f>COUNTIFS($F$33:F502,F502, $G$33:G502,G502, $C$33:C502,C502, $L$33:L502,L502)</f>
        <v>2</v>
      </c>
      <c r="E502" s="20">
        <v>1</v>
      </c>
      <c r="F502" s="66">
        <v>6</v>
      </c>
      <c r="G502" s="66">
        <v>1</v>
      </c>
      <c r="H502" s="103" t="s">
        <v>965</v>
      </c>
      <c r="I502" s="66" t="s">
        <v>2204</v>
      </c>
      <c r="J502" s="104" t="str">
        <f t="shared" si="398"/>
        <v>Item_Name_13116002</v>
      </c>
      <c r="K502" s="66">
        <v>10103001</v>
      </c>
      <c r="L502" s="106">
        <f t="shared" si="405"/>
        <v>1</v>
      </c>
      <c r="M502" s="105">
        <f>IF(D502=0, 0, _xlfn.XLOOKUP($F502,'#무게관련'!$B:$B,'#무게관련'!$C:$C)*_xlfn.XLOOKUP($L502,'#무게관련'!$F:$F,'#무게관련'!$G:$G)*100)</f>
        <v>4000</v>
      </c>
      <c r="N502" s="20">
        <v>20800</v>
      </c>
      <c r="O502" s="20">
        <v>3</v>
      </c>
      <c r="P502" s="66">
        <v>15</v>
      </c>
      <c r="Q502" s="20">
        <v>1</v>
      </c>
      <c r="R502" s="66">
        <v>100</v>
      </c>
      <c r="S502" s="66">
        <v>1</v>
      </c>
      <c r="T502" s="66" t="s">
        <v>1879</v>
      </c>
      <c r="U502" s="104" t="str">
        <f t="shared" ref="U502:U503" si="409">"item_bg_grade_0"&amp;L502</f>
        <v>item_bg_grade_01</v>
      </c>
      <c r="V502" s="66" t="s">
        <v>326</v>
      </c>
      <c r="W502" s="66" t="s">
        <v>400</v>
      </c>
      <c r="X502" s="104">
        <v>0</v>
      </c>
      <c r="Y502" s="104">
        <v>0</v>
      </c>
      <c r="Z502" s="104">
        <v>0</v>
      </c>
      <c r="AA502" s="104">
        <v>0</v>
      </c>
      <c r="AB502" s="104">
        <v>0</v>
      </c>
      <c r="AC502" s="104">
        <v>0</v>
      </c>
      <c r="AD502" s="142">
        <v>0</v>
      </c>
      <c r="AE502" s="111">
        <f t="shared" si="407"/>
        <v>10</v>
      </c>
      <c r="AF502" s="70">
        <v>3106020</v>
      </c>
      <c r="AG502" s="105" cm="1">
        <f t="array" ref="AG502">_xlfn.SWITCH(L502,3,1,
           4,1,
           5,1,
           6,1,0)</f>
        <v>0</v>
      </c>
      <c r="AH502" s="146">
        <f t="shared" si="389"/>
        <v>80101101</v>
      </c>
      <c r="AI502" s="90">
        <v>0</v>
      </c>
      <c r="AJ502" s="90">
        <v>0</v>
      </c>
      <c r="AK502" s="27">
        <v>0</v>
      </c>
      <c r="AL502" s="123">
        <f>_xlfn.XLOOKUP(H502,'#각종 참고'!$B$11:$B$20,'#각종 참고'!$D$11:$D$20)</f>
        <v>0</v>
      </c>
      <c r="AM502" s="27">
        <v>1</v>
      </c>
      <c r="AN502" s="27">
        <v>1</v>
      </c>
      <c r="AO502" s="124">
        <f t="shared" si="392"/>
        <v>1</v>
      </c>
      <c r="AP502" s="27">
        <v>1</v>
      </c>
      <c r="AQ502" s="21">
        <v>13116011</v>
      </c>
      <c r="AR502" s="68" t="s">
        <v>2557</v>
      </c>
    </row>
    <row r="503" spans="1:47" s="68" customFormat="1" x14ac:dyDescent="0.3">
      <c r="A503" s="65"/>
      <c r="B503" s="110">
        <v>13116003</v>
      </c>
      <c r="C503" s="99" t="str">
        <f t="shared" si="408"/>
        <v>3</v>
      </c>
      <c r="D503" s="120">
        <f>COUNTIFS($F$33:F503,F503, $G$33:G503,G503, $C$33:C503,C503, $L$33:L503,L503)</f>
        <v>3</v>
      </c>
      <c r="E503" s="20">
        <v>1</v>
      </c>
      <c r="F503" s="66">
        <v>6</v>
      </c>
      <c r="G503" s="66">
        <v>1</v>
      </c>
      <c r="H503" s="103" t="s">
        <v>965</v>
      </c>
      <c r="I503" s="66" t="s">
        <v>2203</v>
      </c>
      <c r="J503" s="104" t="str">
        <f t="shared" si="398"/>
        <v>Item_Name_13116003</v>
      </c>
      <c r="K503" s="66">
        <v>10103001</v>
      </c>
      <c r="L503" s="106">
        <f t="shared" si="405"/>
        <v>1</v>
      </c>
      <c r="M503" s="105">
        <f>IF(D503=0, 0, _xlfn.XLOOKUP($F503,'#무게관련'!$B:$B,'#무게관련'!$C:$C)*_xlfn.XLOOKUP($L503,'#무게관련'!$F:$F,'#무게관련'!$G:$G)*100)</f>
        <v>4000</v>
      </c>
      <c r="N503" s="20">
        <v>20800</v>
      </c>
      <c r="O503" s="20">
        <v>3</v>
      </c>
      <c r="P503" s="66">
        <v>15</v>
      </c>
      <c r="Q503" s="20">
        <v>1</v>
      </c>
      <c r="R503" s="66">
        <v>100</v>
      </c>
      <c r="S503" s="66">
        <v>1</v>
      </c>
      <c r="T503" s="66" t="s">
        <v>1879</v>
      </c>
      <c r="U503" s="104" t="str">
        <f t="shared" si="409"/>
        <v>item_bg_grade_01</v>
      </c>
      <c r="V503" s="66" t="s">
        <v>326</v>
      </c>
      <c r="W503" s="66" t="s">
        <v>400</v>
      </c>
      <c r="X503" s="104">
        <v>0</v>
      </c>
      <c r="Y503" s="104">
        <v>0</v>
      </c>
      <c r="Z503" s="104">
        <v>0</v>
      </c>
      <c r="AA503" s="104">
        <v>0</v>
      </c>
      <c r="AB503" s="104">
        <v>0</v>
      </c>
      <c r="AC503" s="104">
        <v>0</v>
      </c>
      <c r="AD503" s="142">
        <v>0</v>
      </c>
      <c r="AE503" s="111">
        <f t="shared" si="407"/>
        <v>10</v>
      </c>
      <c r="AF503" s="70">
        <v>3106030</v>
      </c>
      <c r="AG503" s="105" cm="1">
        <f t="array" ref="AG503">_xlfn.SWITCH(L503,3,1,
           4,1,
           5,1,
           6,1,0)</f>
        <v>0</v>
      </c>
      <c r="AH503" s="146">
        <f t="shared" si="389"/>
        <v>80101101</v>
      </c>
      <c r="AI503" s="90">
        <v>0</v>
      </c>
      <c r="AJ503" s="90">
        <v>0</v>
      </c>
      <c r="AK503" s="27">
        <v>0</v>
      </c>
      <c r="AL503" s="123">
        <f>_xlfn.XLOOKUP(H503,'#각종 참고'!$B$11:$B$20,'#각종 참고'!$D$11:$D$20)</f>
        <v>0</v>
      </c>
      <c r="AM503" s="27">
        <v>1</v>
      </c>
      <c r="AN503" s="27">
        <v>1</v>
      </c>
      <c r="AO503" s="124">
        <f t="shared" si="392"/>
        <v>1</v>
      </c>
      <c r="AP503" s="27">
        <v>1</v>
      </c>
      <c r="AQ503" s="21">
        <v>13116021</v>
      </c>
      <c r="AR503" s="68" t="s">
        <v>2558</v>
      </c>
    </row>
    <row r="504" spans="1:47" x14ac:dyDescent="0.3">
      <c r="A504" s="19"/>
      <c r="B504" s="109">
        <v>13126001</v>
      </c>
      <c r="C504" s="99" t="str">
        <f t="shared" si="267"/>
        <v>3</v>
      </c>
      <c r="D504" s="121">
        <f>COUNTIFS($F$33:F504,F504, $G$33:G504,G504, $C$33:C504,C504, $L$33:L504,L504)</f>
        <v>1</v>
      </c>
      <c r="E504" s="20">
        <v>1</v>
      </c>
      <c r="F504" s="20">
        <v>6</v>
      </c>
      <c r="G504" s="20">
        <v>1</v>
      </c>
      <c r="H504" s="103" t="s">
        <v>965</v>
      </c>
      <c r="I504" s="20" t="s">
        <v>1789</v>
      </c>
      <c r="J504" s="104" t="str">
        <f t="shared" si="398"/>
        <v>Item_Name_13126001</v>
      </c>
      <c r="K504" s="20">
        <v>10103001</v>
      </c>
      <c r="L504" s="108">
        <f t="shared" si="405"/>
        <v>2</v>
      </c>
      <c r="M504" s="105">
        <f>IF(D504=0, 0, _xlfn.XLOOKUP($F504,'#무게관련'!$B:$B,'#무게관련'!$C:$C)*_xlfn.XLOOKUP($L504,'#무게관련'!$F:$F,'#무게관련'!$G:$G)*100)</f>
        <v>4000</v>
      </c>
      <c r="N504" s="20">
        <v>20800</v>
      </c>
      <c r="O504" s="20">
        <v>3</v>
      </c>
      <c r="P504" s="20">
        <v>15</v>
      </c>
      <c r="Q504" s="20">
        <v>1</v>
      </c>
      <c r="R504" s="20">
        <v>100</v>
      </c>
      <c r="S504" s="20">
        <v>1</v>
      </c>
      <c r="T504" s="20" t="s">
        <v>1880</v>
      </c>
      <c r="U504" s="104" t="str">
        <f t="shared" si="333"/>
        <v>item_bg_grade_02</v>
      </c>
      <c r="V504" s="20" t="s">
        <v>326</v>
      </c>
      <c r="W504" s="20" t="s">
        <v>400</v>
      </c>
      <c r="X504" s="104">
        <v>0</v>
      </c>
      <c r="Y504" s="104">
        <v>0</v>
      </c>
      <c r="Z504" s="104">
        <v>0</v>
      </c>
      <c r="AA504" s="104">
        <v>0</v>
      </c>
      <c r="AB504" s="104">
        <v>0</v>
      </c>
      <c r="AC504" s="104">
        <v>0</v>
      </c>
      <c r="AD504" s="142">
        <v>0</v>
      </c>
      <c r="AE504" s="112">
        <f t="shared" si="407"/>
        <v>20</v>
      </c>
      <c r="AF504" s="70">
        <v>3206010</v>
      </c>
      <c r="AG504" s="105" cm="1">
        <f t="array" ref="AG504">_xlfn.SWITCH(L504,3,1,
           4,1,
           5,1,
           6,1,0)</f>
        <v>0</v>
      </c>
      <c r="AH504" s="146">
        <f t="shared" si="389"/>
        <v>80101201</v>
      </c>
      <c r="AI504" s="90">
        <v>6000</v>
      </c>
      <c r="AJ504" s="90">
        <v>3001</v>
      </c>
      <c r="AK504" s="27">
        <v>2006</v>
      </c>
      <c r="AL504" s="123">
        <f>_xlfn.XLOOKUP(H504,'#각종 참고'!$B$11:$B$20,'#각종 참고'!$D$11:$D$20)</f>
        <v>0</v>
      </c>
      <c r="AM504" s="27">
        <v>1</v>
      </c>
      <c r="AN504" s="27">
        <v>1</v>
      </c>
      <c r="AO504" s="124">
        <f t="shared" si="392"/>
        <v>1</v>
      </c>
      <c r="AP504" s="27">
        <v>1</v>
      </c>
      <c r="AQ504" s="21">
        <v>13126001</v>
      </c>
      <c r="AR504" s="21" t="s">
        <v>1789</v>
      </c>
      <c r="AS504" s="68"/>
      <c r="AT504" s="68"/>
      <c r="AU504" s="68"/>
    </row>
    <row r="505" spans="1:47" x14ac:dyDescent="0.3">
      <c r="A505" s="19"/>
      <c r="B505" s="109">
        <v>13126002</v>
      </c>
      <c r="C505" s="99" t="str">
        <f t="shared" ref="C505:C506" si="410">IF(K505&gt;0,MID(K505,5, 1), 0)</f>
        <v>3</v>
      </c>
      <c r="D505" s="121">
        <f>COUNTIFS($F$33:F505,F505, $G$33:G505,G505, $C$33:C505,C505, $L$33:L505,L505)</f>
        <v>2</v>
      </c>
      <c r="E505" s="20">
        <v>1</v>
      </c>
      <c r="F505" s="20">
        <v>6</v>
      </c>
      <c r="G505" s="20">
        <v>1</v>
      </c>
      <c r="H505" s="103" t="s">
        <v>965</v>
      </c>
      <c r="I505" s="20" t="s">
        <v>1791</v>
      </c>
      <c r="J505" s="104" t="str">
        <f t="shared" si="398"/>
        <v>Item_Name_13126002</v>
      </c>
      <c r="K505" s="20">
        <v>10103001</v>
      </c>
      <c r="L505" s="108">
        <f t="shared" si="405"/>
        <v>2</v>
      </c>
      <c r="M505" s="105">
        <f>IF(D505=0, 0, _xlfn.XLOOKUP($F505,'#무게관련'!$B:$B,'#무게관련'!$C:$C)*_xlfn.XLOOKUP($L505,'#무게관련'!$F:$F,'#무게관련'!$G:$G)*100)</f>
        <v>4000</v>
      </c>
      <c r="N505" s="20">
        <v>20800</v>
      </c>
      <c r="O505" s="20">
        <v>3</v>
      </c>
      <c r="P505" s="20">
        <v>15</v>
      </c>
      <c r="Q505" s="20">
        <v>1</v>
      </c>
      <c r="R505" s="20">
        <v>100</v>
      </c>
      <c r="S505" s="20">
        <v>1</v>
      </c>
      <c r="T505" s="20" t="s">
        <v>1880</v>
      </c>
      <c r="U505" s="104" t="str">
        <f t="shared" ref="U505:U506" si="411">"item_bg_grade_0"&amp;L505</f>
        <v>item_bg_grade_02</v>
      </c>
      <c r="V505" s="20" t="s">
        <v>326</v>
      </c>
      <c r="W505" s="20" t="s">
        <v>400</v>
      </c>
      <c r="X505" s="104">
        <v>0</v>
      </c>
      <c r="Y505" s="104">
        <v>0</v>
      </c>
      <c r="Z505" s="104">
        <v>0</v>
      </c>
      <c r="AA505" s="104">
        <v>0</v>
      </c>
      <c r="AB505" s="104">
        <v>0</v>
      </c>
      <c r="AC505" s="104">
        <v>0</v>
      </c>
      <c r="AD505" s="142">
        <v>0</v>
      </c>
      <c r="AE505" s="112">
        <f t="shared" si="407"/>
        <v>20</v>
      </c>
      <c r="AF505" s="70">
        <v>3206020</v>
      </c>
      <c r="AG505" s="105" cm="1">
        <f t="array" ref="AG505">_xlfn.SWITCH(L505,3,1,
           4,1,
           5,1,
           6,1,0)</f>
        <v>0</v>
      </c>
      <c r="AH505" s="146">
        <f t="shared" si="389"/>
        <v>80101201</v>
      </c>
      <c r="AI505" s="90">
        <v>6000</v>
      </c>
      <c r="AJ505" s="90">
        <v>3001</v>
      </c>
      <c r="AK505" s="27">
        <v>2006</v>
      </c>
      <c r="AL505" s="123">
        <f>_xlfn.XLOOKUP(H505,'#각종 참고'!$B$11:$B$20,'#각종 참고'!$D$11:$D$20)</f>
        <v>0</v>
      </c>
      <c r="AM505" s="27">
        <v>1</v>
      </c>
      <c r="AN505" s="27">
        <v>1</v>
      </c>
      <c r="AO505" s="124">
        <f t="shared" si="392"/>
        <v>1</v>
      </c>
      <c r="AP505" s="27">
        <v>1</v>
      </c>
      <c r="AQ505" s="21">
        <v>13126011</v>
      </c>
      <c r="AR505" s="21" t="s">
        <v>2559</v>
      </c>
      <c r="AS505" s="68"/>
      <c r="AT505" s="68"/>
      <c r="AU505" s="68"/>
    </row>
    <row r="506" spans="1:47" x14ac:dyDescent="0.3">
      <c r="A506" s="19"/>
      <c r="B506" s="109">
        <v>13126003</v>
      </c>
      <c r="C506" s="99" t="str">
        <f t="shared" si="410"/>
        <v>3</v>
      </c>
      <c r="D506" s="121">
        <f>COUNTIFS($F$33:F506,F506, $G$33:G506,G506, $C$33:C506,C506, $L$33:L506,L506)</f>
        <v>3</v>
      </c>
      <c r="E506" s="20">
        <v>1</v>
      </c>
      <c r="F506" s="20">
        <v>6</v>
      </c>
      <c r="G506" s="20">
        <v>1</v>
      </c>
      <c r="H506" s="103" t="s">
        <v>965</v>
      </c>
      <c r="I506" s="20" t="s">
        <v>2018</v>
      </c>
      <c r="J506" s="104" t="str">
        <f t="shared" si="398"/>
        <v>Item_Name_13126003</v>
      </c>
      <c r="K506" s="20">
        <v>10103001</v>
      </c>
      <c r="L506" s="108">
        <f t="shared" si="405"/>
        <v>2</v>
      </c>
      <c r="M506" s="105">
        <f>IF(D506=0, 0, _xlfn.XLOOKUP($F506,'#무게관련'!$B:$B,'#무게관련'!$C:$C)*_xlfn.XLOOKUP($L506,'#무게관련'!$F:$F,'#무게관련'!$G:$G)*100)</f>
        <v>4000</v>
      </c>
      <c r="N506" s="20">
        <v>20800</v>
      </c>
      <c r="O506" s="20">
        <v>3</v>
      </c>
      <c r="P506" s="20">
        <v>15</v>
      </c>
      <c r="Q506" s="20">
        <v>1</v>
      </c>
      <c r="R506" s="20">
        <v>100</v>
      </c>
      <c r="S506" s="20">
        <v>1</v>
      </c>
      <c r="T506" s="20" t="s">
        <v>1880</v>
      </c>
      <c r="U506" s="104" t="str">
        <f t="shared" si="411"/>
        <v>item_bg_grade_02</v>
      </c>
      <c r="V506" s="20" t="s">
        <v>326</v>
      </c>
      <c r="W506" s="20" t="s">
        <v>400</v>
      </c>
      <c r="X506" s="104">
        <v>0</v>
      </c>
      <c r="Y506" s="104">
        <v>0</v>
      </c>
      <c r="Z506" s="104">
        <v>0</v>
      </c>
      <c r="AA506" s="104">
        <v>0</v>
      </c>
      <c r="AB506" s="104">
        <v>0</v>
      </c>
      <c r="AC506" s="104">
        <v>0</v>
      </c>
      <c r="AD506" s="142">
        <v>0</v>
      </c>
      <c r="AE506" s="112">
        <f t="shared" si="407"/>
        <v>20</v>
      </c>
      <c r="AF506" s="70">
        <v>3206030</v>
      </c>
      <c r="AG506" s="105" cm="1">
        <f t="array" ref="AG506">_xlfn.SWITCH(L506,3,1,
           4,1,
           5,1,
           6,1,0)</f>
        <v>0</v>
      </c>
      <c r="AH506" s="146">
        <f t="shared" si="389"/>
        <v>80101201</v>
      </c>
      <c r="AI506" s="90">
        <v>6000</v>
      </c>
      <c r="AJ506" s="90">
        <v>3001</v>
      </c>
      <c r="AK506" s="27">
        <v>2006</v>
      </c>
      <c r="AL506" s="123">
        <f>_xlfn.XLOOKUP(H506,'#각종 참고'!$B$11:$B$20,'#각종 참고'!$D$11:$D$20)</f>
        <v>0</v>
      </c>
      <c r="AM506" s="27">
        <v>1</v>
      </c>
      <c r="AN506" s="27">
        <v>1</v>
      </c>
      <c r="AO506" s="124">
        <f t="shared" si="392"/>
        <v>1</v>
      </c>
      <c r="AP506" s="27">
        <v>1</v>
      </c>
      <c r="AQ506" s="21">
        <v>13126021</v>
      </c>
      <c r="AR506" s="21" t="s">
        <v>2560</v>
      </c>
      <c r="AS506" s="68"/>
      <c r="AT506" s="68"/>
      <c r="AU506" s="68"/>
    </row>
    <row r="507" spans="1:47" x14ac:dyDescent="0.3">
      <c r="A507" s="19"/>
      <c r="B507" s="109">
        <v>13136001</v>
      </c>
      <c r="C507" s="99" t="str">
        <f t="shared" si="267"/>
        <v>3</v>
      </c>
      <c r="D507" s="121">
        <f>COUNTIFS($F$33:F507,F507, $G$33:G507,G507, $C$33:C507,C507, $L$33:L507,L507)</f>
        <v>1</v>
      </c>
      <c r="E507" s="20">
        <v>1</v>
      </c>
      <c r="F507" s="20">
        <v>6</v>
      </c>
      <c r="G507" s="20">
        <v>1</v>
      </c>
      <c r="H507" s="103" t="s">
        <v>965</v>
      </c>
      <c r="I507" s="20" t="s">
        <v>1790</v>
      </c>
      <c r="J507" s="104" t="str">
        <f t="shared" si="398"/>
        <v>Item_Name_13136001</v>
      </c>
      <c r="K507" s="20">
        <v>10103001</v>
      </c>
      <c r="L507" s="108">
        <f t="shared" si="405"/>
        <v>3</v>
      </c>
      <c r="M507" s="105">
        <f>IF(D507=0, 0, _xlfn.XLOOKUP($F507,'#무게관련'!$B:$B,'#무게관련'!$C:$C)*_xlfn.XLOOKUP($L507,'#무게관련'!$F:$F,'#무게관련'!$G:$G)*100)</f>
        <v>4000</v>
      </c>
      <c r="N507" s="20">
        <v>20800</v>
      </c>
      <c r="O507" s="20">
        <v>3</v>
      </c>
      <c r="P507" s="20">
        <v>15</v>
      </c>
      <c r="Q507" s="20">
        <v>1</v>
      </c>
      <c r="R507" s="20">
        <v>100</v>
      </c>
      <c r="S507" s="20">
        <v>1</v>
      </c>
      <c r="T507" s="20" t="s">
        <v>1881</v>
      </c>
      <c r="U507" s="104" t="str">
        <f t="shared" si="333"/>
        <v>item_bg_grade_03</v>
      </c>
      <c r="V507" s="20" t="s">
        <v>326</v>
      </c>
      <c r="W507" s="20" t="s">
        <v>400</v>
      </c>
      <c r="X507" s="104">
        <v>0</v>
      </c>
      <c r="Y507" s="104">
        <v>0</v>
      </c>
      <c r="Z507" s="104">
        <v>0</v>
      </c>
      <c r="AA507" s="104">
        <v>0</v>
      </c>
      <c r="AB507" s="104">
        <v>0</v>
      </c>
      <c r="AC507" s="104">
        <v>0</v>
      </c>
      <c r="AD507" s="142">
        <v>0</v>
      </c>
      <c r="AE507" s="112">
        <f t="shared" si="407"/>
        <v>30</v>
      </c>
      <c r="AF507" s="70">
        <v>3306010</v>
      </c>
      <c r="AG507" s="105" cm="1">
        <f t="array" ref="AG507">_xlfn.SWITCH(L507,3,1,
           4,1,
           5,1,
           6,1,0)</f>
        <v>1</v>
      </c>
      <c r="AH507" s="146">
        <f t="shared" si="389"/>
        <v>80101301</v>
      </c>
      <c r="AI507" s="90">
        <v>6001</v>
      </c>
      <c r="AJ507" s="90">
        <v>3003</v>
      </c>
      <c r="AK507" s="27">
        <v>3006</v>
      </c>
      <c r="AL507" s="123">
        <f>_xlfn.XLOOKUP(H507,'#각종 참고'!$B$11:$B$20,'#각종 참고'!$D$11:$D$20)</f>
        <v>0</v>
      </c>
      <c r="AM507" s="27">
        <v>1</v>
      </c>
      <c r="AN507" s="27">
        <v>1</v>
      </c>
      <c r="AO507" s="124">
        <f t="shared" si="392"/>
        <v>1</v>
      </c>
      <c r="AP507" s="27">
        <v>1</v>
      </c>
      <c r="AQ507" s="21">
        <v>13136001</v>
      </c>
      <c r="AR507" s="21" t="s">
        <v>1790</v>
      </c>
      <c r="AS507" s="68"/>
      <c r="AT507" s="68"/>
      <c r="AU507" s="68"/>
    </row>
    <row r="508" spans="1:47" x14ac:dyDescent="0.3">
      <c r="A508" s="19"/>
      <c r="B508" s="109">
        <v>13136002</v>
      </c>
      <c r="C508" s="99" t="str">
        <f t="shared" ref="C508:C509" si="412">IF(K508&gt;0,MID(K508,5, 1), 0)</f>
        <v>3</v>
      </c>
      <c r="D508" s="121">
        <f>COUNTIFS($F$33:F508,F508, $G$33:G508,G508, $C$33:C508,C508, $L$33:L508,L508)</f>
        <v>2</v>
      </c>
      <c r="E508" s="20">
        <v>1</v>
      </c>
      <c r="F508" s="20">
        <v>6</v>
      </c>
      <c r="G508" s="20">
        <v>1</v>
      </c>
      <c r="H508" s="103" t="s">
        <v>965</v>
      </c>
      <c r="I508" s="20" t="s">
        <v>1794</v>
      </c>
      <c r="J508" s="104" t="str">
        <f t="shared" si="398"/>
        <v>Item_Name_13136002</v>
      </c>
      <c r="K508" s="20">
        <v>10103001</v>
      </c>
      <c r="L508" s="108">
        <f t="shared" si="405"/>
        <v>3</v>
      </c>
      <c r="M508" s="105">
        <f>IF(D508=0, 0, _xlfn.XLOOKUP($F508,'#무게관련'!$B:$B,'#무게관련'!$C:$C)*_xlfn.XLOOKUP($L508,'#무게관련'!$F:$F,'#무게관련'!$G:$G)*100)</f>
        <v>4000</v>
      </c>
      <c r="N508" s="20">
        <v>20800</v>
      </c>
      <c r="O508" s="20">
        <v>3</v>
      </c>
      <c r="P508" s="20">
        <v>15</v>
      </c>
      <c r="Q508" s="20">
        <v>1</v>
      </c>
      <c r="R508" s="20">
        <v>100</v>
      </c>
      <c r="S508" s="20">
        <v>1</v>
      </c>
      <c r="T508" s="20" t="s">
        <v>1881</v>
      </c>
      <c r="U508" s="104" t="str">
        <f t="shared" ref="U508:U509" si="413">"item_bg_grade_0"&amp;L508</f>
        <v>item_bg_grade_03</v>
      </c>
      <c r="V508" s="20" t="s">
        <v>326</v>
      </c>
      <c r="W508" s="20" t="s">
        <v>400</v>
      </c>
      <c r="X508" s="104">
        <v>0</v>
      </c>
      <c r="Y508" s="104">
        <v>0</v>
      </c>
      <c r="Z508" s="104">
        <v>0</v>
      </c>
      <c r="AA508" s="104">
        <v>0</v>
      </c>
      <c r="AB508" s="104">
        <v>0</v>
      </c>
      <c r="AC508" s="104">
        <v>0</v>
      </c>
      <c r="AD508" s="142">
        <v>0</v>
      </c>
      <c r="AE508" s="112">
        <f t="shared" si="407"/>
        <v>30</v>
      </c>
      <c r="AF508" s="70">
        <v>3306020</v>
      </c>
      <c r="AG508" s="105" cm="1">
        <f t="array" ref="AG508">_xlfn.SWITCH(L508,3,1,
           4,1,
           5,1,
           6,1,0)</f>
        <v>1</v>
      </c>
      <c r="AH508" s="146">
        <f t="shared" si="389"/>
        <v>80101301</v>
      </c>
      <c r="AI508" s="90">
        <v>6001</v>
      </c>
      <c r="AJ508" s="90">
        <v>3003</v>
      </c>
      <c r="AK508" s="27">
        <v>3006</v>
      </c>
      <c r="AL508" s="123">
        <f>_xlfn.XLOOKUP(H508,'#각종 참고'!$B$11:$B$20,'#각종 참고'!$D$11:$D$20)</f>
        <v>0</v>
      </c>
      <c r="AM508" s="27">
        <v>1</v>
      </c>
      <c r="AN508" s="27">
        <v>1</v>
      </c>
      <c r="AO508" s="124">
        <f t="shared" si="392"/>
        <v>1</v>
      </c>
      <c r="AP508" s="27">
        <v>1</v>
      </c>
      <c r="AQ508" s="21">
        <v>13136011</v>
      </c>
      <c r="AR508" s="21" t="s">
        <v>2561</v>
      </c>
      <c r="AS508" s="68"/>
      <c r="AT508" s="68"/>
      <c r="AU508" s="68"/>
    </row>
    <row r="509" spans="1:47" x14ac:dyDescent="0.3">
      <c r="A509" s="19"/>
      <c r="B509" s="109">
        <v>13136003</v>
      </c>
      <c r="C509" s="99" t="str">
        <f t="shared" si="412"/>
        <v>3</v>
      </c>
      <c r="D509" s="121">
        <f>COUNTIFS($F$33:F509,F509, $G$33:G509,G509, $C$33:C509,C509, $L$33:L509,L509)</f>
        <v>3</v>
      </c>
      <c r="E509" s="20">
        <v>1</v>
      </c>
      <c r="F509" s="20">
        <v>6</v>
      </c>
      <c r="G509" s="20">
        <v>1</v>
      </c>
      <c r="H509" s="103" t="s">
        <v>965</v>
      </c>
      <c r="I509" s="20" t="s">
        <v>1792</v>
      </c>
      <c r="J509" s="104" t="str">
        <f t="shared" si="398"/>
        <v>Item_Name_13136003</v>
      </c>
      <c r="K509" s="20">
        <v>10103001</v>
      </c>
      <c r="L509" s="108">
        <f t="shared" si="405"/>
        <v>3</v>
      </c>
      <c r="M509" s="105">
        <f>IF(D509=0, 0, _xlfn.XLOOKUP($F509,'#무게관련'!$B:$B,'#무게관련'!$C:$C)*_xlfn.XLOOKUP($L509,'#무게관련'!$F:$F,'#무게관련'!$G:$G)*100)</f>
        <v>4000</v>
      </c>
      <c r="N509" s="20">
        <v>20800</v>
      </c>
      <c r="O509" s="20">
        <v>3</v>
      </c>
      <c r="P509" s="20">
        <v>15</v>
      </c>
      <c r="Q509" s="20">
        <v>1</v>
      </c>
      <c r="R509" s="20">
        <v>100</v>
      </c>
      <c r="S509" s="20">
        <v>1</v>
      </c>
      <c r="T509" s="20" t="s">
        <v>1881</v>
      </c>
      <c r="U509" s="104" t="str">
        <f t="shared" si="413"/>
        <v>item_bg_grade_03</v>
      </c>
      <c r="V509" s="20" t="s">
        <v>326</v>
      </c>
      <c r="W509" s="20" t="s">
        <v>400</v>
      </c>
      <c r="X509" s="104">
        <v>0</v>
      </c>
      <c r="Y509" s="104">
        <v>0</v>
      </c>
      <c r="Z509" s="104">
        <v>0</v>
      </c>
      <c r="AA509" s="104">
        <v>0</v>
      </c>
      <c r="AB509" s="104">
        <v>0</v>
      </c>
      <c r="AC509" s="104">
        <v>0</v>
      </c>
      <c r="AD509" s="142">
        <v>0</v>
      </c>
      <c r="AE509" s="112">
        <f t="shared" si="407"/>
        <v>30</v>
      </c>
      <c r="AF509" s="70">
        <v>3306030</v>
      </c>
      <c r="AG509" s="105" cm="1">
        <f t="array" ref="AG509">_xlfn.SWITCH(L509,3,1,
           4,1,
           5,1,
           6,1,0)</f>
        <v>1</v>
      </c>
      <c r="AH509" s="146">
        <f t="shared" si="389"/>
        <v>80101301</v>
      </c>
      <c r="AI509" s="90">
        <v>6001</v>
      </c>
      <c r="AJ509" s="90">
        <v>3003</v>
      </c>
      <c r="AK509" s="27">
        <v>3006</v>
      </c>
      <c r="AL509" s="123">
        <f>_xlfn.XLOOKUP(H509,'#각종 참고'!$B$11:$B$20,'#각종 참고'!$D$11:$D$20)</f>
        <v>0</v>
      </c>
      <c r="AM509" s="27">
        <v>1</v>
      </c>
      <c r="AN509" s="27">
        <v>1</v>
      </c>
      <c r="AO509" s="124">
        <f t="shared" si="392"/>
        <v>1</v>
      </c>
      <c r="AP509" s="27">
        <v>1</v>
      </c>
      <c r="AQ509" s="21">
        <v>13136021</v>
      </c>
      <c r="AR509" s="21" t="s">
        <v>2562</v>
      </c>
      <c r="AS509" s="68"/>
      <c r="AT509" s="68"/>
      <c r="AU509" s="68"/>
    </row>
    <row r="510" spans="1:47" x14ac:dyDescent="0.3">
      <c r="A510" s="19"/>
      <c r="B510" s="109">
        <v>13146001</v>
      </c>
      <c r="C510" s="99" t="str">
        <f t="shared" si="267"/>
        <v>3</v>
      </c>
      <c r="D510" s="121">
        <f>COUNTIFS($F$33:F510,F510, $G$33:G510,G510, $C$33:C510,C510, $L$33:L510,L510)</f>
        <v>1</v>
      </c>
      <c r="E510" s="20">
        <v>1</v>
      </c>
      <c r="F510" s="20">
        <v>6</v>
      </c>
      <c r="G510" s="20">
        <v>1</v>
      </c>
      <c r="H510" s="103" t="s">
        <v>965</v>
      </c>
      <c r="I510" s="20" t="s">
        <v>940</v>
      </c>
      <c r="J510" s="104" t="str">
        <f t="shared" si="398"/>
        <v>Item_Name_13146001</v>
      </c>
      <c r="K510" s="20">
        <v>10103001</v>
      </c>
      <c r="L510" s="108">
        <f t="shared" si="405"/>
        <v>4</v>
      </c>
      <c r="M510" s="105">
        <f>IF(D510=0, 0, _xlfn.XLOOKUP($F510,'#무게관련'!$B:$B,'#무게관련'!$C:$C)*_xlfn.XLOOKUP($L510,'#무게관련'!$F:$F,'#무게관련'!$G:$G)*100)</f>
        <v>4000</v>
      </c>
      <c r="N510" s="20">
        <v>20800</v>
      </c>
      <c r="O510" s="20">
        <v>3</v>
      </c>
      <c r="P510" s="20">
        <v>15</v>
      </c>
      <c r="Q510" s="20">
        <v>1</v>
      </c>
      <c r="R510" s="20">
        <v>100</v>
      </c>
      <c r="S510" s="20">
        <v>1</v>
      </c>
      <c r="T510" s="20" t="s">
        <v>1882</v>
      </c>
      <c r="U510" s="104" t="str">
        <f t="shared" si="333"/>
        <v>item_bg_grade_04</v>
      </c>
      <c r="V510" s="20" t="s">
        <v>326</v>
      </c>
      <c r="W510" s="20" t="s">
        <v>400</v>
      </c>
      <c r="X510" s="104">
        <v>0</v>
      </c>
      <c r="Y510" s="104">
        <v>0</v>
      </c>
      <c r="Z510" s="104">
        <v>0</v>
      </c>
      <c r="AA510" s="104">
        <v>0</v>
      </c>
      <c r="AB510" s="104">
        <v>0</v>
      </c>
      <c r="AC510" s="104">
        <v>0</v>
      </c>
      <c r="AD510" s="142">
        <v>0</v>
      </c>
      <c r="AE510" s="112">
        <f t="shared" si="407"/>
        <v>40</v>
      </c>
      <c r="AF510" s="70">
        <v>3406010</v>
      </c>
      <c r="AG510" s="105" cm="1">
        <f t="array" ref="AG510">_xlfn.SWITCH(L510,3,1,
           4,1,
           5,1,
           6,1,0)</f>
        <v>1</v>
      </c>
      <c r="AH510" s="146">
        <f t="shared" si="389"/>
        <v>80101401</v>
      </c>
      <c r="AI510" s="90">
        <v>6002</v>
      </c>
      <c r="AJ510" s="90">
        <v>3005</v>
      </c>
      <c r="AK510" s="27">
        <v>4006</v>
      </c>
      <c r="AL510" s="123">
        <f>_xlfn.XLOOKUP(H510,'#각종 참고'!$B$11:$B$20,'#각종 참고'!$D$11:$D$20)</f>
        <v>0</v>
      </c>
      <c r="AM510" s="27">
        <v>1</v>
      </c>
      <c r="AN510" s="27">
        <v>1</v>
      </c>
      <c r="AO510" s="124">
        <f t="shared" si="392"/>
        <v>1</v>
      </c>
      <c r="AP510" s="27">
        <v>1</v>
      </c>
      <c r="AQ510" s="21">
        <v>13146001</v>
      </c>
      <c r="AR510" s="21" t="s">
        <v>940</v>
      </c>
      <c r="AS510" s="68"/>
      <c r="AT510" s="68"/>
      <c r="AU510" s="68"/>
    </row>
    <row r="511" spans="1:47" x14ac:dyDescent="0.3">
      <c r="A511" s="19"/>
      <c r="B511" s="109">
        <v>13146002</v>
      </c>
      <c r="C511" s="99" t="str">
        <f t="shared" ref="C511:C512" si="414">IF(K511&gt;0,MID(K511,5, 1), 0)</f>
        <v>3</v>
      </c>
      <c r="D511" s="121">
        <f>COUNTIFS($F$33:F511,F511, $G$33:G511,G511, $C$33:C511,C511, $L$33:L511,L511)</f>
        <v>2</v>
      </c>
      <c r="E511" s="20">
        <v>1</v>
      </c>
      <c r="F511" s="20">
        <v>6</v>
      </c>
      <c r="G511" s="20">
        <v>1</v>
      </c>
      <c r="H511" s="103" t="s">
        <v>965</v>
      </c>
      <c r="I511" s="20" t="s">
        <v>2205</v>
      </c>
      <c r="J511" s="104" t="str">
        <f t="shared" si="398"/>
        <v>Item_Name_13146002</v>
      </c>
      <c r="K511" s="20">
        <v>10103001</v>
      </c>
      <c r="L511" s="108">
        <f t="shared" si="405"/>
        <v>4</v>
      </c>
      <c r="M511" s="105">
        <f>IF(D511=0, 0, _xlfn.XLOOKUP($F511,'#무게관련'!$B:$B,'#무게관련'!$C:$C)*_xlfn.XLOOKUP($L511,'#무게관련'!$F:$F,'#무게관련'!$G:$G)*100)</f>
        <v>4000</v>
      </c>
      <c r="N511" s="20">
        <v>20800</v>
      </c>
      <c r="O511" s="20">
        <v>3</v>
      </c>
      <c r="P511" s="20">
        <v>15</v>
      </c>
      <c r="Q511" s="20">
        <v>1</v>
      </c>
      <c r="R511" s="20">
        <v>100</v>
      </c>
      <c r="S511" s="20">
        <v>1</v>
      </c>
      <c r="T511" s="20" t="s">
        <v>1882</v>
      </c>
      <c r="U511" s="104" t="str">
        <f t="shared" ref="U511:U512" si="415">"item_bg_grade_0"&amp;L511</f>
        <v>item_bg_grade_04</v>
      </c>
      <c r="V511" s="20" t="s">
        <v>326</v>
      </c>
      <c r="W511" s="20" t="s">
        <v>400</v>
      </c>
      <c r="X511" s="104">
        <v>0</v>
      </c>
      <c r="Y511" s="104">
        <v>0</v>
      </c>
      <c r="Z511" s="104">
        <v>0</v>
      </c>
      <c r="AA511" s="104">
        <v>0</v>
      </c>
      <c r="AB511" s="104">
        <v>0</v>
      </c>
      <c r="AC511" s="104">
        <v>0</v>
      </c>
      <c r="AD511" s="142">
        <v>0</v>
      </c>
      <c r="AE511" s="112">
        <f t="shared" si="407"/>
        <v>40</v>
      </c>
      <c r="AF511" s="70">
        <v>3406020</v>
      </c>
      <c r="AG511" s="105" cm="1">
        <f t="array" ref="AG511">_xlfn.SWITCH(L511,3,1,
           4,1,
           5,1,
           6,1,0)</f>
        <v>1</v>
      </c>
      <c r="AH511" s="146">
        <f t="shared" si="389"/>
        <v>80101401</v>
      </c>
      <c r="AI511" s="90">
        <v>6002</v>
      </c>
      <c r="AJ511" s="90">
        <v>3005</v>
      </c>
      <c r="AK511" s="27">
        <v>4006</v>
      </c>
      <c r="AL511" s="123">
        <f>_xlfn.XLOOKUP(H511,'#각종 참고'!$B$11:$B$20,'#각종 참고'!$D$11:$D$20)</f>
        <v>0</v>
      </c>
      <c r="AM511" s="27">
        <v>1</v>
      </c>
      <c r="AN511" s="27">
        <v>1</v>
      </c>
      <c r="AO511" s="124">
        <f t="shared" si="392"/>
        <v>1</v>
      </c>
      <c r="AP511" s="27">
        <v>1</v>
      </c>
      <c r="AQ511" s="21">
        <v>13146011</v>
      </c>
      <c r="AR511" s="21" t="s">
        <v>2563</v>
      </c>
      <c r="AS511" s="68"/>
      <c r="AT511" s="68"/>
      <c r="AU511" s="68"/>
    </row>
    <row r="512" spans="1:47" x14ac:dyDescent="0.3">
      <c r="A512" s="19"/>
      <c r="B512" s="109">
        <v>13146003</v>
      </c>
      <c r="C512" s="99" t="str">
        <f t="shared" si="414"/>
        <v>3</v>
      </c>
      <c r="D512" s="121">
        <f>COUNTIFS($F$33:F512,F512, $G$33:G512,G512, $C$33:C512,C512, $L$33:L512,L512)</f>
        <v>3</v>
      </c>
      <c r="E512" s="20">
        <v>1</v>
      </c>
      <c r="F512" s="20">
        <v>6</v>
      </c>
      <c r="G512" s="20">
        <v>1</v>
      </c>
      <c r="H512" s="103" t="s">
        <v>965</v>
      </c>
      <c r="I512" s="20" t="s">
        <v>1994</v>
      </c>
      <c r="J512" s="104" t="str">
        <f t="shared" si="398"/>
        <v>Item_Name_13146003</v>
      </c>
      <c r="K512" s="20">
        <v>10103001</v>
      </c>
      <c r="L512" s="108">
        <f t="shared" si="405"/>
        <v>4</v>
      </c>
      <c r="M512" s="105">
        <f>IF(D512=0, 0, _xlfn.XLOOKUP($F512,'#무게관련'!$B:$B,'#무게관련'!$C:$C)*_xlfn.XLOOKUP($L512,'#무게관련'!$F:$F,'#무게관련'!$G:$G)*100)</f>
        <v>4000</v>
      </c>
      <c r="N512" s="20">
        <v>20800</v>
      </c>
      <c r="O512" s="20">
        <v>3</v>
      </c>
      <c r="P512" s="20">
        <v>15</v>
      </c>
      <c r="Q512" s="20">
        <v>1</v>
      </c>
      <c r="R512" s="20">
        <v>100</v>
      </c>
      <c r="S512" s="20">
        <v>1</v>
      </c>
      <c r="T512" s="20" t="s">
        <v>1882</v>
      </c>
      <c r="U512" s="104" t="str">
        <f t="shared" si="415"/>
        <v>item_bg_grade_04</v>
      </c>
      <c r="V512" s="20" t="s">
        <v>326</v>
      </c>
      <c r="W512" s="20" t="s">
        <v>400</v>
      </c>
      <c r="X512" s="104">
        <v>0</v>
      </c>
      <c r="Y512" s="104">
        <v>0</v>
      </c>
      <c r="Z512" s="104">
        <v>0</v>
      </c>
      <c r="AA512" s="104">
        <v>0</v>
      </c>
      <c r="AB512" s="104">
        <v>0</v>
      </c>
      <c r="AC512" s="104">
        <v>0</v>
      </c>
      <c r="AD512" s="142">
        <v>0</v>
      </c>
      <c r="AE512" s="112">
        <f t="shared" si="407"/>
        <v>40</v>
      </c>
      <c r="AF512" s="70">
        <v>3406030</v>
      </c>
      <c r="AG512" s="105" cm="1">
        <f t="array" ref="AG512">_xlfn.SWITCH(L512,3,1,
           4,1,
           5,1,
           6,1,0)</f>
        <v>1</v>
      </c>
      <c r="AH512" s="146">
        <f t="shared" si="389"/>
        <v>80101401</v>
      </c>
      <c r="AI512" s="90">
        <v>6002</v>
      </c>
      <c r="AJ512" s="90">
        <v>3005</v>
      </c>
      <c r="AK512" s="27">
        <v>4006</v>
      </c>
      <c r="AL512" s="123">
        <f>_xlfn.XLOOKUP(H512,'#각종 참고'!$B$11:$B$20,'#각종 참고'!$D$11:$D$20)</f>
        <v>0</v>
      </c>
      <c r="AM512" s="27">
        <v>1</v>
      </c>
      <c r="AN512" s="27">
        <v>1</v>
      </c>
      <c r="AO512" s="124">
        <f t="shared" si="392"/>
        <v>1</v>
      </c>
      <c r="AP512" s="27">
        <v>1</v>
      </c>
      <c r="AQ512" s="21">
        <v>13146021</v>
      </c>
      <c r="AR512" s="21" t="s">
        <v>2564</v>
      </c>
      <c r="AS512" s="68"/>
      <c r="AT512" s="68"/>
      <c r="AU512" s="68"/>
    </row>
    <row r="513" spans="1:47" x14ac:dyDescent="0.3">
      <c r="A513" s="19"/>
      <c r="B513" s="109">
        <v>13156001</v>
      </c>
      <c r="C513" s="99" t="str">
        <f t="shared" ref="C513:C516" si="416">IF(K513&gt;0,MID(K513,5, 1), 0)</f>
        <v>3</v>
      </c>
      <c r="D513" s="121">
        <f>COUNTIFS($F$33:F513,F513, $G$33:G513,G513, $C$33:C513,C513, $L$33:L513,L513)</f>
        <v>1</v>
      </c>
      <c r="E513" s="20">
        <v>1</v>
      </c>
      <c r="F513" s="20">
        <v>6</v>
      </c>
      <c r="G513" s="20">
        <v>1</v>
      </c>
      <c r="H513" s="103" t="s">
        <v>965</v>
      </c>
      <c r="I513" s="20" t="s">
        <v>1793</v>
      </c>
      <c r="J513" s="104" t="str">
        <f t="shared" si="398"/>
        <v>Item_Name_13156001</v>
      </c>
      <c r="K513" s="20">
        <v>10103001</v>
      </c>
      <c r="L513" s="108">
        <f t="shared" si="405"/>
        <v>5</v>
      </c>
      <c r="M513" s="105">
        <f>IF(D513=0, 0, _xlfn.XLOOKUP($F513,'#무게관련'!$B:$B,'#무게관련'!$C:$C)*_xlfn.XLOOKUP($L513,'#무게관련'!$F:$F,'#무게관련'!$G:$G)*100)</f>
        <v>4000</v>
      </c>
      <c r="N513" s="20">
        <v>20800</v>
      </c>
      <c r="O513" s="20">
        <v>3</v>
      </c>
      <c r="P513" s="20">
        <v>15</v>
      </c>
      <c r="Q513" s="20">
        <v>1</v>
      </c>
      <c r="R513" s="20">
        <v>100</v>
      </c>
      <c r="S513" s="20">
        <v>1</v>
      </c>
      <c r="T513" s="20" t="s">
        <v>1883</v>
      </c>
      <c r="U513" s="104" t="str">
        <f t="shared" ref="U513:U516" si="417">"item_bg_grade_0"&amp;L513</f>
        <v>item_bg_grade_05</v>
      </c>
      <c r="V513" s="20" t="s">
        <v>326</v>
      </c>
      <c r="W513" s="20" t="s">
        <v>400</v>
      </c>
      <c r="X513" s="104">
        <v>0</v>
      </c>
      <c r="Y513" s="104">
        <v>0</v>
      </c>
      <c r="Z513" s="104">
        <v>0</v>
      </c>
      <c r="AA513" s="104">
        <v>0</v>
      </c>
      <c r="AB513" s="104">
        <v>0</v>
      </c>
      <c r="AC513" s="104">
        <v>0</v>
      </c>
      <c r="AD513" s="142">
        <v>0</v>
      </c>
      <c r="AE513" s="112">
        <f t="shared" si="407"/>
        <v>50</v>
      </c>
      <c r="AF513" s="70">
        <v>3506010</v>
      </c>
      <c r="AG513" s="105" cm="1">
        <f t="array" ref="AG513">_xlfn.SWITCH(L513,3,1,
           4,1,
           5,1,
           6,1,0)</f>
        <v>1</v>
      </c>
      <c r="AH513" s="146">
        <f t="shared" si="389"/>
        <v>80101501</v>
      </c>
      <c r="AI513" s="90">
        <v>6003</v>
      </c>
      <c r="AJ513" s="90">
        <v>3007</v>
      </c>
      <c r="AK513" s="27">
        <v>5006</v>
      </c>
      <c r="AL513" s="123">
        <f>_xlfn.XLOOKUP(H513,'#각종 참고'!$B$11:$B$20,'#각종 참고'!$D$11:$D$20)</f>
        <v>0</v>
      </c>
      <c r="AM513" s="27">
        <v>1</v>
      </c>
      <c r="AN513" s="27">
        <v>1</v>
      </c>
      <c r="AO513" s="124">
        <f t="shared" si="392"/>
        <v>1</v>
      </c>
      <c r="AP513" s="27">
        <v>1</v>
      </c>
      <c r="AQ513" s="21">
        <v>13156001</v>
      </c>
      <c r="AR513" s="21" t="s">
        <v>1793</v>
      </c>
      <c r="AS513" s="68"/>
      <c r="AT513" s="68"/>
      <c r="AU513" s="68"/>
    </row>
    <row r="514" spans="1:47" x14ac:dyDescent="0.3">
      <c r="A514" s="19"/>
      <c r="B514" s="109">
        <v>13156002</v>
      </c>
      <c r="C514" s="99" t="str">
        <f t="shared" ref="C514:C515" si="418">IF(K514&gt;0,MID(K514,5, 1), 0)</f>
        <v>3</v>
      </c>
      <c r="D514" s="121">
        <f>COUNTIFS($F$33:F514,F514, $G$33:G514,G514, $C$33:C514,C514, $L$33:L514,L514)</f>
        <v>2</v>
      </c>
      <c r="E514" s="20">
        <v>1</v>
      </c>
      <c r="F514" s="20">
        <v>6</v>
      </c>
      <c r="G514" s="20">
        <v>1</v>
      </c>
      <c r="H514" s="103" t="s">
        <v>965</v>
      </c>
      <c r="I514" s="20" t="s">
        <v>2206</v>
      </c>
      <c r="J514" s="104" t="str">
        <f t="shared" si="398"/>
        <v>Item_Name_13156002</v>
      </c>
      <c r="K514" s="20">
        <v>10103001</v>
      </c>
      <c r="L514" s="108">
        <f t="shared" si="405"/>
        <v>5</v>
      </c>
      <c r="M514" s="105">
        <f>IF(D514=0, 0, _xlfn.XLOOKUP($F514,'#무게관련'!$B:$B,'#무게관련'!$C:$C)*_xlfn.XLOOKUP($L514,'#무게관련'!$F:$F,'#무게관련'!$G:$G)*100)</f>
        <v>4000</v>
      </c>
      <c r="N514" s="20">
        <v>20800</v>
      </c>
      <c r="O514" s="20">
        <v>3</v>
      </c>
      <c r="P514" s="20">
        <v>15</v>
      </c>
      <c r="Q514" s="20">
        <v>1</v>
      </c>
      <c r="R514" s="20">
        <v>100</v>
      </c>
      <c r="S514" s="20">
        <v>1</v>
      </c>
      <c r="T514" s="20" t="s">
        <v>1883</v>
      </c>
      <c r="U514" s="104" t="str">
        <f t="shared" ref="U514:U515" si="419">"item_bg_grade_0"&amp;L514</f>
        <v>item_bg_grade_05</v>
      </c>
      <c r="V514" s="20" t="s">
        <v>326</v>
      </c>
      <c r="W514" s="20" t="s">
        <v>400</v>
      </c>
      <c r="X514" s="104">
        <v>0</v>
      </c>
      <c r="Y514" s="104">
        <v>0</v>
      </c>
      <c r="Z514" s="104">
        <v>0</v>
      </c>
      <c r="AA514" s="104">
        <v>0</v>
      </c>
      <c r="AB514" s="104">
        <v>0</v>
      </c>
      <c r="AC514" s="104">
        <v>0</v>
      </c>
      <c r="AD514" s="142">
        <v>0</v>
      </c>
      <c r="AE514" s="112">
        <f t="shared" si="407"/>
        <v>50</v>
      </c>
      <c r="AF514" s="70">
        <v>3506020</v>
      </c>
      <c r="AG514" s="105" cm="1">
        <f t="array" ref="AG514">_xlfn.SWITCH(L514,3,1,
           4,1,
           5,1,
           6,1,0)</f>
        <v>1</v>
      </c>
      <c r="AH514" s="146">
        <f t="shared" si="389"/>
        <v>80101501</v>
      </c>
      <c r="AI514" s="90">
        <v>6003</v>
      </c>
      <c r="AJ514" s="90">
        <v>3007</v>
      </c>
      <c r="AK514" s="27">
        <v>5006</v>
      </c>
      <c r="AL514" s="123">
        <f>_xlfn.XLOOKUP(H514,'#각종 참고'!$B$11:$B$20,'#각종 참고'!$D$11:$D$20)</f>
        <v>0</v>
      </c>
      <c r="AM514" s="27">
        <v>1</v>
      </c>
      <c r="AN514" s="27">
        <v>1</v>
      </c>
      <c r="AO514" s="124">
        <f t="shared" si="392"/>
        <v>1</v>
      </c>
      <c r="AP514" s="27">
        <v>1</v>
      </c>
      <c r="AQ514" s="21">
        <v>13156011</v>
      </c>
      <c r="AR514" s="21" t="s">
        <v>2565</v>
      </c>
      <c r="AS514" s="68"/>
      <c r="AT514" s="68"/>
      <c r="AU514" s="68"/>
    </row>
    <row r="515" spans="1:47" x14ac:dyDescent="0.3">
      <c r="A515" s="19"/>
      <c r="B515" s="109">
        <v>13156003</v>
      </c>
      <c r="C515" s="99" t="str">
        <f t="shared" si="418"/>
        <v>3</v>
      </c>
      <c r="D515" s="121">
        <f>COUNTIFS($F$33:F515,F515, $G$33:G515,G515, $C$33:C515,C515, $L$33:L515,L515)</f>
        <v>3</v>
      </c>
      <c r="E515" s="20">
        <v>1</v>
      </c>
      <c r="F515" s="20">
        <v>6</v>
      </c>
      <c r="G515" s="20">
        <v>1</v>
      </c>
      <c r="H515" s="103" t="s">
        <v>965</v>
      </c>
      <c r="I515" s="20" t="s">
        <v>1962</v>
      </c>
      <c r="J515" s="104" t="str">
        <f t="shared" si="398"/>
        <v>Item_Name_13156003</v>
      </c>
      <c r="K515" s="20">
        <v>10103001</v>
      </c>
      <c r="L515" s="108">
        <f t="shared" si="405"/>
        <v>5</v>
      </c>
      <c r="M515" s="105">
        <f>IF(D515=0, 0, _xlfn.XLOOKUP($F515,'#무게관련'!$B:$B,'#무게관련'!$C:$C)*_xlfn.XLOOKUP($L515,'#무게관련'!$F:$F,'#무게관련'!$G:$G)*100)</f>
        <v>4000</v>
      </c>
      <c r="N515" s="20">
        <v>20800</v>
      </c>
      <c r="O515" s="20">
        <v>3</v>
      </c>
      <c r="P515" s="20">
        <v>15</v>
      </c>
      <c r="Q515" s="20">
        <v>1</v>
      </c>
      <c r="R515" s="20">
        <v>100</v>
      </c>
      <c r="S515" s="20">
        <v>1</v>
      </c>
      <c r="T515" s="20" t="s">
        <v>1883</v>
      </c>
      <c r="U515" s="104" t="str">
        <f t="shared" si="419"/>
        <v>item_bg_grade_05</v>
      </c>
      <c r="V515" s="20" t="s">
        <v>326</v>
      </c>
      <c r="W515" s="20" t="s">
        <v>400</v>
      </c>
      <c r="X515" s="104">
        <v>0</v>
      </c>
      <c r="Y515" s="104">
        <v>0</v>
      </c>
      <c r="Z515" s="104">
        <v>0</v>
      </c>
      <c r="AA515" s="104">
        <v>0</v>
      </c>
      <c r="AB515" s="104">
        <v>0</v>
      </c>
      <c r="AC515" s="104">
        <v>0</v>
      </c>
      <c r="AD515" s="142">
        <v>0</v>
      </c>
      <c r="AE515" s="112">
        <f t="shared" si="407"/>
        <v>50</v>
      </c>
      <c r="AF515" s="70">
        <v>3506030</v>
      </c>
      <c r="AG515" s="105" cm="1">
        <f t="array" ref="AG515">_xlfn.SWITCH(L515,3,1,
           4,1,
           5,1,
           6,1,0)</f>
        <v>1</v>
      </c>
      <c r="AH515" s="146">
        <f t="shared" ref="AH515:AH546" si="420">AH497</f>
        <v>80101501</v>
      </c>
      <c r="AI515" s="90">
        <v>6003</v>
      </c>
      <c r="AJ515" s="90">
        <v>3007</v>
      </c>
      <c r="AK515" s="27">
        <v>5006</v>
      </c>
      <c r="AL515" s="123">
        <f>_xlfn.XLOOKUP(H515,'#각종 참고'!$B$11:$B$20,'#각종 참고'!$D$11:$D$20)</f>
        <v>0</v>
      </c>
      <c r="AM515" s="27">
        <v>1</v>
      </c>
      <c r="AN515" s="27">
        <v>1</v>
      </c>
      <c r="AO515" s="124">
        <f t="shared" si="392"/>
        <v>1</v>
      </c>
      <c r="AP515" s="27">
        <v>1</v>
      </c>
      <c r="AQ515" s="21">
        <v>13156021</v>
      </c>
      <c r="AR515" s="21" t="s">
        <v>2566</v>
      </c>
      <c r="AS515" s="68"/>
      <c r="AT515" s="68"/>
      <c r="AU515" s="68"/>
    </row>
    <row r="516" spans="1:47" x14ac:dyDescent="0.3">
      <c r="A516" s="19"/>
      <c r="B516" s="109">
        <v>13166001</v>
      </c>
      <c r="C516" s="99" t="str">
        <f t="shared" si="416"/>
        <v>3</v>
      </c>
      <c r="D516" s="121">
        <f>COUNTIFS($F$33:F516,F516, $G$33:G516,G516, $C$33:C516,C516, $L$33:L516,L516)</f>
        <v>1</v>
      </c>
      <c r="E516" s="20">
        <v>1</v>
      </c>
      <c r="F516" s="20">
        <v>6</v>
      </c>
      <c r="G516" s="20">
        <v>1</v>
      </c>
      <c r="H516" s="103" t="s">
        <v>965</v>
      </c>
      <c r="I516" s="20" t="s">
        <v>1795</v>
      </c>
      <c r="J516" s="104" t="str">
        <f t="shared" si="398"/>
        <v>Item_Name_13166001</v>
      </c>
      <c r="K516" s="20">
        <v>10103001</v>
      </c>
      <c r="L516" s="108">
        <f t="shared" si="405"/>
        <v>6</v>
      </c>
      <c r="M516" s="105">
        <f>IF(D516=0, 0, _xlfn.XLOOKUP($F516,'#무게관련'!$B:$B,'#무게관련'!$C:$C)*_xlfn.XLOOKUP($L516,'#무게관련'!$F:$F,'#무게관련'!$G:$G)*100)</f>
        <v>4000</v>
      </c>
      <c r="N516" s="20">
        <v>20800</v>
      </c>
      <c r="O516" s="20">
        <v>3</v>
      </c>
      <c r="P516" s="20">
        <v>15</v>
      </c>
      <c r="Q516" s="20">
        <v>1</v>
      </c>
      <c r="R516" s="20">
        <v>100</v>
      </c>
      <c r="S516" s="20">
        <v>1</v>
      </c>
      <c r="T516" s="109" t="s">
        <v>1883</v>
      </c>
      <c r="U516" s="104" t="str">
        <f t="shared" si="417"/>
        <v>item_bg_grade_06</v>
      </c>
      <c r="V516" s="20" t="s">
        <v>326</v>
      </c>
      <c r="W516" s="20" t="s">
        <v>400</v>
      </c>
      <c r="X516" s="104">
        <v>0</v>
      </c>
      <c r="Y516" s="104">
        <v>0</v>
      </c>
      <c r="Z516" s="104">
        <v>0</v>
      </c>
      <c r="AA516" s="104">
        <v>0</v>
      </c>
      <c r="AB516" s="104">
        <v>0</v>
      </c>
      <c r="AC516" s="104">
        <v>0</v>
      </c>
      <c r="AD516" s="142">
        <v>0</v>
      </c>
      <c r="AE516" s="112">
        <f t="shared" si="407"/>
        <v>70</v>
      </c>
      <c r="AF516" s="70">
        <v>3606010</v>
      </c>
      <c r="AG516" s="105" cm="1">
        <f t="array" ref="AG516">_xlfn.SWITCH(L516,3,1,
           4,1,
           5,1,
           6,1,0)</f>
        <v>1</v>
      </c>
      <c r="AH516" s="146">
        <f t="shared" si="420"/>
        <v>0</v>
      </c>
      <c r="AI516" s="90">
        <v>6004</v>
      </c>
      <c r="AJ516" s="90">
        <v>3009</v>
      </c>
      <c r="AK516" s="27">
        <v>6006</v>
      </c>
      <c r="AL516" s="123">
        <f>_xlfn.XLOOKUP(H516,'#각종 참고'!$B$11:$B$20,'#각종 참고'!$D$11:$D$20)</f>
        <v>0</v>
      </c>
      <c r="AM516" s="27">
        <v>1</v>
      </c>
      <c r="AN516" s="27">
        <v>1</v>
      </c>
      <c r="AO516" s="124">
        <f t="shared" si="392"/>
        <v>1</v>
      </c>
      <c r="AP516" s="27">
        <v>1</v>
      </c>
      <c r="AQ516" s="21">
        <v>13166001</v>
      </c>
      <c r="AR516" s="21" t="s">
        <v>1795</v>
      </c>
      <c r="AS516" s="68"/>
      <c r="AT516" s="68"/>
      <c r="AU516" s="68"/>
    </row>
    <row r="517" spans="1:47" x14ac:dyDescent="0.3">
      <c r="A517" s="19" t="s">
        <v>513</v>
      </c>
      <c r="B517" s="109">
        <v>13166002</v>
      </c>
      <c r="C517" s="99" t="str">
        <f t="shared" ref="C517:C518" si="421">IF(K517&gt;0,MID(K517,5, 1), 0)</f>
        <v>3</v>
      </c>
      <c r="D517" s="121">
        <f>COUNTIFS($F$33:F517,F517, $G$33:G517,G517, $C$33:C517,C517, $L$33:L517,L517)</f>
        <v>2</v>
      </c>
      <c r="E517" s="20">
        <v>1</v>
      </c>
      <c r="F517" s="20">
        <v>6</v>
      </c>
      <c r="G517" s="20">
        <v>1</v>
      </c>
      <c r="H517" s="103" t="s">
        <v>965</v>
      </c>
      <c r="I517" s="20" t="s">
        <v>2208</v>
      </c>
      <c r="J517" s="104" t="str">
        <f t="shared" si="398"/>
        <v>Item_Name_13166002</v>
      </c>
      <c r="K517" s="20">
        <v>10103001</v>
      </c>
      <c r="L517" s="108">
        <f t="shared" si="405"/>
        <v>6</v>
      </c>
      <c r="M517" s="105">
        <f>IF(D517=0, 0, _xlfn.XLOOKUP($F517,'#무게관련'!$B:$B,'#무게관련'!$C:$C)*_xlfn.XLOOKUP($L517,'#무게관련'!$F:$F,'#무게관련'!$G:$G)*100)</f>
        <v>4000</v>
      </c>
      <c r="N517" s="20">
        <v>20800</v>
      </c>
      <c r="O517" s="20">
        <v>3</v>
      </c>
      <c r="P517" s="20">
        <v>15</v>
      </c>
      <c r="Q517" s="20">
        <v>1</v>
      </c>
      <c r="R517" s="20">
        <v>100</v>
      </c>
      <c r="S517" s="20">
        <v>1</v>
      </c>
      <c r="T517" s="109" t="s">
        <v>1883</v>
      </c>
      <c r="U517" s="104" t="str">
        <f t="shared" ref="U517:U518" si="422">"item_bg_grade_0"&amp;L517</f>
        <v>item_bg_grade_06</v>
      </c>
      <c r="V517" s="20" t="s">
        <v>326</v>
      </c>
      <c r="W517" s="20" t="s">
        <v>400</v>
      </c>
      <c r="X517" s="104">
        <v>0</v>
      </c>
      <c r="Y517" s="104">
        <v>0</v>
      </c>
      <c r="Z517" s="104">
        <v>0</v>
      </c>
      <c r="AA517" s="104">
        <v>0</v>
      </c>
      <c r="AB517" s="104">
        <v>0</v>
      </c>
      <c r="AC517" s="104">
        <v>0</v>
      </c>
      <c r="AD517" s="142">
        <v>0</v>
      </c>
      <c r="AE517" s="112">
        <f t="shared" si="407"/>
        <v>70</v>
      </c>
      <c r="AF517" s="70">
        <v>3606010</v>
      </c>
      <c r="AG517" s="105" cm="1">
        <f t="array" ref="AG517">_xlfn.SWITCH(L517,3,1,
           4,1,
           5,1,
           6,1,0)</f>
        <v>1</v>
      </c>
      <c r="AH517" s="146">
        <f t="shared" si="420"/>
        <v>0</v>
      </c>
      <c r="AI517" s="90">
        <v>6004</v>
      </c>
      <c r="AJ517" s="90">
        <v>3009</v>
      </c>
      <c r="AK517" s="27">
        <v>6006</v>
      </c>
      <c r="AL517" s="123">
        <f>_xlfn.XLOOKUP(H517,'#각종 참고'!$B$11:$B$20,'#각종 참고'!$D$11:$D$20)</f>
        <v>0</v>
      </c>
      <c r="AM517" s="27">
        <v>1</v>
      </c>
      <c r="AN517" s="27">
        <v>1</v>
      </c>
      <c r="AO517" s="124">
        <f t="shared" si="392"/>
        <v>1</v>
      </c>
      <c r="AP517" s="27">
        <v>1</v>
      </c>
      <c r="AQ517" s="21">
        <v>13166011</v>
      </c>
      <c r="AR517" s="21" t="s">
        <v>2567</v>
      </c>
      <c r="AS517" s="68"/>
      <c r="AT517" s="68"/>
      <c r="AU517" s="68"/>
    </row>
    <row r="518" spans="1:47" x14ac:dyDescent="0.3">
      <c r="A518" s="19" t="s">
        <v>513</v>
      </c>
      <c r="B518" s="109">
        <v>13166003</v>
      </c>
      <c r="C518" s="99" t="str">
        <f t="shared" si="421"/>
        <v>3</v>
      </c>
      <c r="D518" s="121">
        <f>COUNTIFS($F$33:F518,F518, $G$33:G518,G518, $C$33:C518,C518, $L$33:L518,L518)</f>
        <v>3</v>
      </c>
      <c r="E518" s="20">
        <v>1</v>
      </c>
      <c r="F518" s="20">
        <v>6</v>
      </c>
      <c r="G518" s="20">
        <v>1</v>
      </c>
      <c r="H518" s="103" t="s">
        <v>965</v>
      </c>
      <c r="I518" s="20" t="s">
        <v>2207</v>
      </c>
      <c r="J518" s="104" t="str">
        <f t="shared" si="398"/>
        <v>Item_Name_13166003</v>
      </c>
      <c r="K518" s="20">
        <v>10103001</v>
      </c>
      <c r="L518" s="108">
        <f t="shared" si="405"/>
        <v>6</v>
      </c>
      <c r="M518" s="105">
        <f>IF(D518=0, 0, _xlfn.XLOOKUP($F518,'#무게관련'!$B:$B,'#무게관련'!$C:$C)*_xlfn.XLOOKUP($L518,'#무게관련'!$F:$F,'#무게관련'!$G:$G)*100)</f>
        <v>4000</v>
      </c>
      <c r="N518" s="20">
        <v>20800</v>
      </c>
      <c r="O518" s="20">
        <v>3</v>
      </c>
      <c r="P518" s="20">
        <v>15</v>
      </c>
      <c r="Q518" s="20">
        <v>1</v>
      </c>
      <c r="R518" s="20">
        <v>100</v>
      </c>
      <c r="S518" s="20">
        <v>1</v>
      </c>
      <c r="T518" s="109" t="s">
        <v>1883</v>
      </c>
      <c r="U518" s="104" t="str">
        <f t="shared" si="422"/>
        <v>item_bg_grade_06</v>
      </c>
      <c r="V518" s="20" t="s">
        <v>326</v>
      </c>
      <c r="W518" s="20" t="s">
        <v>400</v>
      </c>
      <c r="X518" s="104">
        <v>0</v>
      </c>
      <c r="Y518" s="104">
        <v>0</v>
      </c>
      <c r="Z518" s="104">
        <v>0</v>
      </c>
      <c r="AA518" s="104">
        <v>0</v>
      </c>
      <c r="AB518" s="104">
        <v>0</v>
      </c>
      <c r="AC518" s="104">
        <v>0</v>
      </c>
      <c r="AD518" s="142">
        <v>0</v>
      </c>
      <c r="AE518" s="112">
        <f t="shared" si="407"/>
        <v>70</v>
      </c>
      <c r="AF518" s="70">
        <v>3606010</v>
      </c>
      <c r="AG518" s="105" cm="1">
        <f t="array" ref="AG518">_xlfn.SWITCH(L518,3,1,
           4,1,
           5,1,
           6,1,0)</f>
        <v>1</v>
      </c>
      <c r="AH518" s="146">
        <f t="shared" si="420"/>
        <v>0</v>
      </c>
      <c r="AI518" s="90">
        <v>6004</v>
      </c>
      <c r="AJ518" s="90">
        <v>3009</v>
      </c>
      <c r="AK518" s="27">
        <v>6006</v>
      </c>
      <c r="AL518" s="123">
        <f>_xlfn.XLOOKUP(H518,'#각종 참고'!$B$11:$B$20,'#각종 참고'!$D$11:$D$20)</f>
        <v>0</v>
      </c>
      <c r="AM518" s="27">
        <v>1</v>
      </c>
      <c r="AN518" s="27">
        <v>1</v>
      </c>
      <c r="AO518" s="124">
        <f t="shared" si="392"/>
        <v>1</v>
      </c>
      <c r="AP518" s="27">
        <v>1</v>
      </c>
      <c r="AQ518" s="21">
        <v>13166021</v>
      </c>
      <c r="AR518" s="21" t="s">
        <v>2568</v>
      </c>
      <c r="AS518" s="68"/>
      <c r="AT518" s="68"/>
      <c r="AU518" s="68"/>
    </row>
    <row r="519" spans="1:47" s="68" customFormat="1" x14ac:dyDescent="0.3">
      <c r="A519" s="65"/>
      <c r="B519" s="110">
        <v>14116001</v>
      </c>
      <c r="C519" s="99" t="str">
        <f t="shared" si="267"/>
        <v>4</v>
      </c>
      <c r="D519" s="120">
        <f>COUNTIFS($F$33:F519,F519, $G$33:G519,G519, $C$33:C519,C519, $L$33:L519,L519)</f>
        <v>1</v>
      </c>
      <c r="E519" s="20">
        <v>1</v>
      </c>
      <c r="F519" s="66">
        <v>6</v>
      </c>
      <c r="G519" s="66">
        <v>1</v>
      </c>
      <c r="H519" s="103" t="s">
        <v>965</v>
      </c>
      <c r="I519" s="66" t="s">
        <v>1796</v>
      </c>
      <c r="J519" s="104" t="str">
        <f t="shared" si="398"/>
        <v>Item_Name_14116001</v>
      </c>
      <c r="K519" s="66">
        <v>10104001</v>
      </c>
      <c r="L519" s="106">
        <f t="shared" si="405"/>
        <v>1</v>
      </c>
      <c r="M519" s="105">
        <f>IF(D519=0, 0, _xlfn.XLOOKUP($F519,'#무게관련'!$B:$B,'#무게관련'!$C:$C)*_xlfn.XLOOKUP($L519,'#무게관련'!$F:$F,'#무게관련'!$G:$G)*100)</f>
        <v>4000</v>
      </c>
      <c r="N519" s="20">
        <v>20800</v>
      </c>
      <c r="O519" s="20">
        <v>4</v>
      </c>
      <c r="P519" s="66">
        <v>15</v>
      </c>
      <c r="Q519" s="20">
        <v>1</v>
      </c>
      <c r="R519" s="66">
        <v>100</v>
      </c>
      <c r="S519" s="66">
        <v>1</v>
      </c>
      <c r="T519" s="66" t="s">
        <v>1879</v>
      </c>
      <c r="U519" s="104" t="str">
        <f t="shared" si="333"/>
        <v>item_bg_grade_01</v>
      </c>
      <c r="V519" s="66" t="s">
        <v>326</v>
      </c>
      <c r="W519" s="66" t="s">
        <v>400</v>
      </c>
      <c r="X519" s="104">
        <v>0</v>
      </c>
      <c r="Y519" s="104">
        <v>0</v>
      </c>
      <c r="Z519" s="104">
        <v>0</v>
      </c>
      <c r="AA519" s="104">
        <v>0</v>
      </c>
      <c r="AB519" s="104">
        <v>0</v>
      </c>
      <c r="AC519" s="104">
        <v>0</v>
      </c>
      <c r="AD519" s="142">
        <v>0</v>
      </c>
      <c r="AE519" s="111">
        <f t="shared" si="407"/>
        <v>10</v>
      </c>
      <c r="AF519" s="70">
        <v>4106010</v>
      </c>
      <c r="AG519" s="105" cm="1">
        <f t="array" ref="AG519">_xlfn.SWITCH(L519,3,1,
           4,1,
           5,1,
           6,1,0)</f>
        <v>0</v>
      </c>
      <c r="AH519" s="146">
        <f t="shared" si="420"/>
        <v>80101101</v>
      </c>
      <c r="AI519" s="90">
        <v>0</v>
      </c>
      <c r="AJ519" s="90">
        <v>0</v>
      </c>
      <c r="AK519" s="27">
        <v>0</v>
      </c>
      <c r="AL519" s="123">
        <f>_xlfn.XLOOKUP(H519,'#각종 참고'!$B$11:$B$20,'#각종 참고'!$D$11:$D$20)</f>
        <v>0</v>
      </c>
      <c r="AM519" s="27">
        <v>1</v>
      </c>
      <c r="AN519" s="27">
        <v>1</v>
      </c>
      <c r="AO519" s="124">
        <f t="shared" si="392"/>
        <v>1</v>
      </c>
      <c r="AP519" s="27">
        <v>1</v>
      </c>
      <c r="AQ519" s="21">
        <v>14116001</v>
      </c>
      <c r="AR519" s="68" t="s">
        <v>1796</v>
      </c>
    </row>
    <row r="520" spans="1:47" s="68" customFormat="1" x14ac:dyDescent="0.3">
      <c r="A520" s="65"/>
      <c r="B520" s="110">
        <v>14116002</v>
      </c>
      <c r="C520" s="99" t="str">
        <f t="shared" ref="C520:C521" si="423">IF(K520&gt;0,MID(K520,5, 1), 0)</f>
        <v>4</v>
      </c>
      <c r="D520" s="120">
        <f>COUNTIFS($F$33:F520,F520, $G$33:G520,G520, $C$33:C520,C520, $L$33:L520,L520)</f>
        <v>2</v>
      </c>
      <c r="E520" s="20">
        <v>1</v>
      </c>
      <c r="F520" s="66">
        <v>6</v>
      </c>
      <c r="G520" s="66">
        <v>1</v>
      </c>
      <c r="H520" s="103" t="s">
        <v>965</v>
      </c>
      <c r="I520" s="66" t="s">
        <v>2210</v>
      </c>
      <c r="J520" s="104" t="str">
        <f t="shared" si="398"/>
        <v>Item_Name_14116002</v>
      </c>
      <c r="K520" s="66">
        <v>10104001</v>
      </c>
      <c r="L520" s="106">
        <f t="shared" si="405"/>
        <v>1</v>
      </c>
      <c r="M520" s="105">
        <f>IF(D520=0, 0, _xlfn.XLOOKUP($F520,'#무게관련'!$B:$B,'#무게관련'!$C:$C)*_xlfn.XLOOKUP($L520,'#무게관련'!$F:$F,'#무게관련'!$G:$G)*100)</f>
        <v>4000</v>
      </c>
      <c r="N520" s="20">
        <v>20800</v>
      </c>
      <c r="O520" s="20">
        <v>4</v>
      </c>
      <c r="P520" s="66">
        <v>15</v>
      </c>
      <c r="Q520" s="20">
        <v>1</v>
      </c>
      <c r="R520" s="66">
        <v>100</v>
      </c>
      <c r="S520" s="66">
        <v>1</v>
      </c>
      <c r="T520" s="66" t="s">
        <v>1879</v>
      </c>
      <c r="U520" s="104" t="str">
        <f t="shared" ref="U520:U521" si="424">"item_bg_grade_0"&amp;L520</f>
        <v>item_bg_grade_01</v>
      </c>
      <c r="V520" s="66" t="s">
        <v>326</v>
      </c>
      <c r="W520" s="66" t="s">
        <v>400</v>
      </c>
      <c r="X520" s="104">
        <v>0</v>
      </c>
      <c r="Y520" s="104">
        <v>0</v>
      </c>
      <c r="Z520" s="104">
        <v>0</v>
      </c>
      <c r="AA520" s="104">
        <v>0</v>
      </c>
      <c r="AB520" s="104">
        <v>0</v>
      </c>
      <c r="AC520" s="104">
        <v>0</v>
      </c>
      <c r="AD520" s="142">
        <v>0</v>
      </c>
      <c r="AE520" s="111">
        <f t="shared" si="407"/>
        <v>10</v>
      </c>
      <c r="AF520" s="70">
        <v>4106020</v>
      </c>
      <c r="AG520" s="105" cm="1">
        <f t="array" ref="AG520">_xlfn.SWITCH(L520,3,1,
           4,1,
           5,1,
           6,1,0)</f>
        <v>0</v>
      </c>
      <c r="AH520" s="146">
        <f t="shared" si="420"/>
        <v>80101101</v>
      </c>
      <c r="AI520" s="90">
        <v>0</v>
      </c>
      <c r="AJ520" s="90">
        <v>0</v>
      </c>
      <c r="AK520" s="27">
        <v>0</v>
      </c>
      <c r="AL520" s="123">
        <f>_xlfn.XLOOKUP(H520,'#각종 참고'!$B$11:$B$20,'#각종 참고'!$D$11:$D$20)</f>
        <v>0</v>
      </c>
      <c r="AM520" s="27">
        <v>1</v>
      </c>
      <c r="AN520" s="27">
        <v>1</v>
      </c>
      <c r="AO520" s="124">
        <f t="shared" si="392"/>
        <v>1</v>
      </c>
      <c r="AP520" s="27">
        <v>1</v>
      </c>
      <c r="AQ520" s="21">
        <v>14116011</v>
      </c>
      <c r="AR520" s="68" t="s">
        <v>2569</v>
      </c>
    </row>
    <row r="521" spans="1:47" s="68" customFormat="1" x14ac:dyDescent="0.3">
      <c r="A521" s="65"/>
      <c r="B521" s="110">
        <v>14116003</v>
      </c>
      <c r="C521" s="99" t="str">
        <f t="shared" si="423"/>
        <v>4</v>
      </c>
      <c r="D521" s="120">
        <f>COUNTIFS($F$33:F521,F521, $G$33:G521,G521, $C$33:C521,C521, $L$33:L521,L521)</f>
        <v>3</v>
      </c>
      <c r="E521" s="20">
        <v>1</v>
      </c>
      <c r="F521" s="66">
        <v>6</v>
      </c>
      <c r="G521" s="66">
        <v>1</v>
      </c>
      <c r="H521" s="103" t="s">
        <v>965</v>
      </c>
      <c r="I521" s="66" t="s">
        <v>2209</v>
      </c>
      <c r="J521" s="104" t="str">
        <f t="shared" si="398"/>
        <v>Item_Name_14116003</v>
      </c>
      <c r="K521" s="66">
        <v>10104001</v>
      </c>
      <c r="L521" s="106">
        <f t="shared" si="405"/>
        <v>1</v>
      </c>
      <c r="M521" s="105">
        <f>IF(D521=0, 0, _xlfn.XLOOKUP($F521,'#무게관련'!$B:$B,'#무게관련'!$C:$C)*_xlfn.XLOOKUP($L521,'#무게관련'!$F:$F,'#무게관련'!$G:$G)*100)</f>
        <v>4000</v>
      </c>
      <c r="N521" s="20">
        <v>20800</v>
      </c>
      <c r="O521" s="20">
        <v>4</v>
      </c>
      <c r="P521" s="66">
        <v>15</v>
      </c>
      <c r="Q521" s="20">
        <v>1</v>
      </c>
      <c r="R521" s="66">
        <v>100</v>
      </c>
      <c r="S521" s="66">
        <v>1</v>
      </c>
      <c r="T521" s="66" t="s">
        <v>1879</v>
      </c>
      <c r="U521" s="104" t="str">
        <f t="shared" si="424"/>
        <v>item_bg_grade_01</v>
      </c>
      <c r="V521" s="66" t="s">
        <v>326</v>
      </c>
      <c r="W521" s="66" t="s">
        <v>400</v>
      </c>
      <c r="X521" s="104">
        <v>0</v>
      </c>
      <c r="Y521" s="104">
        <v>0</v>
      </c>
      <c r="Z521" s="104">
        <v>0</v>
      </c>
      <c r="AA521" s="104">
        <v>0</v>
      </c>
      <c r="AB521" s="104">
        <v>0</v>
      </c>
      <c r="AC521" s="104">
        <v>0</v>
      </c>
      <c r="AD521" s="142">
        <v>0</v>
      </c>
      <c r="AE521" s="111">
        <f t="shared" si="407"/>
        <v>10</v>
      </c>
      <c r="AF521" s="70">
        <v>4106030</v>
      </c>
      <c r="AG521" s="105" cm="1">
        <f t="array" ref="AG521">_xlfn.SWITCH(L521,3,1,
           4,1,
           5,1,
           6,1,0)</f>
        <v>0</v>
      </c>
      <c r="AH521" s="146">
        <f t="shared" si="420"/>
        <v>80101101</v>
      </c>
      <c r="AI521" s="90">
        <v>0</v>
      </c>
      <c r="AJ521" s="90">
        <v>0</v>
      </c>
      <c r="AK521" s="27">
        <v>0</v>
      </c>
      <c r="AL521" s="123">
        <f>_xlfn.XLOOKUP(H521,'#각종 참고'!$B$11:$B$20,'#각종 참고'!$D$11:$D$20)</f>
        <v>0</v>
      </c>
      <c r="AM521" s="27">
        <v>1</v>
      </c>
      <c r="AN521" s="27">
        <v>1</v>
      </c>
      <c r="AO521" s="124">
        <f t="shared" si="392"/>
        <v>1</v>
      </c>
      <c r="AP521" s="27">
        <v>1</v>
      </c>
      <c r="AQ521" s="21">
        <v>14116021</v>
      </c>
      <c r="AR521" s="68" t="s">
        <v>2570</v>
      </c>
    </row>
    <row r="522" spans="1:47" x14ac:dyDescent="0.3">
      <c r="A522" s="19"/>
      <c r="B522" s="109">
        <v>14126001</v>
      </c>
      <c r="C522" s="99" t="str">
        <f t="shared" si="267"/>
        <v>4</v>
      </c>
      <c r="D522" s="121">
        <f>COUNTIFS($F$33:F522,F522, $G$33:G522,G522, $C$33:C522,C522, $L$33:L522,L522)</f>
        <v>1</v>
      </c>
      <c r="E522" s="20">
        <v>1</v>
      </c>
      <c r="F522" s="20">
        <v>6</v>
      </c>
      <c r="G522" s="20">
        <v>1</v>
      </c>
      <c r="H522" s="103" t="s">
        <v>965</v>
      </c>
      <c r="I522" s="20" t="s">
        <v>1797</v>
      </c>
      <c r="J522" s="104" t="str">
        <f t="shared" si="398"/>
        <v>Item_Name_14126001</v>
      </c>
      <c r="K522" s="20">
        <v>10104001</v>
      </c>
      <c r="L522" s="107">
        <f t="shared" si="405"/>
        <v>2</v>
      </c>
      <c r="M522" s="105">
        <f>IF(D522=0, 0, _xlfn.XLOOKUP($F522,'#무게관련'!$B:$B,'#무게관련'!$C:$C)*_xlfn.XLOOKUP($L522,'#무게관련'!$F:$F,'#무게관련'!$G:$G)*100)</f>
        <v>4000</v>
      </c>
      <c r="N522" s="20">
        <v>20800</v>
      </c>
      <c r="O522" s="20">
        <v>4</v>
      </c>
      <c r="P522" s="20">
        <v>15</v>
      </c>
      <c r="Q522" s="20">
        <v>1</v>
      </c>
      <c r="R522" s="20">
        <v>100</v>
      </c>
      <c r="S522" s="20">
        <v>1</v>
      </c>
      <c r="T522" s="20" t="s">
        <v>1880</v>
      </c>
      <c r="U522" s="104" t="str">
        <f t="shared" si="333"/>
        <v>item_bg_grade_02</v>
      </c>
      <c r="V522" s="20" t="s">
        <v>326</v>
      </c>
      <c r="W522" s="20" t="s">
        <v>400</v>
      </c>
      <c r="X522" s="104">
        <v>0</v>
      </c>
      <c r="Y522" s="104">
        <v>0</v>
      </c>
      <c r="Z522" s="104">
        <v>0</v>
      </c>
      <c r="AA522" s="104">
        <v>0</v>
      </c>
      <c r="AB522" s="104">
        <v>0</v>
      </c>
      <c r="AC522" s="104">
        <v>0</v>
      </c>
      <c r="AD522" s="142">
        <v>0</v>
      </c>
      <c r="AE522" s="112">
        <f t="shared" si="407"/>
        <v>20</v>
      </c>
      <c r="AF522" s="70">
        <v>4206010</v>
      </c>
      <c r="AG522" s="105" cm="1">
        <f t="array" ref="AG522">_xlfn.SWITCH(L522,3,1,
           4,1,
           5,1,
           6,1,0)</f>
        <v>0</v>
      </c>
      <c r="AH522" s="146">
        <f t="shared" si="420"/>
        <v>80101201</v>
      </c>
      <c r="AI522" s="90">
        <v>6000</v>
      </c>
      <c r="AJ522" s="90">
        <v>3001</v>
      </c>
      <c r="AK522" s="27">
        <v>2006</v>
      </c>
      <c r="AL522" s="123">
        <f>_xlfn.XLOOKUP(H522,'#각종 참고'!$B$11:$B$20,'#각종 참고'!$D$11:$D$20)</f>
        <v>0</v>
      </c>
      <c r="AM522" s="27">
        <v>1</v>
      </c>
      <c r="AN522" s="27">
        <v>1</v>
      </c>
      <c r="AO522" s="124">
        <f t="shared" si="392"/>
        <v>1</v>
      </c>
      <c r="AP522" s="27">
        <v>1</v>
      </c>
      <c r="AQ522" s="21">
        <v>14126001</v>
      </c>
      <c r="AR522" s="21" t="s">
        <v>1797</v>
      </c>
      <c r="AS522" s="68"/>
      <c r="AT522" s="68"/>
      <c r="AU522" s="68"/>
    </row>
    <row r="523" spans="1:47" x14ac:dyDescent="0.3">
      <c r="A523" s="19"/>
      <c r="B523" s="109">
        <v>14126002</v>
      </c>
      <c r="C523" s="99" t="str">
        <f t="shared" ref="C523:C524" si="425">IF(K523&gt;0,MID(K523,5, 1), 0)</f>
        <v>4</v>
      </c>
      <c r="D523" s="121">
        <f>COUNTIFS($F$33:F523,F523, $G$33:G523,G523, $C$33:C523,C523, $L$33:L523,L523)</f>
        <v>2</v>
      </c>
      <c r="E523" s="20">
        <v>1</v>
      </c>
      <c r="F523" s="20">
        <v>6</v>
      </c>
      <c r="G523" s="20">
        <v>1</v>
      </c>
      <c r="H523" s="103" t="s">
        <v>965</v>
      </c>
      <c r="I523" s="20" t="s">
        <v>2211</v>
      </c>
      <c r="J523" s="104" t="str">
        <f t="shared" si="398"/>
        <v>Item_Name_14126002</v>
      </c>
      <c r="K523" s="20">
        <v>10104001</v>
      </c>
      <c r="L523" s="107">
        <f t="shared" si="405"/>
        <v>2</v>
      </c>
      <c r="M523" s="105">
        <f>IF(D523=0, 0, _xlfn.XLOOKUP($F523,'#무게관련'!$B:$B,'#무게관련'!$C:$C)*_xlfn.XLOOKUP($L523,'#무게관련'!$F:$F,'#무게관련'!$G:$G)*100)</f>
        <v>4000</v>
      </c>
      <c r="N523" s="20">
        <v>20800</v>
      </c>
      <c r="O523" s="20">
        <v>4</v>
      </c>
      <c r="P523" s="20">
        <v>15</v>
      </c>
      <c r="Q523" s="20">
        <v>1</v>
      </c>
      <c r="R523" s="20">
        <v>100</v>
      </c>
      <c r="S523" s="20">
        <v>1</v>
      </c>
      <c r="T523" s="20" t="s">
        <v>1880</v>
      </c>
      <c r="U523" s="104" t="str">
        <f t="shared" ref="U523:U524" si="426">"item_bg_grade_0"&amp;L523</f>
        <v>item_bg_grade_02</v>
      </c>
      <c r="V523" s="20" t="s">
        <v>326</v>
      </c>
      <c r="W523" s="20" t="s">
        <v>400</v>
      </c>
      <c r="X523" s="104">
        <v>0</v>
      </c>
      <c r="Y523" s="104">
        <v>0</v>
      </c>
      <c r="Z523" s="104">
        <v>0</v>
      </c>
      <c r="AA523" s="104">
        <v>0</v>
      </c>
      <c r="AB523" s="104">
        <v>0</v>
      </c>
      <c r="AC523" s="104">
        <v>0</v>
      </c>
      <c r="AD523" s="142">
        <v>0</v>
      </c>
      <c r="AE523" s="112">
        <f t="shared" si="407"/>
        <v>20</v>
      </c>
      <c r="AF523" s="70">
        <v>4206020</v>
      </c>
      <c r="AG523" s="105" cm="1">
        <f t="array" ref="AG523">_xlfn.SWITCH(L523,3,1,
           4,1,
           5,1,
           6,1,0)</f>
        <v>0</v>
      </c>
      <c r="AH523" s="146">
        <f t="shared" si="420"/>
        <v>80101201</v>
      </c>
      <c r="AI523" s="90">
        <v>6000</v>
      </c>
      <c r="AJ523" s="90">
        <v>3001</v>
      </c>
      <c r="AK523" s="27">
        <v>2006</v>
      </c>
      <c r="AL523" s="123">
        <f>_xlfn.XLOOKUP(H523,'#각종 참고'!$B$11:$B$20,'#각종 참고'!$D$11:$D$20)</f>
        <v>0</v>
      </c>
      <c r="AM523" s="27">
        <v>1</v>
      </c>
      <c r="AN523" s="27">
        <v>1</v>
      </c>
      <c r="AO523" s="124">
        <f t="shared" si="392"/>
        <v>1</v>
      </c>
      <c r="AP523" s="27">
        <v>1</v>
      </c>
      <c r="AQ523" s="21">
        <v>14126011</v>
      </c>
      <c r="AR523" s="21" t="s">
        <v>2571</v>
      </c>
      <c r="AS523" s="68"/>
      <c r="AT523" s="68"/>
      <c r="AU523" s="68"/>
    </row>
    <row r="524" spans="1:47" x14ac:dyDescent="0.3">
      <c r="A524" s="19"/>
      <c r="B524" s="109">
        <v>14126003</v>
      </c>
      <c r="C524" s="99" t="str">
        <f t="shared" si="425"/>
        <v>4</v>
      </c>
      <c r="D524" s="121">
        <f>COUNTIFS($F$33:F524,F524, $G$33:G524,G524, $C$33:C524,C524, $L$33:L524,L524)</f>
        <v>3</v>
      </c>
      <c r="E524" s="20">
        <v>1</v>
      </c>
      <c r="F524" s="20">
        <v>6</v>
      </c>
      <c r="G524" s="20">
        <v>1</v>
      </c>
      <c r="H524" s="103" t="s">
        <v>965</v>
      </c>
      <c r="I524" s="20" t="s">
        <v>2025</v>
      </c>
      <c r="J524" s="104" t="str">
        <f t="shared" si="398"/>
        <v>Item_Name_14126003</v>
      </c>
      <c r="K524" s="20">
        <v>10104001</v>
      </c>
      <c r="L524" s="107">
        <f t="shared" si="405"/>
        <v>2</v>
      </c>
      <c r="M524" s="105">
        <f>IF(D524=0, 0, _xlfn.XLOOKUP($F524,'#무게관련'!$B:$B,'#무게관련'!$C:$C)*_xlfn.XLOOKUP($L524,'#무게관련'!$F:$F,'#무게관련'!$G:$G)*100)</f>
        <v>4000</v>
      </c>
      <c r="N524" s="20">
        <v>20800</v>
      </c>
      <c r="O524" s="20">
        <v>4</v>
      </c>
      <c r="P524" s="20">
        <v>15</v>
      </c>
      <c r="Q524" s="20">
        <v>1</v>
      </c>
      <c r="R524" s="20">
        <v>100</v>
      </c>
      <c r="S524" s="20">
        <v>1</v>
      </c>
      <c r="T524" s="20" t="s">
        <v>1880</v>
      </c>
      <c r="U524" s="104" t="str">
        <f t="shared" si="426"/>
        <v>item_bg_grade_02</v>
      </c>
      <c r="V524" s="20" t="s">
        <v>326</v>
      </c>
      <c r="W524" s="20" t="s">
        <v>400</v>
      </c>
      <c r="X524" s="104">
        <v>0</v>
      </c>
      <c r="Y524" s="104">
        <v>0</v>
      </c>
      <c r="Z524" s="104">
        <v>0</v>
      </c>
      <c r="AA524" s="104">
        <v>0</v>
      </c>
      <c r="AB524" s="104">
        <v>0</v>
      </c>
      <c r="AC524" s="104">
        <v>0</v>
      </c>
      <c r="AD524" s="142">
        <v>0</v>
      </c>
      <c r="AE524" s="112">
        <f t="shared" si="407"/>
        <v>20</v>
      </c>
      <c r="AF524" s="70">
        <v>4206030</v>
      </c>
      <c r="AG524" s="105" cm="1">
        <f t="array" ref="AG524">_xlfn.SWITCH(L524,3,1,
           4,1,
           5,1,
           6,1,0)</f>
        <v>0</v>
      </c>
      <c r="AH524" s="146">
        <f t="shared" si="420"/>
        <v>80101201</v>
      </c>
      <c r="AI524" s="90">
        <v>6000</v>
      </c>
      <c r="AJ524" s="90">
        <v>3001</v>
      </c>
      <c r="AK524" s="27">
        <v>2006</v>
      </c>
      <c r="AL524" s="123">
        <f>_xlfn.XLOOKUP(H524,'#각종 참고'!$B$11:$B$20,'#각종 참고'!$D$11:$D$20)</f>
        <v>0</v>
      </c>
      <c r="AM524" s="27">
        <v>1</v>
      </c>
      <c r="AN524" s="27">
        <v>1</v>
      </c>
      <c r="AO524" s="124">
        <f t="shared" si="392"/>
        <v>1</v>
      </c>
      <c r="AP524" s="27">
        <v>1</v>
      </c>
      <c r="AQ524" s="21">
        <v>14126021</v>
      </c>
      <c r="AR524" s="21" t="s">
        <v>2572</v>
      </c>
      <c r="AS524" s="68"/>
      <c r="AT524" s="68"/>
      <c r="AU524" s="68"/>
    </row>
    <row r="525" spans="1:47" x14ac:dyDescent="0.3">
      <c r="A525" s="19"/>
      <c r="B525" s="109">
        <v>14136001</v>
      </c>
      <c r="C525" s="99" t="str">
        <f t="shared" si="267"/>
        <v>4</v>
      </c>
      <c r="D525" s="121">
        <f>COUNTIFS($F$33:F525,F525, $G$33:G525,G525, $C$33:C525,C525, $L$33:L525,L525)</f>
        <v>1</v>
      </c>
      <c r="E525" s="20">
        <v>1</v>
      </c>
      <c r="F525" s="20">
        <v>6</v>
      </c>
      <c r="G525" s="20">
        <v>1</v>
      </c>
      <c r="H525" s="103" t="s">
        <v>965</v>
      </c>
      <c r="I525" s="20" t="s">
        <v>1798</v>
      </c>
      <c r="J525" s="104" t="str">
        <f t="shared" si="398"/>
        <v>Item_Name_14136001</v>
      </c>
      <c r="K525" s="20">
        <v>10104001</v>
      </c>
      <c r="L525" s="107">
        <f t="shared" si="405"/>
        <v>3</v>
      </c>
      <c r="M525" s="105">
        <f>IF(D525=0, 0, _xlfn.XLOOKUP($F525,'#무게관련'!$B:$B,'#무게관련'!$C:$C)*_xlfn.XLOOKUP($L525,'#무게관련'!$F:$F,'#무게관련'!$G:$G)*100)</f>
        <v>4000</v>
      </c>
      <c r="N525" s="20">
        <v>20800</v>
      </c>
      <c r="O525" s="20">
        <v>4</v>
      </c>
      <c r="P525" s="20">
        <v>15</v>
      </c>
      <c r="Q525" s="20">
        <v>1</v>
      </c>
      <c r="R525" s="20">
        <v>100</v>
      </c>
      <c r="S525" s="20">
        <v>1</v>
      </c>
      <c r="T525" s="20" t="s">
        <v>1881</v>
      </c>
      <c r="U525" s="104" t="str">
        <f t="shared" si="333"/>
        <v>item_bg_grade_03</v>
      </c>
      <c r="V525" s="20" t="s">
        <v>326</v>
      </c>
      <c r="W525" s="20" t="s">
        <v>400</v>
      </c>
      <c r="X525" s="104">
        <v>0</v>
      </c>
      <c r="Y525" s="104">
        <v>0</v>
      </c>
      <c r="Z525" s="104">
        <v>0</v>
      </c>
      <c r="AA525" s="104">
        <v>0</v>
      </c>
      <c r="AB525" s="104">
        <v>0</v>
      </c>
      <c r="AC525" s="104">
        <v>0</v>
      </c>
      <c r="AD525" s="142">
        <v>0</v>
      </c>
      <c r="AE525" s="112">
        <f t="shared" si="407"/>
        <v>30</v>
      </c>
      <c r="AF525" s="70">
        <v>4306010</v>
      </c>
      <c r="AG525" s="105" cm="1">
        <f t="array" ref="AG525">_xlfn.SWITCH(L525,3,1,
           4,1,
           5,1,
           6,1,0)</f>
        <v>1</v>
      </c>
      <c r="AH525" s="146">
        <f t="shared" si="420"/>
        <v>80101301</v>
      </c>
      <c r="AI525" s="90">
        <v>6001</v>
      </c>
      <c r="AJ525" s="90">
        <v>3003</v>
      </c>
      <c r="AK525" s="27">
        <v>3006</v>
      </c>
      <c r="AL525" s="123">
        <f>_xlfn.XLOOKUP(H525,'#각종 참고'!$B$11:$B$20,'#각종 참고'!$D$11:$D$20)</f>
        <v>0</v>
      </c>
      <c r="AM525" s="27">
        <v>1</v>
      </c>
      <c r="AN525" s="27">
        <v>1</v>
      </c>
      <c r="AO525" s="124">
        <f t="shared" si="392"/>
        <v>1</v>
      </c>
      <c r="AP525" s="27">
        <v>1</v>
      </c>
      <c r="AQ525" s="21">
        <v>14136001</v>
      </c>
      <c r="AR525" s="21" t="s">
        <v>1798</v>
      </c>
      <c r="AS525" s="68"/>
      <c r="AT525" s="68"/>
      <c r="AU525" s="68"/>
    </row>
    <row r="526" spans="1:47" x14ac:dyDescent="0.3">
      <c r="A526" s="19"/>
      <c r="B526" s="109">
        <v>14136002</v>
      </c>
      <c r="C526" s="99" t="str">
        <f t="shared" ref="C526:C527" si="427">IF(K526&gt;0,MID(K526,5, 1), 0)</f>
        <v>4</v>
      </c>
      <c r="D526" s="121">
        <f>COUNTIFS($F$33:F526,F526, $G$33:G526,G526, $C$33:C526,C526, $L$33:L526,L526)</f>
        <v>2</v>
      </c>
      <c r="E526" s="20">
        <v>1</v>
      </c>
      <c r="F526" s="20">
        <v>6</v>
      </c>
      <c r="G526" s="20">
        <v>1</v>
      </c>
      <c r="H526" s="103" t="s">
        <v>965</v>
      </c>
      <c r="I526" s="20" t="s">
        <v>1799</v>
      </c>
      <c r="J526" s="104" t="str">
        <f t="shared" si="398"/>
        <v>Item_Name_14136002</v>
      </c>
      <c r="K526" s="20">
        <v>10104001</v>
      </c>
      <c r="L526" s="107">
        <f t="shared" si="405"/>
        <v>3</v>
      </c>
      <c r="M526" s="105">
        <f>IF(D526=0, 0, _xlfn.XLOOKUP($F526,'#무게관련'!$B:$B,'#무게관련'!$C:$C)*_xlfn.XLOOKUP($L526,'#무게관련'!$F:$F,'#무게관련'!$G:$G)*100)</f>
        <v>4000</v>
      </c>
      <c r="N526" s="20">
        <v>20800</v>
      </c>
      <c r="O526" s="20">
        <v>4</v>
      </c>
      <c r="P526" s="20">
        <v>15</v>
      </c>
      <c r="Q526" s="20">
        <v>1</v>
      </c>
      <c r="R526" s="20">
        <v>100</v>
      </c>
      <c r="S526" s="20">
        <v>1</v>
      </c>
      <c r="T526" s="20" t="s">
        <v>1881</v>
      </c>
      <c r="U526" s="104" t="str">
        <f t="shared" ref="U526:U527" si="428">"item_bg_grade_0"&amp;L526</f>
        <v>item_bg_grade_03</v>
      </c>
      <c r="V526" s="20" t="s">
        <v>326</v>
      </c>
      <c r="W526" s="20" t="s">
        <v>400</v>
      </c>
      <c r="X526" s="104">
        <v>0</v>
      </c>
      <c r="Y526" s="104">
        <v>0</v>
      </c>
      <c r="Z526" s="104">
        <v>0</v>
      </c>
      <c r="AA526" s="104">
        <v>0</v>
      </c>
      <c r="AB526" s="104">
        <v>0</v>
      </c>
      <c r="AC526" s="104">
        <v>0</v>
      </c>
      <c r="AD526" s="142">
        <v>0</v>
      </c>
      <c r="AE526" s="112">
        <f t="shared" si="407"/>
        <v>30</v>
      </c>
      <c r="AF526" s="70">
        <v>4306020</v>
      </c>
      <c r="AG526" s="105" cm="1">
        <f t="array" ref="AG526">_xlfn.SWITCH(L526,3,1,
           4,1,
           5,1,
           6,1,0)</f>
        <v>1</v>
      </c>
      <c r="AH526" s="146">
        <f t="shared" si="420"/>
        <v>80101301</v>
      </c>
      <c r="AI526" s="90">
        <v>6001</v>
      </c>
      <c r="AJ526" s="90">
        <v>3003</v>
      </c>
      <c r="AK526" s="27">
        <v>3006</v>
      </c>
      <c r="AL526" s="123">
        <f>_xlfn.XLOOKUP(H526,'#각종 참고'!$B$11:$B$20,'#각종 참고'!$D$11:$D$20)</f>
        <v>0</v>
      </c>
      <c r="AM526" s="27">
        <v>1</v>
      </c>
      <c r="AN526" s="27">
        <v>1</v>
      </c>
      <c r="AO526" s="124">
        <f t="shared" si="392"/>
        <v>1</v>
      </c>
      <c r="AP526" s="27">
        <v>1</v>
      </c>
      <c r="AQ526" s="21">
        <v>14136011</v>
      </c>
      <c r="AR526" s="21" t="s">
        <v>2573</v>
      </c>
      <c r="AS526" s="68"/>
      <c r="AT526" s="68"/>
      <c r="AU526" s="68"/>
    </row>
    <row r="527" spans="1:47" x14ac:dyDescent="0.3">
      <c r="A527" s="19"/>
      <c r="B527" s="109">
        <v>14136003</v>
      </c>
      <c r="C527" s="99" t="str">
        <f t="shared" si="427"/>
        <v>4</v>
      </c>
      <c r="D527" s="121">
        <f>COUNTIFS($F$33:F527,F527, $G$33:G527,G527, $C$33:C527,C527, $L$33:L527,L527)</f>
        <v>3</v>
      </c>
      <c r="E527" s="20">
        <v>1</v>
      </c>
      <c r="F527" s="20">
        <v>6</v>
      </c>
      <c r="G527" s="20">
        <v>1</v>
      </c>
      <c r="H527" s="103" t="s">
        <v>965</v>
      </c>
      <c r="I527" s="20" t="s">
        <v>2212</v>
      </c>
      <c r="J527" s="104" t="str">
        <f t="shared" si="398"/>
        <v>Item_Name_14136003</v>
      </c>
      <c r="K527" s="20">
        <v>10104001</v>
      </c>
      <c r="L527" s="107">
        <f t="shared" si="405"/>
        <v>3</v>
      </c>
      <c r="M527" s="105">
        <f>IF(D527=0, 0, _xlfn.XLOOKUP($F527,'#무게관련'!$B:$B,'#무게관련'!$C:$C)*_xlfn.XLOOKUP($L527,'#무게관련'!$F:$F,'#무게관련'!$G:$G)*100)</f>
        <v>4000</v>
      </c>
      <c r="N527" s="20">
        <v>20800</v>
      </c>
      <c r="O527" s="20">
        <v>4</v>
      </c>
      <c r="P527" s="20">
        <v>15</v>
      </c>
      <c r="Q527" s="20">
        <v>1</v>
      </c>
      <c r="R527" s="20">
        <v>100</v>
      </c>
      <c r="S527" s="20">
        <v>1</v>
      </c>
      <c r="T527" s="20" t="s">
        <v>1881</v>
      </c>
      <c r="U527" s="104" t="str">
        <f t="shared" si="428"/>
        <v>item_bg_grade_03</v>
      </c>
      <c r="V527" s="20" t="s">
        <v>326</v>
      </c>
      <c r="W527" s="20" t="s">
        <v>400</v>
      </c>
      <c r="X527" s="104">
        <v>0</v>
      </c>
      <c r="Y527" s="104">
        <v>0</v>
      </c>
      <c r="Z527" s="104">
        <v>0</v>
      </c>
      <c r="AA527" s="104">
        <v>0</v>
      </c>
      <c r="AB527" s="104">
        <v>0</v>
      </c>
      <c r="AC527" s="104">
        <v>0</v>
      </c>
      <c r="AD527" s="142">
        <v>0</v>
      </c>
      <c r="AE527" s="112">
        <f t="shared" si="407"/>
        <v>30</v>
      </c>
      <c r="AF527" s="70">
        <v>4306030</v>
      </c>
      <c r="AG527" s="105" cm="1">
        <f t="array" ref="AG527">_xlfn.SWITCH(L527,3,1,
           4,1,
           5,1,
           6,1,0)</f>
        <v>1</v>
      </c>
      <c r="AH527" s="146">
        <f t="shared" si="420"/>
        <v>80101301</v>
      </c>
      <c r="AI527" s="90">
        <v>6001</v>
      </c>
      <c r="AJ527" s="90">
        <v>3003</v>
      </c>
      <c r="AK527" s="27">
        <v>3006</v>
      </c>
      <c r="AL527" s="123">
        <f>_xlfn.XLOOKUP(H527,'#각종 참고'!$B$11:$B$20,'#각종 참고'!$D$11:$D$20)</f>
        <v>0</v>
      </c>
      <c r="AM527" s="27">
        <v>1</v>
      </c>
      <c r="AN527" s="27">
        <v>1</v>
      </c>
      <c r="AO527" s="124">
        <f t="shared" si="392"/>
        <v>1</v>
      </c>
      <c r="AP527" s="27">
        <v>1</v>
      </c>
      <c r="AQ527" s="21">
        <v>14136021</v>
      </c>
      <c r="AR527" s="21" t="s">
        <v>2574</v>
      </c>
      <c r="AS527" s="68"/>
      <c r="AT527" s="68"/>
      <c r="AU527" s="68"/>
    </row>
    <row r="528" spans="1:47" x14ac:dyDescent="0.3">
      <c r="A528" s="19"/>
      <c r="B528" s="109">
        <v>14146001</v>
      </c>
      <c r="C528" s="99" t="str">
        <f t="shared" si="267"/>
        <v>4</v>
      </c>
      <c r="D528" s="121">
        <f>COUNTIFS($F$33:F528,F528, $G$33:G528,G528, $C$33:C528,C528, $L$33:L528,L528)</f>
        <v>1</v>
      </c>
      <c r="E528" s="20">
        <v>1</v>
      </c>
      <c r="F528" s="20">
        <v>6</v>
      </c>
      <c r="G528" s="20">
        <v>1</v>
      </c>
      <c r="H528" s="103" t="s">
        <v>965</v>
      </c>
      <c r="I528" s="20" t="s">
        <v>1800</v>
      </c>
      <c r="J528" s="104" t="str">
        <f t="shared" si="398"/>
        <v>Item_Name_14146001</v>
      </c>
      <c r="K528" s="20">
        <v>10104001</v>
      </c>
      <c r="L528" s="107">
        <f t="shared" si="405"/>
        <v>4</v>
      </c>
      <c r="M528" s="105">
        <f>IF(D528=0, 0, _xlfn.XLOOKUP($F528,'#무게관련'!$B:$B,'#무게관련'!$C:$C)*_xlfn.XLOOKUP($L528,'#무게관련'!$F:$F,'#무게관련'!$G:$G)*100)</f>
        <v>4000</v>
      </c>
      <c r="N528" s="20">
        <v>20800</v>
      </c>
      <c r="O528" s="20">
        <v>4</v>
      </c>
      <c r="P528" s="20">
        <v>15</v>
      </c>
      <c r="Q528" s="20">
        <v>1</v>
      </c>
      <c r="R528" s="20">
        <v>100</v>
      </c>
      <c r="S528" s="20">
        <v>1</v>
      </c>
      <c r="T528" s="20" t="s">
        <v>1882</v>
      </c>
      <c r="U528" s="104" t="str">
        <f t="shared" si="333"/>
        <v>item_bg_grade_04</v>
      </c>
      <c r="V528" s="20" t="s">
        <v>326</v>
      </c>
      <c r="W528" s="20" t="s">
        <v>400</v>
      </c>
      <c r="X528" s="104">
        <v>0</v>
      </c>
      <c r="Y528" s="104">
        <v>0</v>
      </c>
      <c r="Z528" s="104">
        <v>0</v>
      </c>
      <c r="AA528" s="104">
        <v>0</v>
      </c>
      <c r="AB528" s="104">
        <v>0</v>
      </c>
      <c r="AC528" s="104">
        <v>0</v>
      </c>
      <c r="AD528" s="142">
        <v>0</v>
      </c>
      <c r="AE528" s="112">
        <f t="shared" si="407"/>
        <v>40</v>
      </c>
      <c r="AF528" s="70">
        <v>4406010</v>
      </c>
      <c r="AG528" s="105" cm="1">
        <f t="array" ref="AG528">_xlfn.SWITCH(L528,3,1,
           4,1,
           5,1,
           6,1,0)</f>
        <v>1</v>
      </c>
      <c r="AH528" s="146">
        <f t="shared" si="420"/>
        <v>80101401</v>
      </c>
      <c r="AI528" s="90">
        <v>6002</v>
      </c>
      <c r="AJ528" s="90">
        <v>3005</v>
      </c>
      <c r="AK528" s="27">
        <v>4006</v>
      </c>
      <c r="AL528" s="123">
        <f>_xlfn.XLOOKUP(H528,'#각종 참고'!$B$11:$B$20,'#각종 참고'!$D$11:$D$20)</f>
        <v>0</v>
      </c>
      <c r="AM528" s="27">
        <v>1</v>
      </c>
      <c r="AN528" s="27">
        <v>1</v>
      </c>
      <c r="AO528" s="124">
        <f t="shared" ref="AO528:AO569" si="429">IF(AM528=1,AM528,AL528)</f>
        <v>1</v>
      </c>
      <c r="AP528" s="27">
        <v>1</v>
      </c>
      <c r="AQ528" s="21">
        <v>14146001</v>
      </c>
      <c r="AR528" s="21" t="s">
        <v>1800</v>
      </c>
      <c r="AS528" s="68"/>
      <c r="AT528" s="68"/>
      <c r="AU528" s="68"/>
    </row>
    <row r="529" spans="1:47" x14ac:dyDescent="0.3">
      <c r="A529" s="19"/>
      <c r="B529" s="109">
        <v>14146002</v>
      </c>
      <c r="C529" s="99" t="str">
        <f t="shared" ref="C529:C530" si="430">IF(K529&gt;0,MID(K529,5, 1), 0)</f>
        <v>4</v>
      </c>
      <c r="D529" s="121">
        <f>COUNTIFS($F$33:F529,F529, $G$33:G529,G529, $C$33:C529,C529, $L$33:L529,L529)</f>
        <v>2</v>
      </c>
      <c r="E529" s="20">
        <v>1</v>
      </c>
      <c r="F529" s="20">
        <v>6</v>
      </c>
      <c r="G529" s="20">
        <v>1</v>
      </c>
      <c r="H529" s="103" t="s">
        <v>965</v>
      </c>
      <c r="I529" s="20" t="s">
        <v>2213</v>
      </c>
      <c r="J529" s="104" t="str">
        <f t="shared" si="398"/>
        <v>Item_Name_14146002</v>
      </c>
      <c r="K529" s="20">
        <v>10104001</v>
      </c>
      <c r="L529" s="107">
        <f t="shared" si="405"/>
        <v>4</v>
      </c>
      <c r="M529" s="105">
        <f>IF(D529=0, 0, _xlfn.XLOOKUP($F529,'#무게관련'!$B:$B,'#무게관련'!$C:$C)*_xlfn.XLOOKUP($L529,'#무게관련'!$F:$F,'#무게관련'!$G:$G)*100)</f>
        <v>4000</v>
      </c>
      <c r="N529" s="20">
        <v>20800</v>
      </c>
      <c r="O529" s="20">
        <v>4</v>
      </c>
      <c r="P529" s="20">
        <v>15</v>
      </c>
      <c r="Q529" s="20">
        <v>1</v>
      </c>
      <c r="R529" s="20">
        <v>100</v>
      </c>
      <c r="S529" s="20">
        <v>1</v>
      </c>
      <c r="T529" s="20" t="s">
        <v>1882</v>
      </c>
      <c r="U529" s="104" t="str">
        <f t="shared" ref="U529:U530" si="431">"item_bg_grade_0"&amp;L529</f>
        <v>item_bg_grade_04</v>
      </c>
      <c r="V529" s="20" t="s">
        <v>326</v>
      </c>
      <c r="W529" s="20" t="s">
        <v>400</v>
      </c>
      <c r="X529" s="104">
        <v>0</v>
      </c>
      <c r="Y529" s="104">
        <v>0</v>
      </c>
      <c r="Z529" s="104">
        <v>0</v>
      </c>
      <c r="AA529" s="104">
        <v>0</v>
      </c>
      <c r="AB529" s="104">
        <v>0</v>
      </c>
      <c r="AC529" s="104">
        <v>0</v>
      </c>
      <c r="AD529" s="142">
        <v>0</v>
      </c>
      <c r="AE529" s="112">
        <f t="shared" si="407"/>
        <v>40</v>
      </c>
      <c r="AF529" s="70">
        <v>4406020</v>
      </c>
      <c r="AG529" s="105" cm="1">
        <f t="array" ref="AG529">_xlfn.SWITCH(L529,3,1,
           4,1,
           5,1,
           6,1,0)</f>
        <v>1</v>
      </c>
      <c r="AH529" s="146">
        <f t="shared" si="420"/>
        <v>80101401</v>
      </c>
      <c r="AI529" s="90">
        <v>6002</v>
      </c>
      <c r="AJ529" s="90">
        <v>3005</v>
      </c>
      <c r="AK529" s="27">
        <v>4006</v>
      </c>
      <c r="AL529" s="123">
        <f>_xlfn.XLOOKUP(H529,'#각종 참고'!$B$11:$B$20,'#각종 참고'!$D$11:$D$20)</f>
        <v>0</v>
      </c>
      <c r="AM529" s="27">
        <v>1</v>
      </c>
      <c r="AN529" s="27">
        <v>1</v>
      </c>
      <c r="AO529" s="124">
        <f t="shared" si="429"/>
        <v>1</v>
      </c>
      <c r="AP529" s="27">
        <v>1</v>
      </c>
      <c r="AQ529" s="21">
        <v>14146011</v>
      </c>
      <c r="AR529" s="21" t="s">
        <v>2575</v>
      </c>
      <c r="AS529" s="68"/>
      <c r="AT529" s="68"/>
      <c r="AU529" s="68"/>
    </row>
    <row r="530" spans="1:47" x14ac:dyDescent="0.3">
      <c r="A530" s="19"/>
      <c r="B530" s="109">
        <v>14146003</v>
      </c>
      <c r="C530" s="99" t="str">
        <f t="shared" si="430"/>
        <v>4</v>
      </c>
      <c r="D530" s="121">
        <f>COUNTIFS($F$33:F530,F530, $G$33:G530,G530, $C$33:C530,C530, $L$33:L530,L530)</f>
        <v>3</v>
      </c>
      <c r="E530" s="20">
        <v>1</v>
      </c>
      <c r="F530" s="20">
        <v>6</v>
      </c>
      <c r="G530" s="20">
        <v>1</v>
      </c>
      <c r="H530" s="103" t="s">
        <v>965</v>
      </c>
      <c r="I530" s="20" t="s">
        <v>1801</v>
      </c>
      <c r="J530" s="104" t="str">
        <f t="shared" si="398"/>
        <v>Item_Name_14146003</v>
      </c>
      <c r="K530" s="20">
        <v>10104001</v>
      </c>
      <c r="L530" s="107">
        <f t="shared" si="405"/>
        <v>4</v>
      </c>
      <c r="M530" s="105">
        <f>IF(D530=0, 0, _xlfn.XLOOKUP($F530,'#무게관련'!$B:$B,'#무게관련'!$C:$C)*_xlfn.XLOOKUP($L530,'#무게관련'!$F:$F,'#무게관련'!$G:$G)*100)</f>
        <v>4000</v>
      </c>
      <c r="N530" s="20">
        <v>20800</v>
      </c>
      <c r="O530" s="20">
        <v>4</v>
      </c>
      <c r="P530" s="20">
        <v>15</v>
      </c>
      <c r="Q530" s="20">
        <v>1</v>
      </c>
      <c r="R530" s="20">
        <v>100</v>
      </c>
      <c r="S530" s="20">
        <v>1</v>
      </c>
      <c r="T530" s="20" t="s">
        <v>1882</v>
      </c>
      <c r="U530" s="104" t="str">
        <f t="shared" si="431"/>
        <v>item_bg_grade_04</v>
      </c>
      <c r="V530" s="20" t="s">
        <v>326</v>
      </c>
      <c r="W530" s="20" t="s">
        <v>400</v>
      </c>
      <c r="X530" s="104">
        <v>0</v>
      </c>
      <c r="Y530" s="104">
        <v>0</v>
      </c>
      <c r="Z530" s="104">
        <v>0</v>
      </c>
      <c r="AA530" s="104">
        <v>0</v>
      </c>
      <c r="AB530" s="104">
        <v>0</v>
      </c>
      <c r="AC530" s="104">
        <v>0</v>
      </c>
      <c r="AD530" s="142">
        <v>0</v>
      </c>
      <c r="AE530" s="112">
        <f t="shared" si="407"/>
        <v>40</v>
      </c>
      <c r="AF530" s="70">
        <v>4406030</v>
      </c>
      <c r="AG530" s="105" cm="1">
        <f t="array" ref="AG530">_xlfn.SWITCH(L530,3,1,
           4,1,
           5,1,
           6,1,0)</f>
        <v>1</v>
      </c>
      <c r="AH530" s="146">
        <f t="shared" si="420"/>
        <v>80101401</v>
      </c>
      <c r="AI530" s="90">
        <v>6002</v>
      </c>
      <c r="AJ530" s="90">
        <v>3005</v>
      </c>
      <c r="AK530" s="27">
        <v>4006</v>
      </c>
      <c r="AL530" s="123">
        <f>_xlfn.XLOOKUP(H530,'#각종 참고'!$B$11:$B$20,'#각종 참고'!$D$11:$D$20)</f>
        <v>0</v>
      </c>
      <c r="AM530" s="27">
        <v>1</v>
      </c>
      <c r="AN530" s="27">
        <v>1</v>
      </c>
      <c r="AO530" s="124">
        <f t="shared" si="429"/>
        <v>1</v>
      </c>
      <c r="AP530" s="27">
        <v>1</v>
      </c>
      <c r="AQ530" s="21">
        <v>14146021</v>
      </c>
      <c r="AR530" s="21" t="s">
        <v>2576</v>
      </c>
      <c r="AS530" s="68"/>
      <c r="AT530" s="68"/>
      <c r="AU530" s="68"/>
    </row>
    <row r="531" spans="1:47" x14ac:dyDescent="0.3">
      <c r="A531" s="19"/>
      <c r="B531" s="109">
        <v>14156001</v>
      </c>
      <c r="C531" s="99" t="str">
        <f t="shared" ref="C531:C534" si="432">IF(K531&gt;0,MID(K531,5, 1), 0)</f>
        <v>4</v>
      </c>
      <c r="D531" s="121">
        <f>COUNTIFS($F$33:F531,F531, $G$33:G531,G531, $C$33:C531,C531, $L$33:L531,L531)</f>
        <v>1</v>
      </c>
      <c r="E531" s="20">
        <v>1</v>
      </c>
      <c r="F531" s="20">
        <v>6</v>
      </c>
      <c r="G531" s="20">
        <v>1</v>
      </c>
      <c r="H531" s="103" t="s">
        <v>965</v>
      </c>
      <c r="I531" s="20" t="s">
        <v>1802</v>
      </c>
      <c r="J531" s="104" t="str">
        <f t="shared" si="398"/>
        <v>Item_Name_14156001</v>
      </c>
      <c r="K531" s="20">
        <v>10104001</v>
      </c>
      <c r="L531" s="107">
        <f t="shared" si="405"/>
        <v>5</v>
      </c>
      <c r="M531" s="105">
        <f>IF(D531=0, 0, _xlfn.XLOOKUP($F531,'#무게관련'!$B:$B,'#무게관련'!$C:$C)*_xlfn.XLOOKUP($L531,'#무게관련'!$F:$F,'#무게관련'!$G:$G)*100)</f>
        <v>4000</v>
      </c>
      <c r="N531" s="20">
        <v>20800</v>
      </c>
      <c r="O531" s="20">
        <v>4</v>
      </c>
      <c r="P531" s="20">
        <v>15</v>
      </c>
      <c r="Q531" s="20">
        <v>1</v>
      </c>
      <c r="R531" s="20">
        <v>100</v>
      </c>
      <c r="S531" s="20">
        <v>1</v>
      </c>
      <c r="T531" s="20" t="s">
        <v>1883</v>
      </c>
      <c r="U531" s="104" t="str">
        <f t="shared" ref="U531:U534" si="433">"item_bg_grade_0"&amp;L531</f>
        <v>item_bg_grade_05</v>
      </c>
      <c r="V531" s="20" t="s">
        <v>326</v>
      </c>
      <c r="W531" s="20" t="s">
        <v>400</v>
      </c>
      <c r="X531" s="104">
        <v>0</v>
      </c>
      <c r="Y531" s="104">
        <v>0</v>
      </c>
      <c r="Z531" s="104">
        <v>0</v>
      </c>
      <c r="AA531" s="104">
        <v>0</v>
      </c>
      <c r="AB531" s="104">
        <v>0</v>
      </c>
      <c r="AC531" s="104">
        <v>0</v>
      </c>
      <c r="AD531" s="142">
        <v>0</v>
      </c>
      <c r="AE531" s="112">
        <f t="shared" si="407"/>
        <v>50</v>
      </c>
      <c r="AF531" s="70">
        <v>4506010</v>
      </c>
      <c r="AG531" s="105" cm="1">
        <f t="array" ref="AG531">_xlfn.SWITCH(L531,3,1,
           4,1,
           5,1,
           6,1,0)</f>
        <v>1</v>
      </c>
      <c r="AH531" s="146">
        <f t="shared" si="420"/>
        <v>80101501</v>
      </c>
      <c r="AI531" s="90">
        <v>6003</v>
      </c>
      <c r="AJ531" s="90">
        <v>3007</v>
      </c>
      <c r="AK531" s="27">
        <v>5006</v>
      </c>
      <c r="AL531" s="123">
        <f>_xlfn.XLOOKUP(H531,'#각종 참고'!$B$11:$B$20,'#각종 참고'!$D$11:$D$20)</f>
        <v>0</v>
      </c>
      <c r="AM531" s="27">
        <v>1</v>
      </c>
      <c r="AN531" s="27">
        <v>1</v>
      </c>
      <c r="AO531" s="124">
        <f t="shared" si="429"/>
        <v>1</v>
      </c>
      <c r="AP531" s="27">
        <v>1</v>
      </c>
      <c r="AQ531" s="21">
        <v>14156001</v>
      </c>
      <c r="AR531" s="21" t="s">
        <v>1802</v>
      </c>
      <c r="AS531" s="68"/>
      <c r="AT531" s="68"/>
      <c r="AU531" s="68"/>
    </row>
    <row r="532" spans="1:47" x14ac:dyDescent="0.3">
      <c r="A532" s="19"/>
      <c r="B532" s="109">
        <v>14156002</v>
      </c>
      <c r="C532" s="99" t="str">
        <f t="shared" ref="C532:C533" si="434">IF(K532&gt;0,MID(K532,5, 1), 0)</f>
        <v>4</v>
      </c>
      <c r="D532" s="121">
        <f>COUNTIFS($F$33:F532,F532, $G$33:G532,G532, $C$33:C532,C532, $L$33:L532,L532)</f>
        <v>2</v>
      </c>
      <c r="E532" s="20">
        <v>1</v>
      </c>
      <c r="F532" s="20">
        <v>6</v>
      </c>
      <c r="G532" s="20">
        <v>1</v>
      </c>
      <c r="H532" s="103" t="s">
        <v>965</v>
      </c>
      <c r="I532" s="20" t="s">
        <v>2215</v>
      </c>
      <c r="J532" s="104" t="str">
        <f t="shared" si="398"/>
        <v>Item_Name_14156002</v>
      </c>
      <c r="K532" s="20">
        <v>10104001</v>
      </c>
      <c r="L532" s="107">
        <f t="shared" si="405"/>
        <v>5</v>
      </c>
      <c r="M532" s="105">
        <f>IF(D532=0, 0, _xlfn.XLOOKUP($F532,'#무게관련'!$B:$B,'#무게관련'!$C:$C)*_xlfn.XLOOKUP($L532,'#무게관련'!$F:$F,'#무게관련'!$G:$G)*100)</f>
        <v>4000</v>
      </c>
      <c r="N532" s="20">
        <v>20800</v>
      </c>
      <c r="O532" s="20">
        <v>4</v>
      </c>
      <c r="P532" s="20">
        <v>15</v>
      </c>
      <c r="Q532" s="20">
        <v>1</v>
      </c>
      <c r="R532" s="20">
        <v>100</v>
      </c>
      <c r="S532" s="20">
        <v>1</v>
      </c>
      <c r="T532" s="20" t="s">
        <v>1883</v>
      </c>
      <c r="U532" s="104" t="str">
        <f t="shared" ref="U532:U533" si="435">"item_bg_grade_0"&amp;L532</f>
        <v>item_bg_grade_05</v>
      </c>
      <c r="V532" s="20" t="s">
        <v>326</v>
      </c>
      <c r="W532" s="20" t="s">
        <v>400</v>
      </c>
      <c r="X532" s="104">
        <v>0</v>
      </c>
      <c r="Y532" s="104">
        <v>0</v>
      </c>
      <c r="Z532" s="104">
        <v>0</v>
      </c>
      <c r="AA532" s="104">
        <v>0</v>
      </c>
      <c r="AB532" s="104">
        <v>0</v>
      </c>
      <c r="AC532" s="104">
        <v>0</v>
      </c>
      <c r="AD532" s="142">
        <v>0</v>
      </c>
      <c r="AE532" s="112">
        <f t="shared" si="407"/>
        <v>50</v>
      </c>
      <c r="AF532" s="70">
        <v>4506020</v>
      </c>
      <c r="AG532" s="105" cm="1">
        <f t="array" ref="AG532">_xlfn.SWITCH(L532,3,1,
           4,1,
           5,1,
           6,1,0)</f>
        <v>1</v>
      </c>
      <c r="AH532" s="146">
        <f t="shared" si="420"/>
        <v>80101501</v>
      </c>
      <c r="AI532" s="90">
        <v>6003</v>
      </c>
      <c r="AJ532" s="90">
        <v>3007</v>
      </c>
      <c r="AK532" s="27">
        <v>5006</v>
      </c>
      <c r="AL532" s="123">
        <f>_xlfn.XLOOKUP(H532,'#각종 참고'!$B$11:$B$20,'#각종 참고'!$D$11:$D$20)</f>
        <v>0</v>
      </c>
      <c r="AM532" s="27">
        <v>1</v>
      </c>
      <c r="AN532" s="27">
        <v>1</v>
      </c>
      <c r="AO532" s="124">
        <f t="shared" si="429"/>
        <v>1</v>
      </c>
      <c r="AP532" s="27">
        <v>1</v>
      </c>
      <c r="AQ532" s="21">
        <v>14156011</v>
      </c>
      <c r="AR532" s="21" t="s">
        <v>2577</v>
      </c>
      <c r="AS532" s="68"/>
      <c r="AT532" s="68"/>
      <c r="AU532" s="68"/>
    </row>
    <row r="533" spans="1:47" x14ac:dyDescent="0.3">
      <c r="A533" s="19"/>
      <c r="B533" s="109">
        <v>14156003</v>
      </c>
      <c r="C533" s="99" t="str">
        <f t="shared" si="434"/>
        <v>4</v>
      </c>
      <c r="D533" s="121">
        <f>COUNTIFS($F$33:F533,F533, $G$33:G533,G533, $C$33:C533,C533, $L$33:L533,L533)</f>
        <v>3</v>
      </c>
      <c r="E533" s="20">
        <v>1</v>
      </c>
      <c r="F533" s="20">
        <v>6</v>
      </c>
      <c r="G533" s="20">
        <v>1</v>
      </c>
      <c r="H533" s="103" t="s">
        <v>965</v>
      </c>
      <c r="I533" s="20" t="s">
        <v>2214</v>
      </c>
      <c r="J533" s="104" t="str">
        <f t="shared" si="398"/>
        <v>Item_Name_14156003</v>
      </c>
      <c r="K533" s="20">
        <v>10104001</v>
      </c>
      <c r="L533" s="107">
        <f t="shared" si="405"/>
        <v>5</v>
      </c>
      <c r="M533" s="105">
        <f>IF(D533=0, 0, _xlfn.XLOOKUP($F533,'#무게관련'!$B:$B,'#무게관련'!$C:$C)*_xlfn.XLOOKUP($L533,'#무게관련'!$F:$F,'#무게관련'!$G:$G)*100)</f>
        <v>4000</v>
      </c>
      <c r="N533" s="20">
        <v>20800</v>
      </c>
      <c r="O533" s="20">
        <v>4</v>
      </c>
      <c r="P533" s="20">
        <v>15</v>
      </c>
      <c r="Q533" s="20">
        <v>1</v>
      </c>
      <c r="R533" s="20">
        <v>100</v>
      </c>
      <c r="S533" s="20">
        <v>1</v>
      </c>
      <c r="T533" s="20" t="s">
        <v>1883</v>
      </c>
      <c r="U533" s="104" t="str">
        <f t="shared" si="435"/>
        <v>item_bg_grade_05</v>
      </c>
      <c r="V533" s="20" t="s">
        <v>326</v>
      </c>
      <c r="W533" s="20" t="s">
        <v>400</v>
      </c>
      <c r="X533" s="104">
        <v>0</v>
      </c>
      <c r="Y533" s="104">
        <v>0</v>
      </c>
      <c r="Z533" s="104">
        <v>0</v>
      </c>
      <c r="AA533" s="104">
        <v>0</v>
      </c>
      <c r="AB533" s="104">
        <v>0</v>
      </c>
      <c r="AC533" s="104">
        <v>0</v>
      </c>
      <c r="AD533" s="142">
        <v>0</v>
      </c>
      <c r="AE533" s="112">
        <f t="shared" si="407"/>
        <v>50</v>
      </c>
      <c r="AF533" s="70">
        <v>4506030</v>
      </c>
      <c r="AG533" s="105" cm="1">
        <f t="array" ref="AG533">_xlfn.SWITCH(L533,3,1,
           4,1,
           5,1,
           6,1,0)</f>
        <v>1</v>
      </c>
      <c r="AH533" s="146">
        <f t="shared" si="420"/>
        <v>80101501</v>
      </c>
      <c r="AI533" s="90">
        <v>6003</v>
      </c>
      <c r="AJ533" s="90">
        <v>3007</v>
      </c>
      <c r="AK533" s="27">
        <v>5006</v>
      </c>
      <c r="AL533" s="123">
        <f>_xlfn.XLOOKUP(H533,'#각종 참고'!$B$11:$B$20,'#각종 참고'!$D$11:$D$20)</f>
        <v>0</v>
      </c>
      <c r="AM533" s="27">
        <v>1</v>
      </c>
      <c r="AN533" s="27">
        <v>1</v>
      </c>
      <c r="AO533" s="124">
        <f t="shared" si="429"/>
        <v>1</v>
      </c>
      <c r="AP533" s="27">
        <v>1</v>
      </c>
      <c r="AQ533" s="21">
        <v>14156021</v>
      </c>
      <c r="AR533" s="21" t="s">
        <v>2578</v>
      </c>
      <c r="AS533" s="68"/>
      <c r="AT533" s="68"/>
      <c r="AU533" s="68"/>
    </row>
    <row r="534" spans="1:47" x14ac:dyDescent="0.3">
      <c r="A534" s="19"/>
      <c r="B534" s="109">
        <v>14166001</v>
      </c>
      <c r="C534" s="99" t="str">
        <f t="shared" si="432"/>
        <v>4</v>
      </c>
      <c r="D534" s="121">
        <f>COUNTIFS($F$33:F534,F534, $G$33:G534,G534, $C$33:C534,C534, $L$33:L534,L534)</f>
        <v>1</v>
      </c>
      <c r="E534" s="20">
        <v>1</v>
      </c>
      <c r="F534" s="20">
        <v>6</v>
      </c>
      <c r="G534" s="20">
        <v>1</v>
      </c>
      <c r="H534" s="103" t="s">
        <v>965</v>
      </c>
      <c r="I534" s="20" t="s">
        <v>1804</v>
      </c>
      <c r="J534" s="104" t="str">
        <f t="shared" si="398"/>
        <v>Item_Name_14166001</v>
      </c>
      <c r="K534" s="20">
        <v>10104001</v>
      </c>
      <c r="L534" s="107">
        <f t="shared" si="405"/>
        <v>6</v>
      </c>
      <c r="M534" s="105">
        <f>IF(D534=0, 0, _xlfn.XLOOKUP($F534,'#무게관련'!$B:$B,'#무게관련'!$C:$C)*_xlfn.XLOOKUP($L534,'#무게관련'!$F:$F,'#무게관련'!$G:$G)*100)</f>
        <v>4000</v>
      </c>
      <c r="N534" s="20">
        <v>20800</v>
      </c>
      <c r="O534" s="20">
        <v>4</v>
      </c>
      <c r="P534" s="20">
        <v>15</v>
      </c>
      <c r="Q534" s="20">
        <v>1</v>
      </c>
      <c r="R534" s="20">
        <v>100</v>
      </c>
      <c r="S534" s="20">
        <v>1</v>
      </c>
      <c r="T534" s="109" t="s">
        <v>1883</v>
      </c>
      <c r="U534" s="104" t="str">
        <f t="shared" si="433"/>
        <v>item_bg_grade_06</v>
      </c>
      <c r="V534" s="20" t="s">
        <v>326</v>
      </c>
      <c r="W534" s="20" t="s">
        <v>400</v>
      </c>
      <c r="X534" s="104">
        <v>0</v>
      </c>
      <c r="Y534" s="104">
        <v>0</v>
      </c>
      <c r="Z534" s="104">
        <v>0</v>
      </c>
      <c r="AA534" s="104">
        <v>0</v>
      </c>
      <c r="AB534" s="104">
        <v>0</v>
      </c>
      <c r="AC534" s="104">
        <v>0</v>
      </c>
      <c r="AD534" s="142">
        <v>0</v>
      </c>
      <c r="AE534" s="112">
        <f t="shared" si="407"/>
        <v>70</v>
      </c>
      <c r="AF534" s="70">
        <v>4606010</v>
      </c>
      <c r="AG534" s="105" cm="1">
        <f t="array" ref="AG534">_xlfn.SWITCH(L534,3,1,
           4,1,
           5,1,
           6,1,0)</f>
        <v>1</v>
      </c>
      <c r="AH534" s="146">
        <f t="shared" si="420"/>
        <v>0</v>
      </c>
      <c r="AI534" s="90">
        <v>6004</v>
      </c>
      <c r="AJ534" s="90">
        <v>3009</v>
      </c>
      <c r="AK534" s="27">
        <v>6006</v>
      </c>
      <c r="AL534" s="123">
        <f>_xlfn.XLOOKUP(H534,'#각종 참고'!$B$11:$B$20,'#각종 참고'!$D$11:$D$20)</f>
        <v>0</v>
      </c>
      <c r="AM534" s="27">
        <v>1</v>
      </c>
      <c r="AN534" s="27">
        <v>1</v>
      </c>
      <c r="AO534" s="124">
        <f t="shared" si="429"/>
        <v>1</v>
      </c>
      <c r="AP534" s="27">
        <v>1</v>
      </c>
      <c r="AQ534" s="21">
        <v>14166001</v>
      </c>
      <c r="AR534" s="21" t="s">
        <v>1804</v>
      </c>
      <c r="AS534" s="68"/>
      <c r="AT534" s="68"/>
      <c r="AU534" s="68"/>
    </row>
    <row r="535" spans="1:47" x14ac:dyDescent="0.3">
      <c r="A535" s="19" t="s">
        <v>513</v>
      </c>
      <c r="B535" s="109">
        <v>14166002</v>
      </c>
      <c r="C535" s="99" t="str">
        <f t="shared" ref="C535:C536" si="436">IF(K535&gt;0,MID(K535,5, 1), 0)</f>
        <v>4</v>
      </c>
      <c r="D535" s="121">
        <f>COUNTIFS($F$33:F535,F535, $G$33:G535,G535, $C$33:C535,C535, $L$33:L535,L535)</f>
        <v>2</v>
      </c>
      <c r="E535" s="20">
        <v>1</v>
      </c>
      <c r="F535" s="20">
        <v>6</v>
      </c>
      <c r="G535" s="20">
        <v>1</v>
      </c>
      <c r="H535" s="103" t="s">
        <v>965</v>
      </c>
      <c r="I535" s="20" t="s">
        <v>1803</v>
      </c>
      <c r="J535" s="104" t="str">
        <f t="shared" si="398"/>
        <v>Item_Name_14166002</v>
      </c>
      <c r="K535" s="20">
        <v>10104001</v>
      </c>
      <c r="L535" s="107">
        <f t="shared" si="405"/>
        <v>6</v>
      </c>
      <c r="M535" s="105">
        <f>IF(D535=0, 0, _xlfn.XLOOKUP($F535,'#무게관련'!$B:$B,'#무게관련'!$C:$C)*_xlfn.XLOOKUP($L535,'#무게관련'!$F:$F,'#무게관련'!$G:$G)*100)</f>
        <v>4000</v>
      </c>
      <c r="N535" s="20">
        <v>20800</v>
      </c>
      <c r="O535" s="20">
        <v>4</v>
      </c>
      <c r="P535" s="20">
        <v>15</v>
      </c>
      <c r="Q535" s="20">
        <v>1</v>
      </c>
      <c r="R535" s="20">
        <v>100</v>
      </c>
      <c r="S535" s="20">
        <v>1</v>
      </c>
      <c r="T535" s="109" t="s">
        <v>1883</v>
      </c>
      <c r="U535" s="104" t="str">
        <f t="shared" ref="U535:U536" si="437">"item_bg_grade_0"&amp;L535</f>
        <v>item_bg_grade_06</v>
      </c>
      <c r="V535" s="20" t="s">
        <v>326</v>
      </c>
      <c r="W535" s="20" t="s">
        <v>400</v>
      </c>
      <c r="X535" s="104">
        <v>0</v>
      </c>
      <c r="Y535" s="104">
        <v>0</v>
      </c>
      <c r="Z535" s="104">
        <v>0</v>
      </c>
      <c r="AA535" s="104">
        <v>0</v>
      </c>
      <c r="AB535" s="104">
        <v>0</v>
      </c>
      <c r="AC535" s="104">
        <v>0</v>
      </c>
      <c r="AD535" s="142">
        <v>0</v>
      </c>
      <c r="AE535" s="112">
        <f t="shared" si="407"/>
        <v>70</v>
      </c>
      <c r="AF535" s="70">
        <v>4606010</v>
      </c>
      <c r="AG535" s="105" cm="1">
        <f t="array" ref="AG535">_xlfn.SWITCH(L535,3,1,
           4,1,
           5,1,
           6,1,0)</f>
        <v>1</v>
      </c>
      <c r="AH535" s="146">
        <f t="shared" si="420"/>
        <v>0</v>
      </c>
      <c r="AI535" s="90">
        <v>6004</v>
      </c>
      <c r="AJ535" s="90">
        <v>3009</v>
      </c>
      <c r="AK535" s="27">
        <v>6006</v>
      </c>
      <c r="AL535" s="123">
        <f>_xlfn.XLOOKUP(H535,'#각종 참고'!$B$11:$B$20,'#각종 참고'!$D$11:$D$20)</f>
        <v>0</v>
      </c>
      <c r="AM535" s="27">
        <v>1</v>
      </c>
      <c r="AN535" s="27">
        <v>1</v>
      </c>
      <c r="AO535" s="124">
        <f t="shared" si="429"/>
        <v>1</v>
      </c>
      <c r="AP535" s="27">
        <v>1</v>
      </c>
      <c r="AQ535" s="21">
        <v>14166011</v>
      </c>
      <c r="AR535" s="21" t="s">
        <v>2579</v>
      </c>
      <c r="AS535" s="68"/>
      <c r="AT535" s="68"/>
      <c r="AU535" s="68"/>
    </row>
    <row r="536" spans="1:47" x14ac:dyDescent="0.3">
      <c r="A536" s="19" t="s">
        <v>513</v>
      </c>
      <c r="B536" s="109">
        <v>14166003</v>
      </c>
      <c r="C536" s="99" t="str">
        <f t="shared" si="436"/>
        <v>4</v>
      </c>
      <c r="D536" s="121">
        <f>COUNTIFS($F$33:F536,F536, $G$33:G536,G536, $C$33:C536,C536, $L$33:L536,L536)</f>
        <v>3</v>
      </c>
      <c r="E536" s="20">
        <v>1</v>
      </c>
      <c r="F536" s="20">
        <v>6</v>
      </c>
      <c r="G536" s="20">
        <v>1</v>
      </c>
      <c r="H536" s="103" t="s">
        <v>965</v>
      </c>
      <c r="I536" s="20" t="s">
        <v>2216</v>
      </c>
      <c r="J536" s="104" t="str">
        <f t="shared" si="398"/>
        <v>Item_Name_14166003</v>
      </c>
      <c r="K536" s="20">
        <v>10104001</v>
      </c>
      <c r="L536" s="107">
        <f t="shared" si="405"/>
        <v>6</v>
      </c>
      <c r="M536" s="105">
        <f>IF(D536=0, 0, _xlfn.XLOOKUP($F536,'#무게관련'!$B:$B,'#무게관련'!$C:$C)*_xlfn.XLOOKUP($L536,'#무게관련'!$F:$F,'#무게관련'!$G:$G)*100)</f>
        <v>4000</v>
      </c>
      <c r="N536" s="20">
        <v>20800</v>
      </c>
      <c r="O536" s="20">
        <v>4</v>
      </c>
      <c r="P536" s="20">
        <v>15</v>
      </c>
      <c r="Q536" s="20">
        <v>1</v>
      </c>
      <c r="R536" s="20">
        <v>100</v>
      </c>
      <c r="S536" s="20">
        <v>1</v>
      </c>
      <c r="T536" s="109" t="s">
        <v>1883</v>
      </c>
      <c r="U536" s="104" t="str">
        <f t="shared" si="437"/>
        <v>item_bg_grade_06</v>
      </c>
      <c r="V536" s="20" t="s">
        <v>326</v>
      </c>
      <c r="W536" s="20" t="s">
        <v>400</v>
      </c>
      <c r="X536" s="104">
        <v>0</v>
      </c>
      <c r="Y536" s="104">
        <v>0</v>
      </c>
      <c r="Z536" s="104">
        <v>0</v>
      </c>
      <c r="AA536" s="104">
        <v>0</v>
      </c>
      <c r="AB536" s="104">
        <v>0</v>
      </c>
      <c r="AC536" s="104">
        <v>0</v>
      </c>
      <c r="AD536" s="142">
        <v>0</v>
      </c>
      <c r="AE536" s="112">
        <f t="shared" si="407"/>
        <v>70</v>
      </c>
      <c r="AF536" s="70">
        <v>4606010</v>
      </c>
      <c r="AG536" s="105" cm="1">
        <f t="array" ref="AG536">_xlfn.SWITCH(L536,3,1,
           4,1,
           5,1,
           6,1,0)</f>
        <v>1</v>
      </c>
      <c r="AH536" s="146">
        <f t="shared" si="420"/>
        <v>0</v>
      </c>
      <c r="AI536" s="90">
        <v>6004</v>
      </c>
      <c r="AJ536" s="90">
        <v>3009</v>
      </c>
      <c r="AK536" s="27">
        <v>6006</v>
      </c>
      <c r="AL536" s="123">
        <f>_xlfn.XLOOKUP(H536,'#각종 참고'!$B$11:$B$20,'#각종 참고'!$D$11:$D$20)</f>
        <v>0</v>
      </c>
      <c r="AM536" s="27">
        <v>1</v>
      </c>
      <c r="AN536" s="27">
        <v>1</v>
      </c>
      <c r="AO536" s="124">
        <f t="shared" si="429"/>
        <v>1</v>
      </c>
      <c r="AP536" s="27">
        <v>1</v>
      </c>
      <c r="AQ536" s="21">
        <v>14166021</v>
      </c>
      <c r="AR536" s="21" t="s">
        <v>2580</v>
      </c>
      <c r="AS536" s="68"/>
      <c r="AT536" s="68"/>
      <c r="AU536" s="68"/>
    </row>
    <row r="537" spans="1:47" s="68" customFormat="1" x14ac:dyDescent="0.3">
      <c r="A537" s="65"/>
      <c r="B537" s="110">
        <v>11117001</v>
      </c>
      <c r="C537" s="99" t="str">
        <f t="shared" si="267"/>
        <v>1</v>
      </c>
      <c r="D537" s="120">
        <f>COUNTIFS($F$33:F537,F537, $G$33:G537,G537, $C$33:C537,C537, $L$33:L537,L537)</f>
        <v>1</v>
      </c>
      <c r="E537" s="20">
        <v>1</v>
      </c>
      <c r="F537" s="66">
        <v>7</v>
      </c>
      <c r="G537" s="66">
        <v>1</v>
      </c>
      <c r="H537" s="103" t="s">
        <v>957</v>
      </c>
      <c r="I537" s="66" t="s">
        <v>1805</v>
      </c>
      <c r="J537" s="104" t="str">
        <f t="shared" si="398"/>
        <v>Item_Name_11117001</v>
      </c>
      <c r="K537" s="66">
        <v>10101001</v>
      </c>
      <c r="L537" s="106">
        <f t="shared" si="405"/>
        <v>1</v>
      </c>
      <c r="M537" s="105">
        <f>IF(D537=0, 0, _xlfn.XLOOKUP($F537,'#무게관련'!$B:$B,'#무게관련'!$C:$C)*_xlfn.XLOOKUP($L537,'#무게관련'!$F:$F,'#무게관련'!$G:$G)*100)</f>
        <v>4000</v>
      </c>
      <c r="N537" s="20">
        <v>20600</v>
      </c>
      <c r="O537" s="20">
        <v>1</v>
      </c>
      <c r="P537" s="66">
        <v>15</v>
      </c>
      <c r="Q537" s="20">
        <v>1</v>
      </c>
      <c r="R537" s="66">
        <v>100</v>
      </c>
      <c r="S537" s="66">
        <v>1</v>
      </c>
      <c r="T537" s="66" t="s">
        <v>1884</v>
      </c>
      <c r="U537" s="104" t="str">
        <f t="shared" si="333"/>
        <v>item_bg_grade_01</v>
      </c>
      <c r="V537" s="66" t="s">
        <v>502</v>
      </c>
      <c r="W537" s="66" t="s">
        <v>400</v>
      </c>
      <c r="X537" s="104">
        <v>0</v>
      </c>
      <c r="Y537" s="104">
        <v>0</v>
      </c>
      <c r="Z537" s="104">
        <v>0</v>
      </c>
      <c r="AA537" s="104">
        <v>0</v>
      </c>
      <c r="AB537" s="104">
        <v>0</v>
      </c>
      <c r="AC537" s="104">
        <v>0</v>
      </c>
      <c r="AD537" s="142">
        <v>0</v>
      </c>
      <c r="AE537" s="111">
        <f t="shared" si="407"/>
        <v>10</v>
      </c>
      <c r="AF537" s="70">
        <v>1107010</v>
      </c>
      <c r="AG537" s="105" cm="1">
        <f t="array" ref="AG537">_xlfn.SWITCH(L537,3,1,
           4,1,
           5,1,
           6,1,0)</f>
        <v>0</v>
      </c>
      <c r="AH537" s="146">
        <f t="shared" si="420"/>
        <v>80101101</v>
      </c>
      <c r="AI537" s="90">
        <v>0</v>
      </c>
      <c r="AJ537" s="90">
        <v>0</v>
      </c>
      <c r="AK537" s="27">
        <v>0</v>
      </c>
      <c r="AL537" s="123">
        <f>_xlfn.XLOOKUP(H537,'#각종 참고'!$B$11:$B$20,'#각종 참고'!$D$11:$D$20)</f>
        <v>0</v>
      </c>
      <c r="AM537" s="27">
        <v>1</v>
      </c>
      <c r="AN537" s="27">
        <v>1</v>
      </c>
      <c r="AO537" s="124">
        <f t="shared" si="429"/>
        <v>1</v>
      </c>
      <c r="AP537" s="27">
        <v>1</v>
      </c>
      <c r="AQ537" s="21">
        <v>11117001</v>
      </c>
      <c r="AR537" s="68" t="s">
        <v>1805</v>
      </c>
    </row>
    <row r="538" spans="1:47" s="68" customFormat="1" x14ac:dyDescent="0.3">
      <c r="A538" s="65"/>
      <c r="B538" s="110">
        <v>11117002</v>
      </c>
      <c r="C538" s="99" t="str">
        <f t="shared" ref="C538:C539" si="438">IF(K538&gt;0,MID(K538,5, 1), 0)</f>
        <v>1</v>
      </c>
      <c r="D538" s="120">
        <f>COUNTIFS($F$33:F538,F538, $G$33:G538,G538, $C$33:C538,C538, $L$33:L538,L538)</f>
        <v>2</v>
      </c>
      <c r="E538" s="20">
        <v>1</v>
      </c>
      <c r="F538" s="66">
        <v>7</v>
      </c>
      <c r="G538" s="66">
        <v>1</v>
      </c>
      <c r="H538" s="103" t="s">
        <v>957</v>
      </c>
      <c r="I538" s="66" t="s">
        <v>2218</v>
      </c>
      <c r="J538" s="104" t="str">
        <f t="shared" si="398"/>
        <v>Item_Name_11117002</v>
      </c>
      <c r="K538" s="66">
        <v>10101001</v>
      </c>
      <c r="L538" s="106">
        <f t="shared" si="405"/>
        <v>1</v>
      </c>
      <c r="M538" s="105">
        <f>IF(D538=0, 0, _xlfn.XLOOKUP($F538,'#무게관련'!$B:$B,'#무게관련'!$C:$C)*_xlfn.XLOOKUP($L538,'#무게관련'!$F:$F,'#무게관련'!$G:$G)*100)</f>
        <v>4000</v>
      </c>
      <c r="N538" s="20">
        <v>20600</v>
      </c>
      <c r="O538" s="20">
        <v>1</v>
      </c>
      <c r="P538" s="66">
        <v>15</v>
      </c>
      <c r="Q538" s="20">
        <v>1</v>
      </c>
      <c r="R538" s="66">
        <v>100</v>
      </c>
      <c r="S538" s="66">
        <v>1</v>
      </c>
      <c r="T538" s="66" t="s">
        <v>1884</v>
      </c>
      <c r="U538" s="104" t="str">
        <f t="shared" ref="U538:U539" si="439">"item_bg_grade_0"&amp;L538</f>
        <v>item_bg_grade_01</v>
      </c>
      <c r="V538" s="66" t="s">
        <v>502</v>
      </c>
      <c r="W538" s="66" t="s">
        <v>400</v>
      </c>
      <c r="X538" s="104">
        <v>0</v>
      </c>
      <c r="Y538" s="104">
        <v>0</v>
      </c>
      <c r="Z538" s="104">
        <v>0</v>
      </c>
      <c r="AA538" s="104">
        <v>0</v>
      </c>
      <c r="AB538" s="104">
        <v>0</v>
      </c>
      <c r="AC538" s="104">
        <v>0</v>
      </c>
      <c r="AD538" s="142">
        <v>0</v>
      </c>
      <c r="AE538" s="111">
        <f t="shared" si="407"/>
        <v>10</v>
      </c>
      <c r="AF538" s="70">
        <v>1107020</v>
      </c>
      <c r="AG538" s="105" cm="1">
        <f t="array" ref="AG538">_xlfn.SWITCH(L538,3,1,
           4,1,
           5,1,
           6,1,0)</f>
        <v>0</v>
      </c>
      <c r="AH538" s="146">
        <f t="shared" si="420"/>
        <v>80101101</v>
      </c>
      <c r="AI538" s="90">
        <v>0</v>
      </c>
      <c r="AJ538" s="90">
        <v>0</v>
      </c>
      <c r="AK538" s="27">
        <v>0</v>
      </c>
      <c r="AL538" s="123">
        <f>_xlfn.XLOOKUP(H538,'#각종 참고'!$B$11:$B$20,'#각종 참고'!$D$11:$D$20)</f>
        <v>0</v>
      </c>
      <c r="AM538" s="27">
        <v>1</v>
      </c>
      <c r="AN538" s="27">
        <v>1</v>
      </c>
      <c r="AO538" s="124">
        <f t="shared" si="429"/>
        <v>1</v>
      </c>
      <c r="AP538" s="27">
        <v>1</v>
      </c>
      <c r="AQ538" s="21">
        <v>11117011</v>
      </c>
      <c r="AR538" s="68" t="s">
        <v>2581</v>
      </c>
    </row>
    <row r="539" spans="1:47" s="68" customFormat="1" x14ac:dyDescent="0.3">
      <c r="A539" s="65"/>
      <c r="B539" s="110">
        <v>11117003</v>
      </c>
      <c r="C539" s="99" t="str">
        <f t="shared" si="438"/>
        <v>1</v>
      </c>
      <c r="D539" s="120">
        <f>COUNTIFS($F$33:F539,F539, $G$33:G539,G539, $C$33:C539,C539, $L$33:L539,L539)</f>
        <v>3</v>
      </c>
      <c r="E539" s="20">
        <v>1</v>
      </c>
      <c r="F539" s="66">
        <v>7</v>
      </c>
      <c r="G539" s="66">
        <v>1</v>
      </c>
      <c r="H539" s="103" t="s">
        <v>957</v>
      </c>
      <c r="I539" s="66" t="s">
        <v>2217</v>
      </c>
      <c r="J539" s="104" t="str">
        <f t="shared" si="398"/>
        <v>Item_Name_11117003</v>
      </c>
      <c r="K539" s="66">
        <v>10101001</v>
      </c>
      <c r="L539" s="106">
        <f t="shared" si="405"/>
        <v>1</v>
      </c>
      <c r="M539" s="105">
        <f>IF(D539=0, 0, _xlfn.XLOOKUP($F539,'#무게관련'!$B:$B,'#무게관련'!$C:$C)*_xlfn.XLOOKUP($L539,'#무게관련'!$F:$F,'#무게관련'!$G:$G)*100)</f>
        <v>4000</v>
      </c>
      <c r="N539" s="20">
        <v>20600</v>
      </c>
      <c r="O539" s="20">
        <v>1</v>
      </c>
      <c r="P539" s="66">
        <v>15</v>
      </c>
      <c r="Q539" s="20">
        <v>1</v>
      </c>
      <c r="R539" s="66">
        <v>100</v>
      </c>
      <c r="S539" s="66">
        <v>1</v>
      </c>
      <c r="T539" s="66" t="s">
        <v>1884</v>
      </c>
      <c r="U539" s="104" t="str">
        <f t="shared" si="439"/>
        <v>item_bg_grade_01</v>
      </c>
      <c r="V539" s="66" t="s">
        <v>502</v>
      </c>
      <c r="W539" s="66" t="s">
        <v>400</v>
      </c>
      <c r="X539" s="104">
        <v>0</v>
      </c>
      <c r="Y539" s="104">
        <v>0</v>
      </c>
      <c r="Z539" s="104">
        <v>0</v>
      </c>
      <c r="AA539" s="104">
        <v>0</v>
      </c>
      <c r="AB539" s="104">
        <v>0</v>
      </c>
      <c r="AC539" s="104">
        <v>0</v>
      </c>
      <c r="AD539" s="142">
        <v>0</v>
      </c>
      <c r="AE539" s="111">
        <f t="shared" si="407"/>
        <v>10</v>
      </c>
      <c r="AF539" s="70">
        <v>1107030</v>
      </c>
      <c r="AG539" s="105" cm="1">
        <f t="array" ref="AG539">_xlfn.SWITCH(L539,3,1,
           4,1,
           5,1,
           6,1,0)</f>
        <v>0</v>
      </c>
      <c r="AH539" s="146">
        <f t="shared" si="420"/>
        <v>80101101</v>
      </c>
      <c r="AI539" s="90">
        <v>0</v>
      </c>
      <c r="AJ539" s="90">
        <v>0</v>
      </c>
      <c r="AK539" s="27">
        <v>0</v>
      </c>
      <c r="AL539" s="123">
        <f>_xlfn.XLOOKUP(H539,'#각종 참고'!$B$11:$B$20,'#각종 참고'!$D$11:$D$20)</f>
        <v>0</v>
      </c>
      <c r="AM539" s="27">
        <v>1</v>
      </c>
      <c r="AN539" s="27">
        <v>1</v>
      </c>
      <c r="AO539" s="124">
        <f t="shared" si="429"/>
        <v>1</v>
      </c>
      <c r="AP539" s="27">
        <v>1</v>
      </c>
      <c r="AQ539" s="21">
        <v>11117021</v>
      </c>
      <c r="AR539" s="68" t="s">
        <v>2582</v>
      </c>
    </row>
    <row r="540" spans="1:47" x14ac:dyDescent="0.3">
      <c r="A540" s="19"/>
      <c r="B540" s="109">
        <v>11127001</v>
      </c>
      <c r="C540" s="99" t="str">
        <f t="shared" si="267"/>
        <v>1</v>
      </c>
      <c r="D540" s="121">
        <f>COUNTIFS($F$33:F540,F540, $G$33:G540,G540, $C$33:C540,C540, $L$33:L540,L540)</f>
        <v>1</v>
      </c>
      <c r="E540" s="20">
        <v>1</v>
      </c>
      <c r="F540" s="20">
        <v>7</v>
      </c>
      <c r="G540" s="20">
        <v>1</v>
      </c>
      <c r="H540" s="103" t="s">
        <v>957</v>
      </c>
      <c r="I540" s="20" t="s">
        <v>1806</v>
      </c>
      <c r="J540" s="104" t="str">
        <f t="shared" si="398"/>
        <v>Item_Name_11127001</v>
      </c>
      <c r="K540" s="20">
        <v>10101001</v>
      </c>
      <c r="L540" s="108">
        <f t="shared" si="405"/>
        <v>2</v>
      </c>
      <c r="M540" s="105">
        <f>IF(D540=0, 0, _xlfn.XLOOKUP($F540,'#무게관련'!$B:$B,'#무게관련'!$C:$C)*_xlfn.XLOOKUP($L540,'#무게관련'!$F:$F,'#무게관련'!$G:$G)*100)</f>
        <v>4000</v>
      </c>
      <c r="N540" s="20">
        <v>20600</v>
      </c>
      <c r="O540" s="20">
        <v>1</v>
      </c>
      <c r="P540" s="20">
        <v>15</v>
      </c>
      <c r="Q540" s="20">
        <v>1</v>
      </c>
      <c r="R540" s="20">
        <v>100</v>
      </c>
      <c r="S540" s="20">
        <v>1</v>
      </c>
      <c r="T540" s="20" t="s">
        <v>1885</v>
      </c>
      <c r="U540" s="104" t="str">
        <f t="shared" si="333"/>
        <v>item_bg_grade_02</v>
      </c>
      <c r="V540" s="20" t="s">
        <v>502</v>
      </c>
      <c r="W540" s="20" t="s">
        <v>400</v>
      </c>
      <c r="X540" s="104">
        <v>0</v>
      </c>
      <c r="Y540" s="104">
        <v>0</v>
      </c>
      <c r="Z540" s="104">
        <v>0</v>
      </c>
      <c r="AA540" s="104">
        <v>0</v>
      </c>
      <c r="AB540" s="104">
        <v>0</v>
      </c>
      <c r="AC540" s="104">
        <v>0</v>
      </c>
      <c r="AD540" s="142">
        <v>0</v>
      </c>
      <c r="AE540" s="112">
        <f t="shared" si="407"/>
        <v>20</v>
      </c>
      <c r="AF540" s="70">
        <v>1207010</v>
      </c>
      <c r="AG540" s="105" cm="1">
        <f t="array" ref="AG540">_xlfn.SWITCH(L540,3,1,
           4,1,
           5,1,
           6,1,0)</f>
        <v>0</v>
      </c>
      <c r="AH540" s="146">
        <f t="shared" si="420"/>
        <v>80101201</v>
      </c>
      <c r="AI540" s="90">
        <v>6000</v>
      </c>
      <c r="AJ540" s="90">
        <v>3002</v>
      </c>
      <c r="AK540" s="27">
        <v>2007</v>
      </c>
      <c r="AL540" s="123">
        <f>_xlfn.XLOOKUP(H540,'#각종 참고'!$B$11:$B$20,'#각종 참고'!$D$11:$D$20)</f>
        <v>0</v>
      </c>
      <c r="AM540" s="27">
        <v>1</v>
      </c>
      <c r="AN540" s="27">
        <v>1</v>
      </c>
      <c r="AO540" s="124">
        <f t="shared" si="429"/>
        <v>1</v>
      </c>
      <c r="AP540" s="27">
        <v>1</v>
      </c>
      <c r="AQ540" s="21">
        <v>11127001</v>
      </c>
      <c r="AR540" s="21" t="s">
        <v>1806</v>
      </c>
      <c r="AS540" s="68"/>
      <c r="AT540" s="68"/>
      <c r="AU540" s="68"/>
    </row>
    <row r="541" spans="1:47" x14ac:dyDescent="0.3">
      <c r="A541" s="19"/>
      <c r="B541" s="109">
        <v>11127002</v>
      </c>
      <c r="C541" s="99" t="str">
        <f t="shared" ref="C541:C542" si="440">IF(K541&gt;0,MID(K541,5, 1), 0)</f>
        <v>1</v>
      </c>
      <c r="D541" s="121">
        <f>COUNTIFS($F$33:F541,F541, $G$33:G541,G541, $C$33:C541,C541, $L$33:L541,L541)</f>
        <v>2</v>
      </c>
      <c r="E541" s="20">
        <v>1</v>
      </c>
      <c r="F541" s="20">
        <v>7</v>
      </c>
      <c r="G541" s="20">
        <v>1</v>
      </c>
      <c r="H541" s="103" t="s">
        <v>957</v>
      </c>
      <c r="I541" s="20" t="s">
        <v>2219</v>
      </c>
      <c r="J541" s="104" t="str">
        <f t="shared" si="398"/>
        <v>Item_Name_11127002</v>
      </c>
      <c r="K541" s="20">
        <v>10101001</v>
      </c>
      <c r="L541" s="108">
        <f t="shared" si="405"/>
        <v>2</v>
      </c>
      <c r="M541" s="105">
        <f>IF(D541=0, 0, _xlfn.XLOOKUP($F541,'#무게관련'!$B:$B,'#무게관련'!$C:$C)*_xlfn.XLOOKUP($L541,'#무게관련'!$F:$F,'#무게관련'!$G:$G)*100)</f>
        <v>4000</v>
      </c>
      <c r="N541" s="20">
        <v>20600</v>
      </c>
      <c r="O541" s="20">
        <v>1</v>
      </c>
      <c r="P541" s="20">
        <v>15</v>
      </c>
      <c r="Q541" s="20">
        <v>1</v>
      </c>
      <c r="R541" s="20">
        <v>100</v>
      </c>
      <c r="S541" s="20">
        <v>1</v>
      </c>
      <c r="T541" s="20" t="s">
        <v>1885</v>
      </c>
      <c r="U541" s="104" t="str">
        <f t="shared" ref="U541:U542" si="441">"item_bg_grade_0"&amp;L541</f>
        <v>item_bg_grade_02</v>
      </c>
      <c r="V541" s="20" t="s">
        <v>502</v>
      </c>
      <c r="W541" s="20" t="s">
        <v>400</v>
      </c>
      <c r="X541" s="104">
        <v>0</v>
      </c>
      <c r="Y541" s="104">
        <v>0</v>
      </c>
      <c r="Z541" s="104">
        <v>0</v>
      </c>
      <c r="AA541" s="104">
        <v>0</v>
      </c>
      <c r="AB541" s="104">
        <v>0</v>
      </c>
      <c r="AC541" s="104">
        <v>0</v>
      </c>
      <c r="AD541" s="142">
        <v>0</v>
      </c>
      <c r="AE541" s="112">
        <f t="shared" si="407"/>
        <v>20</v>
      </c>
      <c r="AF541" s="70">
        <v>1207020</v>
      </c>
      <c r="AG541" s="105" cm="1">
        <f t="array" ref="AG541">_xlfn.SWITCH(L541,3,1,
           4,1,
           5,1,
           6,1,0)</f>
        <v>0</v>
      </c>
      <c r="AH541" s="146">
        <f t="shared" si="420"/>
        <v>80101201</v>
      </c>
      <c r="AI541" s="90">
        <v>6000</v>
      </c>
      <c r="AJ541" s="90">
        <v>3002</v>
      </c>
      <c r="AK541" s="27">
        <v>2007</v>
      </c>
      <c r="AL541" s="123">
        <f>_xlfn.XLOOKUP(H541,'#각종 참고'!$B$11:$B$20,'#각종 참고'!$D$11:$D$20)</f>
        <v>0</v>
      </c>
      <c r="AM541" s="27">
        <v>1</v>
      </c>
      <c r="AN541" s="27">
        <v>1</v>
      </c>
      <c r="AO541" s="124">
        <f t="shared" si="429"/>
        <v>1</v>
      </c>
      <c r="AP541" s="27">
        <v>1</v>
      </c>
      <c r="AQ541" s="21">
        <v>11127011</v>
      </c>
      <c r="AR541" s="21" t="s">
        <v>2583</v>
      </c>
      <c r="AS541" s="68"/>
      <c r="AT541" s="68"/>
      <c r="AU541" s="68"/>
    </row>
    <row r="542" spans="1:47" x14ac:dyDescent="0.3">
      <c r="A542" s="19"/>
      <c r="B542" s="109">
        <v>11127003</v>
      </c>
      <c r="C542" s="99" t="str">
        <f t="shared" si="440"/>
        <v>1</v>
      </c>
      <c r="D542" s="121">
        <f>COUNTIFS($F$33:F542,F542, $G$33:G542,G542, $C$33:C542,C542, $L$33:L542,L542)</f>
        <v>3</v>
      </c>
      <c r="E542" s="20">
        <v>1</v>
      </c>
      <c r="F542" s="20">
        <v>7</v>
      </c>
      <c r="G542" s="20">
        <v>1</v>
      </c>
      <c r="H542" s="103" t="s">
        <v>957</v>
      </c>
      <c r="I542" s="20" t="s">
        <v>1979</v>
      </c>
      <c r="J542" s="104" t="str">
        <f t="shared" si="398"/>
        <v>Item_Name_11127003</v>
      </c>
      <c r="K542" s="20">
        <v>10101001</v>
      </c>
      <c r="L542" s="108">
        <f t="shared" si="405"/>
        <v>2</v>
      </c>
      <c r="M542" s="105">
        <f>IF(D542=0, 0, _xlfn.XLOOKUP($F542,'#무게관련'!$B:$B,'#무게관련'!$C:$C)*_xlfn.XLOOKUP($L542,'#무게관련'!$F:$F,'#무게관련'!$G:$G)*100)</f>
        <v>4000</v>
      </c>
      <c r="N542" s="20">
        <v>20600</v>
      </c>
      <c r="O542" s="20">
        <v>1</v>
      </c>
      <c r="P542" s="20">
        <v>15</v>
      </c>
      <c r="Q542" s="20">
        <v>1</v>
      </c>
      <c r="R542" s="20">
        <v>100</v>
      </c>
      <c r="S542" s="20">
        <v>1</v>
      </c>
      <c r="T542" s="20" t="s">
        <v>1885</v>
      </c>
      <c r="U542" s="104" t="str">
        <f t="shared" si="441"/>
        <v>item_bg_grade_02</v>
      </c>
      <c r="V542" s="20" t="s">
        <v>502</v>
      </c>
      <c r="W542" s="20" t="s">
        <v>400</v>
      </c>
      <c r="X542" s="104">
        <v>0</v>
      </c>
      <c r="Y542" s="104">
        <v>0</v>
      </c>
      <c r="Z542" s="104">
        <v>0</v>
      </c>
      <c r="AA542" s="104">
        <v>0</v>
      </c>
      <c r="AB542" s="104">
        <v>0</v>
      </c>
      <c r="AC542" s="104">
        <v>0</v>
      </c>
      <c r="AD542" s="142">
        <v>0</v>
      </c>
      <c r="AE542" s="112">
        <f t="shared" si="407"/>
        <v>20</v>
      </c>
      <c r="AF542" s="70">
        <v>1207030</v>
      </c>
      <c r="AG542" s="105" cm="1">
        <f t="array" ref="AG542">_xlfn.SWITCH(L542,3,1,
           4,1,
           5,1,
           6,1,0)</f>
        <v>0</v>
      </c>
      <c r="AH542" s="146">
        <f t="shared" si="420"/>
        <v>80101201</v>
      </c>
      <c r="AI542" s="90">
        <v>6000</v>
      </c>
      <c r="AJ542" s="90">
        <v>3002</v>
      </c>
      <c r="AK542" s="27">
        <v>2007</v>
      </c>
      <c r="AL542" s="123">
        <f>_xlfn.XLOOKUP(H542,'#각종 참고'!$B$11:$B$20,'#각종 참고'!$D$11:$D$20)</f>
        <v>0</v>
      </c>
      <c r="AM542" s="27">
        <v>1</v>
      </c>
      <c r="AN542" s="27">
        <v>1</v>
      </c>
      <c r="AO542" s="124">
        <f t="shared" si="429"/>
        <v>1</v>
      </c>
      <c r="AP542" s="27">
        <v>1</v>
      </c>
      <c r="AQ542" s="21">
        <v>11127021</v>
      </c>
      <c r="AR542" s="21" t="s">
        <v>2584</v>
      </c>
      <c r="AS542" s="68"/>
      <c r="AT542" s="68"/>
      <c r="AU542" s="68"/>
    </row>
    <row r="543" spans="1:47" x14ac:dyDescent="0.3">
      <c r="A543" s="19"/>
      <c r="B543" s="109">
        <v>11137001</v>
      </c>
      <c r="C543" s="99" t="str">
        <f t="shared" si="267"/>
        <v>1</v>
      </c>
      <c r="D543" s="121">
        <f>COUNTIFS($F$33:F543,F543, $G$33:G543,G543, $C$33:C543,C543, $L$33:L543,L543)</f>
        <v>1</v>
      </c>
      <c r="E543" s="20">
        <v>1</v>
      </c>
      <c r="F543" s="20">
        <v>7</v>
      </c>
      <c r="G543" s="20">
        <v>1</v>
      </c>
      <c r="H543" s="103" t="s">
        <v>957</v>
      </c>
      <c r="I543" s="20" t="s">
        <v>1807</v>
      </c>
      <c r="J543" s="104" t="str">
        <f t="shared" si="398"/>
        <v>Item_Name_11137001</v>
      </c>
      <c r="K543" s="20">
        <v>10101001</v>
      </c>
      <c r="L543" s="108">
        <f t="shared" si="405"/>
        <v>3</v>
      </c>
      <c r="M543" s="105">
        <f>IF(D543=0, 0, _xlfn.XLOOKUP($F543,'#무게관련'!$B:$B,'#무게관련'!$C:$C)*_xlfn.XLOOKUP($L543,'#무게관련'!$F:$F,'#무게관련'!$G:$G)*100)</f>
        <v>4000</v>
      </c>
      <c r="N543" s="20">
        <v>20600</v>
      </c>
      <c r="O543" s="20">
        <v>1</v>
      </c>
      <c r="P543" s="20">
        <v>15</v>
      </c>
      <c r="Q543" s="20">
        <v>1</v>
      </c>
      <c r="R543" s="20">
        <v>100</v>
      </c>
      <c r="S543" s="20">
        <v>1</v>
      </c>
      <c r="T543" s="20" t="s">
        <v>1886</v>
      </c>
      <c r="U543" s="104" t="str">
        <f t="shared" si="333"/>
        <v>item_bg_grade_03</v>
      </c>
      <c r="V543" s="20" t="s">
        <v>502</v>
      </c>
      <c r="W543" s="20" t="s">
        <v>400</v>
      </c>
      <c r="X543" s="104">
        <v>0</v>
      </c>
      <c r="Y543" s="104">
        <v>0</v>
      </c>
      <c r="Z543" s="104">
        <v>0</v>
      </c>
      <c r="AA543" s="104">
        <v>0</v>
      </c>
      <c r="AB543" s="104">
        <v>0</v>
      </c>
      <c r="AC543" s="104">
        <v>0</v>
      </c>
      <c r="AD543" s="142">
        <v>0</v>
      </c>
      <c r="AE543" s="112">
        <f t="shared" si="407"/>
        <v>30</v>
      </c>
      <c r="AF543" s="70">
        <v>1307010</v>
      </c>
      <c r="AG543" s="105" cm="1">
        <f t="array" ref="AG543">_xlfn.SWITCH(L543,3,1,
           4,1,
           5,1,
           6,1,0)</f>
        <v>1</v>
      </c>
      <c r="AH543" s="146">
        <f t="shared" si="420"/>
        <v>80101301</v>
      </c>
      <c r="AI543" s="90">
        <v>6001</v>
      </c>
      <c r="AJ543" s="90">
        <v>3004</v>
      </c>
      <c r="AK543" s="27">
        <v>3007</v>
      </c>
      <c r="AL543" s="123">
        <f>_xlfn.XLOOKUP(H543,'#각종 참고'!$B$11:$B$20,'#각종 참고'!$D$11:$D$20)</f>
        <v>0</v>
      </c>
      <c r="AM543" s="27">
        <v>1</v>
      </c>
      <c r="AN543" s="27">
        <v>1</v>
      </c>
      <c r="AO543" s="124">
        <f t="shared" si="429"/>
        <v>1</v>
      </c>
      <c r="AP543" s="27">
        <v>1</v>
      </c>
      <c r="AQ543" s="21">
        <v>11137001</v>
      </c>
      <c r="AR543" s="21" t="s">
        <v>1807</v>
      </c>
      <c r="AS543" s="68"/>
      <c r="AT543" s="68"/>
      <c r="AU543" s="68"/>
    </row>
    <row r="544" spans="1:47" x14ac:dyDescent="0.3">
      <c r="A544" s="19"/>
      <c r="B544" s="109">
        <v>11137002</v>
      </c>
      <c r="C544" s="99" t="str">
        <f t="shared" ref="C544:C545" si="442">IF(K544&gt;0,MID(K544,5, 1), 0)</f>
        <v>1</v>
      </c>
      <c r="D544" s="121">
        <f>COUNTIFS($F$33:F544,F544, $G$33:G544,G544, $C$33:C544,C544, $L$33:L544,L544)</f>
        <v>2</v>
      </c>
      <c r="E544" s="20">
        <v>1</v>
      </c>
      <c r="F544" s="20">
        <v>7</v>
      </c>
      <c r="G544" s="20">
        <v>1</v>
      </c>
      <c r="H544" s="103" t="s">
        <v>957</v>
      </c>
      <c r="I544" s="20" t="s">
        <v>1808</v>
      </c>
      <c r="J544" s="104" t="str">
        <f t="shared" si="398"/>
        <v>Item_Name_11137002</v>
      </c>
      <c r="K544" s="20">
        <v>10101001</v>
      </c>
      <c r="L544" s="108">
        <f t="shared" si="405"/>
        <v>3</v>
      </c>
      <c r="M544" s="105">
        <f>IF(D544=0, 0, _xlfn.XLOOKUP($F544,'#무게관련'!$B:$B,'#무게관련'!$C:$C)*_xlfn.XLOOKUP($L544,'#무게관련'!$F:$F,'#무게관련'!$G:$G)*100)</f>
        <v>4000</v>
      </c>
      <c r="N544" s="20">
        <v>20600</v>
      </c>
      <c r="O544" s="20">
        <v>1</v>
      </c>
      <c r="P544" s="20">
        <v>15</v>
      </c>
      <c r="Q544" s="20">
        <v>1</v>
      </c>
      <c r="R544" s="20">
        <v>100</v>
      </c>
      <c r="S544" s="20">
        <v>1</v>
      </c>
      <c r="T544" s="20" t="s">
        <v>1886</v>
      </c>
      <c r="U544" s="104" t="str">
        <f t="shared" ref="U544:U545" si="443">"item_bg_grade_0"&amp;L544</f>
        <v>item_bg_grade_03</v>
      </c>
      <c r="V544" s="20" t="s">
        <v>502</v>
      </c>
      <c r="W544" s="20" t="s">
        <v>400</v>
      </c>
      <c r="X544" s="104">
        <v>0</v>
      </c>
      <c r="Y544" s="104">
        <v>0</v>
      </c>
      <c r="Z544" s="104">
        <v>0</v>
      </c>
      <c r="AA544" s="104">
        <v>0</v>
      </c>
      <c r="AB544" s="104">
        <v>0</v>
      </c>
      <c r="AC544" s="104">
        <v>0</v>
      </c>
      <c r="AD544" s="142">
        <v>0</v>
      </c>
      <c r="AE544" s="112">
        <f t="shared" si="407"/>
        <v>30</v>
      </c>
      <c r="AF544" s="70">
        <v>1307020</v>
      </c>
      <c r="AG544" s="105" cm="1">
        <f t="array" ref="AG544">_xlfn.SWITCH(L544,3,1,
           4,1,
           5,1,
           6,1,0)</f>
        <v>1</v>
      </c>
      <c r="AH544" s="146">
        <f t="shared" si="420"/>
        <v>80101301</v>
      </c>
      <c r="AI544" s="90">
        <v>6001</v>
      </c>
      <c r="AJ544" s="90">
        <v>3004</v>
      </c>
      <c r="AK544" s="27">
        <v>3007</v>
      </c>
      <c r="AL544" s="123">
        <f>_xlfn.XLOOKUP(H544,'#각종 참고'!$B$11:$B$20,'#각종 참고'!$D$11:$D$20)</f>
        <v>0</v>
      </c>
      <c r="AM544" s="27">
        <v>1</v>
      </c>
      <c r="AN544" s="27">
        <v>1</v>
      </c>
      <c r="AO544" s="124">
        <f t="shared" si="429"/>
        <v>1</v>
      </c>
      <c r="AP544" s="27">
        <v>1</v>
      </c>
      <c r="AQ544" s="21">
        <v>11137011</v>
      </c>
      <c r="AR544" s="21" t="s">
        <v>2585</v>
      </c>
      <c r="AS544" s="68"/>
      <c r="AT544" s="68"/>
      <c r="AU544" s="68"/>
    </row>
    <row r="545" spans="1:47" x14ac:dyDescent="0.3">
      <c r="A545" s="19"/>
      <c r="B545" s="109">
        <v>11137003</v>
      </c>
      <c r="C545" s="99" t="str">
        <f t="shared" si="442"/>
        <v>1</v>
      </c>
      <c r="D545" s="121">
        <f>COUNTIFS($F$33:F545,F545, $G$33:G545,G545, $C$33:C545,C545, $L$33:L545,L545)</f>
        <v>3</v>
      </c>
      <c r="E545" s="20">
        <v>1</v>
      </c>
      <c r="F545" s="20">
        <v>7</v>
      </c>
      <c r="G545" s="20">
        <v>1</v>
      </c>
      <c r="H545" s="103" t="s">
        <v>957</v>
      </c>
      <c r="I545" s="20" t="s">
        <v>2220</v>
      </c>
      <c r="J545" s="104" t="str">
        <f t="shared" si="398"/>
        <v>Item_Name_11137003</v>
      </c>
      <c r="K545" s="20">
        <v>10101001</v>
      </c>
      <c r="L545" s="108">
        <f t="shared" si="405"/>
        <v>3</v>
      </c>
      <c r="M545" s="105">
        <f>IF(D545=0, 0, _xlfn.XLOOKUP($F545,'#무게관련'!$B:$B,'#무게관련'!$C:$C)*_xlfn.XLOOKUP($L545,'#무게관련'!$F:$F,'#무게관련'!$G:$G)*100)</f>
        <v>4000</v>
      </c>
      <c r="N545" s="20">
        <v>20600</v>
      </c>
      <c r="O545" s="20">
        <v>1</v>
      </c>
      <c r="P545" s="20">
        <v>15</v>
      </c>
      <c r="Q545" s="20">
        <v>1</v>
      </c>
      <c r="R545" s="20">
        <v>100</v>
      </c>
      <c r="S545" s="20">
        <v>1</v>
      </c>
      <c r="T545" s="20" t="s">
        <v>1886</v>
      </c>
      <c r="U545" s="104" t="str">
        <f t="shared" si="443"/>
        <v>item_bg_grade_03</v>
      </c>
      <c r="V545" s="20" t="s">
        <v>502</v>
      </c>
      <c r="W545" s="20" t="s">
        <v>400</v>
      </c>
      <c r="X545" s="104">
        <v>0</v>
      </c>
      <c r="Y545" s="104">
        <v>0</v>
      </c>
      <c r="Z545" s="104">
        <v>0</v>
      </c>
      <c r="AA545" s="104">
        <v>0</v>
      </c>
      <c r="AB545" s="104">
        <v>0</v>
      </c>
      <c r="AC545" s="104">
        <v>0</v>
      </c>
      <c r="AD545" s="142">
        <v>0</v>
      </c>
      <c r="AE545" s="112">
        <f t="shared" si="407"/>
        <v>30</v>
      </c>
      <c r="AF545" s="70">
        <v>1307030</v>
      </c>
      <c r="AG545" s="105" cm="1">
        <f t="array" ref="AG545">_xlfn.SWITCH(L545,3,1,
           4,1,
           5,1,
           6,1,0)</f>
        <v>1</v>
      </c>
      <c r="AH545" s="146">
        <f t="shared" si="420"/>
        <v>80101301</v>
      </c>
      <c r="AI545" s="90">
        <v>6001</v>
      </c>
      <c r="AJ545" s="90">
        <v>3004</v>
      </c>
      <c r="AK545" s="27">
        <v>3007</v>
      </c>
      <c r="AL545" s="123">
        <f>_xlfn.XLOOKUP(H545,'#각종 참고'!$B$11:$B$20,'#각종 참고'!$D$11:$D$20)</f>
        <v>0</v>
      </c>
      <c r="AM545" s="27">
        <v>1</v>
      </c>
      <c r="AN545" s="27">
        <v>1</v>
      </c>
      <c r="AO545" s="124">
        <f t="shared" si="429"/>
        <v>1</v>
      </c>
      <c r="AP545" s="27">
        <v>1</v>
      </c>
      <c r="AQ545" s="21">
        <v>11137021</v>
      </c>
      <c r="AR545" s="21" t="s">
        <v>2586</v>
      </c>
      <c r="AS545" s="68"/>
      <c r="AT545" s="68"/>
      <c r="AU545" s="68"/>
    </row>
    <row r="546" spans="1:47" x14ac:dyDescent="0.3">
      <c r="A546" s="19"/>
      <c r="B546" s="109">
        <v>11147001</v>
      </c>
      <c r="C546" s="99" t="str">
        <f t="shared" si="267"/>
        <v>1</v>
      </c>
      <c r="D546" s="121">
        <f>COUNTIFS($F$33:F546,F546, $G$33:G546,G546, $C$33:C546,C546, $L$33:L546,L546)</f>
        <v>1</v>
      </c>
      <c r="E546" s="20">
        <v>1</v>
      </c>
      <c r="F546" s="20">
        <v>7</v>
      </c>
      <c r="G546" s="20">
        <v>1</v>
      </c>
      <c r="H546" s="103" t="s">
        <v>957</v>
      </c>
      <c r="I546" s="20" t="s">
        <v>1809</v>
      </c>
      <c r="J546" s="104" t="str">
        <f t="shared" si="398"/>
        <v>Item_Name_11147001</v>
      </c>
      <c r="K546" s="20">
        <v>10101001</v>
      </c>
      <c r="L546" s="108">
        <f t="shared" si="405"/>
        <v>4</v>
      </c>
      <c r="M546" s="105">
        <f>IF(D546=0, 0, _xlfn.XLOOKUP($F546,'#무게관련'!$B:$B,'#무게관련'!$C:$C)*_xlfn.XLOOKUP($L546,'#무게관련'!$F:$F,'#무게관련'!$G:$G)*100)</f>
        <v>4000</v>
      </c>
      <c r="N546" s="20">
        <v>20600</v>
      </c>
      <c r="O546" s="20">
        <v>1</v>
      </c>
      <c r="P546" s="20">
        <v>15</v>
      </c>
      <c r="Q546" s="20">
        <v>1</v>
      </c>
      <c r="R546" s="20">
        <v>100</v>
      </c>
      <c r="S546" s="20">
        <v>1</v>
      </c>
      <c r="T546" s="20" t="s">
        <v>1887</v>
      </c>
      <c r="U546" s="104" t="str">
        <f t="shared" si="333"/>
        <v>item_bg_grade_04</v>
      </c>
      <c r="V546" s="20" t="s">
        <v>502</v>
      </c>
      <c r="W546" s="20" t="s">
        <v>400</v>
      </c>
      <c r="X546" s="104">
        <v>0</v>
      </c>
      <c r="Y546" s="104">
        <v>0</v>
      </c>
      <c r="Z546" s="104">
        <v>0</v>
      </c>
      <c r="AA546" s="104">
        <v>0</v>
      </c>
      <c r="AB546" s="104">
        <v>0</v>
      </c>
      <c r="AC546" s="104">
        <v>0</v>
      </c>
      <c r="AD546" s="142">
        <v>0</v>
      </c>
      <c r="AE546" s="112">
        <f t="shared" si="407"/>
        <v>40</v>
      </c>
      <c r="AF546" s="70">
        <v>1407010</v>
      </c>
      <c r="AG546" s="105" cm="1">
        <f t="array" ref="AG546">_xlfn.SWITCH(L546,3,1,
           4,1,
           5,1,
           6,1,0)</f>
        <v>1</v>
      </c>
      <c r="AH546" s="146">
        <f t="shared" si="420"/>
        <v>80101401</v>
      </c>
      <c r="AI546" s="90">
        <v>6002</v>
      </c>
      <c r="AJ546" s="90">
        <v>3006</v>
      </c>
      <c r="AK546" s="27">
        <v>4007</v>
      </c>
      <c r="AL546" s="123">
        <f>_xlfn.XLOOKUP(H546,'#각종 참고'!$B$11:$B$20,'#각종 참고'!$D$11:$D$20)</f>
        <v>0</v>
      </c>
      <c r="AM546" s="27">
        <v>1</v>
      </c>
      <c r="AN546" s="27">
        <v>1</v>
      </c>
      <c r="AO546" s="124">
        <f t="shared" si="429"/>
        <v>1</v>
      </c>
      <c r="AP546" s="27">
        <v>1</v>
      </c>
      <c r="AQ546" s="21">
        <v>11147001</v>
      </c>
      <c r="AR546" s="21" t="s">
        <v>1809</v>
      </c>
      <c r="AS546" s="68"/>
      <c r="AT546" s="68"/>
      <c r="AU546" s="68"/>
    </row>
    <row r="547" spans="1:47" x14ac:dyDescent="0.3">
      <c r="A547" s="19"/>
      <c r="B547" s="109">
        <v>11147002</v>
      </c>
      <c r="C547" s="99" t="str">
        <f t="shared" ref="C547:C548" si="444">IF(K547&gt;0,MID(K547,5, 1), 0)</f>
        <v>1</v>
      </c>
      <c r="D547" s="121">
        <f>COUNTIFS($F$33:F547,F547, $G$33:G547,G547, $C$33:C547,C547, $L$33:L547,L547)</f>
        <v>2</v>
      </c>
      <c r="E547" s="20">
        <v>1</v>
      </c>
      <c r="F547" s="20">
        <v>7</v>
      </c>
      <c r="G547" s="20">
        <v>1</v>
      </c>
      <c r="H547" s="103" t="s">
        <v>957</v>
      </c>
      <c r="I547" s="20" t="s">
        <v>1810</v>
      </c>
      <c r="J547" s="104" t="str">
        <f t="shared" si="398"/>
        <v>Item_Name_11147002</v>
      </c>
      <c r="K547" s="20">
        <v>10101001</v>
      </c>
      <c r="L547" s="108">
        <f t="shared" si="405"/>
        <v>4</v>
      </c>
      <c r="M547" s="105">
        <f>IF(D547=0, 0, _xlfn.XLOOKUP($F547,'#무게관련'!$B:$B,'#무게관련'!$C:$C)*_xlfn.XLOOKUP($L547,'#무게관련'!$F:$F,'#무게관련'!$G:$G)*100)</f>
        <v>4000</v>
      </c>
      <c r="N547" s="20">
        <v>20600</v>
      </c>
      <c r="O547" s="20">
        <v>1</v>
      </c>
      <c r="P547" s="20">
        <v>15</v>
      </c>
      <c r="Q547" s="20">
        <v>1</v>
      </c>
      <c r="R547" s="20">
        <v>100</v>
      </c>
      <c r="S547" s="20">
        <v>1</v>
      </c>
      <c r="T547" s="20" t="s">
        <v>1887</v>
      </c>
      <c r="U547" s="104" t="str">
        <f t="shared" ref="U547:U548" si="445">"item_bg_grade_0"&amp;L547</f>
        <v>item_bg_grade_04</v>
      </c>
      <c r="V547" s="20" t="s">
        <v>502</v>
      </c>
      <c r="W547" s="20" t="s">
        <v>400</v>
      </c>
      <c r="X547" s="104">
        <v>0</v>
      </c>
      <c r="Y547" s="104">
        <v>0</v>
      </c>
      <c r="Z547" s="104">
        <v>0</v>
      </c>
      <c r="AA547" s="104">
        <v>0</v>
      </c>
      <c r="AB547" s="104">
        <v>0</v>
      </c>
      <c r="AC547" s="104">
        <v>0</v>
      </c>
      <c r="AD547" s="142">
        <v>0</v>
      </c>
      <c r="AE547" s="112">
        <f t="shared" si="407"/>
        <v>40</v>
      </c>
      <c r="AF547" s="70">
        <v>1407020</v>
      </c>
      <c r="AG547" s="105" cm="1">
        <f t="array" ref="AG547">_xlfn.SWITCH(L547,3,1,
           4,1,
           5,1,
           6,1,0)</f>
        <v>1</v>
      </c>
      <c r="AH547" s="146">
        <f t="shared" ref="AH547:AH578" si="446">AH529</f>
        <v>80101401</v>
      </c>
      <c r="AI547" s="90">
        <v>6002</v>
      </c>
      <c r="AJ547" s="90">
        <v>3006</v>
      </c>
      <c r="AK547" s="27">
        <v>4007</v>
      </c>
      <c r="AL547" s="123">
        <f>_xlfn.XLOOKUP(H547,'#각종 참고'!$B$11:$B$20,'#각종 참고'!$D$11:$D$20)</f>
        <v>0</v>
      </c>
      <c r="AM547" s="27">
        <v>1</v>
      </c>
      <c r="AN547" s="27">
        <v>1</v>
      </c>
      <c r="AO547" s="124">
        <f t="shared" si="429"/>
        <v>1</v>
      </c>
      <c r="AP547" s="27">
        <v>1</v>
      </c>
      <c r="AQ547" s="21">
        <v>11147011</v>
      </c>
      <c r="AR547" s="21" t="s">
        <v>2587</v>
      </c>
      <c r="AS547" s="68"/>
      <c r="AT547" s="68"/>
      <c r="AU547" s="68"/>
    </row>
    <row r="548" spans="1:47" x14ac:dyDescent="0.3">
      <c r="A548" s="19"/>
      <c r="B548" s="109">
        <v>11147003</v>
      </c>
      <c r="C548" s="99" t="str">
        <f t="shared" si="444"/>
        <v>1</v>
      </c>
      <c r="D548" s="121">
        <f>COUNTIFS($F$33:F548,F548, $G$33:G548,G548, $C$33:C548,C548, $L$33:L548,L548)</f>
        <v>3</v>
      </c>
      <c r="E548" s="20">
        <v>1</v>
      </c>
      <c r="F548" s="20">
        <v>7</v>
      </c>
      <c r="G548" s="20">
        <v>1</v>
      </c>
      <c r="H548" s="103" t="s">
        <v>957</v>
      </c>
      <c r="I548" s="20" t="s">
        <v>2011</v>
      </c>
      <c r="J548" s="104" t="str">
        <f t="shared" si="398"/>
        <v>Item_Name_11147003</v>
      </c>
      <c r="K548" s="20">
        <v>10101001</v>
      </c>
      <c r="L548" s="108">
        <f t="shared" si="405"/>
        <v>4</v>
      </c>
      <c r="M548" s="105">
        <f>IF(D548=0, 0, _xlfn.XLOOKUP($F548,'#무게관련'!$B:$B,'#무게관련'!$C:$C)*_xlfn.XLOOKUP($L548,'#무게관련'!$F:$F,'#무게관련'!$G:$G)*100)</f>
        <v>4000</v>
      </c>
      <c r="N548" s="20">
        <v>20600</v>
      </c>
      <c r="O548" s="20">
        <v>1</v>
      </c>
      <c r="P548" s="20">
        <v>15</v>
      </c>
      <c r="Q548" s="20">
        <v>1</v>
      </c>
      <c r="R548" s="20">
        <v>100</v>
      </c>
      <c r="S548" s="20">
        <v>1</v>
      </c>
      <c r="T548" s="20" t="s">
        <v>1887</v>
      </c>
      <c r="U548" s="104" t="str">
        <f t="shared" si="445"/>
        <v>item_bg_grade_04</v>
      </c>
      <c r="V548" s="20" t="s">
        <v>502</v>
      </c>
      <c r="W548" s="20" t="s">
        <v>400</v>
      </c>
      <c r="X548" s="104">
        <v>0</v>
      </c>
      <c r="Y548" s="104">
        <v>0</v>
      </c>
      <c r="Z548" s="104">
        <v>0</v>
      </c>
      <c r="AA548" s="104">
        <v>0</v>
      </c>
      <c r="AB548" s="104">
        <v>0</v>
      </c>
      <c r="AC548" s="104">
        <v>0</v>
      </c>
      <c r="AD548" s="142">
        <v>0</v>
      </c>
      <c r="AE548" s="112">
        <f t="shared" si="407"/>
        <v>40</v>
      </c>
      <c r="AF548" s="70">
        <v>1407030</v>
      </c>
      <c r="AG548" s="105" cm="1">
        <f t="array" ref="AG548">_xlfn.SWITCH(L548,3,1,
           4,1,
           5,1,
           6,1,0)</f>
        <v>1</v>
      </c>
      <c r="AH548" s="146">
        <f t="shared" si="446"/>
        <v>80101401</v>
      </c>
      <c r="AI548" s="90">
        <v>6002</v>
      </c>
      <c r="AJ548" s="90">
        <v>3006</v>
      </c>
      <c r="AK548" s="27">
        <v>4007</v>
      </c>
      <c r="AL548" s="123">
        <f>_xlfn.XLOOKUP(H548,'#각종 참고'!$B$11:$B$20,'#각종 참고'!$D$11:$D$20)</f>
        <v>0</v>
      </c>
      <c r="AM548" s="27">
        <v>1</v>
      </c>
      <c r="AN548" s="27">
        <v>1</v>
      </c>
      <c r="AO548" s="124">
        <f t="shared" si="429"/>
        <v>1</v>
      </c>
      <c r="AP548" s="27">
        <v>1</v>
      </c>
      <c r="AQ548" s="21">
        <v>11147021</v>
      </c>
      <c r="AR548" s="21" t="s">
        <v>2588</v>
      </c>
      <c r="AS548" s="68"/>
      <c r="AT548" s="68"/>
      <c r="AU548" s="68"/>
    </row>
    <row r="549" spans="1:47" x14ac:dyDescent="0.3">
      <c r="A549" s="19"/>
      <c r="B549" s="109">
        <v>11157001</v>
      </c>
      <c r="C549" s="99" t="str">
        <f t="shared" ref="C549:C552" si="447">IF(K549&gt;0,MID(K549,5, 1), 0)</f>
        <v>1</v>
      </c>
      <c r="D549" s="121">
        <f>COUNTIFS($F$33:F549,F549, $G$33:G549,G549, $C$33:C549,C549, $L$33:L549,L549)</f>
        <v>1</v>
      </c>
      <c r="E549" s="20">
        <v>1</v>
      </c>
      <c r="F549" s="20">
        <v>7</v>
      </c>
      <c r="G549" s="20">
        <v>1</v>
      </c>
      <c r="H549" s="103" t="s">
        <v>957</v>
      </c>
      <c r="I549" s="20" t="s">
        <v>942</v>
      </c>
      <c r="J549" s="104" t="str">
        <f t="shared" si="398"/>
        <v>Item_Name_11157001</v>
      </c>
      <c r="K549" s="20">
        <v>10101001</v>
      </c>
      <c r="L549" s="108">
        <f t="shared" si="405"/>
        <v>5</v>
      </c>
      <c r="M549" s="105">
        <f>IF(D549=0, 0, _xlfn.XLOOKUP($F549,'#무게관련'!$B:$B,'#무게관련'!$C:$C)*_xlfn.XLOOKUP($L549,'#무게관련'!$F:$F,'#무게관련'!$G:$G)*100)</f>
        <v>4000</v>
      </c>
      <c r="N549" s="20">
        <v>20600</v>
      </c>
      <c r="O549" s="20">
        <v>1</v>
      </c>
      <c r="P549" s="20">
        <v>15</v>
      </c>
      <c r="Q549" s="20">
        <v>1</v>
      </c>
      <c r="R549" s="20">
        <v>100</v>
      </c>
      <c r="S549" s="20">
        <v>1</v>
      </c>
      <c r="T549" s="20" t="s">
        <v>1888</v>
      </c>
      <c r="U549" s="104" t="str">
        <f t="shared" ref="U549:U552" si="448">"item_bg_grade_0"&amp;L549</f>
        <v>item_bg_grade_05</v>
      </c>
      <c r="V549" s="20" t="s">
        <v>502</v>
      </c>
      <c r="W549" s="20" t="s">
        <v>400</v>
      </c>
      <c r="X549" s="104">
        <v>0</v>
      </c>
      <c r="Y549" s="104">
        <v>0</v>
      </c>
      <c r="Z549" s="104">
        <v>0</v>
      </c>
      <c r="AA549" s="104">
        <v>0</v>
      </c>
      <c r="AB549" s="104">
        <v>0</v>
      </c>
      <c r="AC549" s="104">
        <v>0</v>
      </c>
      <c r="AD549" s="142">
        <v>0</v>
      </c>
      <c r="AE549" s="112">
        <f t="shared" si="407"/>
        <v>50</v>
      </c>
      <c r="AF549" s="70">
        <v>1507010</v>
      </c>
      <c r="AG549" s="105" cm="1">
        <f t="array" ref="AG549">_xlfn.SWITCH(L549,3,1,
           4,1,
           5,1,
           6,1,0)</f>
        <v>1</v>
      </c>
      <c r="AH549" s="146">
        <f t="shared" si="446"/>
        <v>80101501</v>
      </c>
      <c r="AI549" s="90">
        <v>6003</v>
      </c>
      <c r="AJ549" s="90">
        <v>3008</v>
      </c>
      <c r="AK549" s="27">
        <v>5007</v>
      </c>
      <c r="AL549" s="123">
        <f>_xlfn.XLOOKUP(H549,'#각종 참고'!$B$11:$B$20,'#각종 참고'!$D$11:$D$20)</f>
        <v>0</v>
      </c>
      <c r="AM549" s="27">
        <v>1</v>
      </c>
      <c r="AN549" s="27">
        <v>1</v>
      </c>
      <c r="AO549" s="124">
        <f t="shared" si="429"/>
        <v>1</v>
      </c>
      <c r="AP549" s="27">
        <v>1</v>
      </c>
      <c r="AQ549" s="21">
        <v>11157001</v>
      </c>
      <c r="AR549" s="21" t="s">
        <v>942</v>
      </c>
      <c r="AS549" s="68"/>
      <c r="AT549" s="68"/>
      <c r="AU549" s="68"/>
    </row>
    <row r="550" spans="1:47" x14ac:dyDescent="0.3">
      <c r="A550" s="19"/>
      <c r="B550" s="109">
        <v>11157002</v>
      </c>
      <c r="C550" s="99" t="str">
        <f t="shared" ref="C550:C551" si="449">IF(K550&gt;0,MID(K550,5, 1), 0)</f>
        <v>1</v>
      </c>
      <c r="D550" s="121">
        <f>COUNTIFS($F$33:F550,F550, $G$33:G550,G550, $C$33:C550,C550, $L$33:L550,L550)</f>
        <v>2</v>
      </c>
      <c r="E550" s="20">
        <v>1</v>
      </c>
      <c r="F550" s="20">
        <v>7</v>
      </c>
      <c r="G550" s="20">
        <v>1</v>
      </c>
      <c r="H550" s="103" t="s">
        <v>957</v>
      </c>
      <c r="I550" s="20" t="s">
        <v>943</v>
      </c>
      <c r="J550" s="104" t="str">
        <f t="shared" si="398"/>
        <v>Item_Name_11157002</v>
      </c>
      <c r="K550" s="20">
        <v>10101001</v>
      </c>
      <c r="L550" s="108">
        <f t="shared" si="405"/>
        <v>5</v>
      </c>
      <c r="M550" s="105">
        <f>IF(D550=0, 0, _xlfn.XLOOKUP($F550,'#무게관련'!$B:$B,'#무게관련'!$C:$C)*_xlfn.XLOOKUP($L550,'#무게관련'!$F:$F,'#무게관련'!$G:$G)*100)</f>
        <v>4000</v>
      </c>
      <c r="N550" s="20">
        <v>20600</v>
      </c>
      <c r="O550" s="20">
        <v>1</v>
      </c>
      <c r="P550" s="20">
        <v>15</v>
      </c>
      <c r="Q550" s="20">
        <v>1</v>
      </c>
      <c r="R550" s="20">
        <v>100</v>
      </c>
      <c r="S550" s="20">
        <v>1</v>
      </c>
      <c r="T550" s="20" t="s">
        <v>1888</v>
      </c>
      <c r="U550" s="104" t="str">
        <f t="shared" ref="U550:U551" si="450">"item_bg_grade_0"&amp;L550</f>
        <v>item_bg_grade_05</v>
      </c>
      <c r="V550" s="20" t="s">
        <v>502</v>
      </c>
      <c r="W550" s="20" t="s">
        <v>400</v>
      </c>
      <c r="X550" s="104">
        <v>0</v>
      </c>
      <c r="Y550" s="104">
        <v>0</v>
      </c>
      <c r="Z550" s="104">
        <v>0</v>
      </c>
      <c r="AA550" s="104">
        <v>0</v>
      </c>
      <c r="AB550" s="104">
        <v>0</v>
      </c>
      <c r="AC550" s="104">
        <v>0</v>
      </c>
      <c r="AD550" s="142">
        <v>0</v>
      </c>
      <c r="AE550" s="112">
        <f t="shared" si="407"/>
        <v>50</v>
      </c>
      <c r="AF550" s="70">
        <v>1507020</v>
      </c>
      <c r="AG550" s="105" cm="1">
        <f t="array" ref="AG550">_xlfn.SWITCH(L550,3,1,
           4,1,
           5,1,
           6,1,0)</f>
        <v>1</v>
      </c>
      <c r="AH550" s="146">
        <f t="shared" si="446"/>
        <v>80101501</v>
      </c>
      <c r="AI550" s="90">
        <v>6003</v>
      </c>
      <c r="AJ550" s="90">
        <v>3008</v>
      </c>
      <c r="AK550" s="27">
        <v>5007</v>
      </c>
      <c r="AL550" s="123">
        <f>_xlfn.XLOOKUP(H550,'#각종 참고'!$B$11:$B$20,'#각종 참고'!$D$11:$D$20)</f>
        <v>0</v>
      </c>
      <c r="AM550" s="27">
        <v>1</v>
      </c>
      <c r="AN550" s="27">
        <v>1</v>
      </c>
      <c r="AO550" s="124">
        <f t="shared" si="429"/>
        <v>1</v>
      </c>
      <c r="AP550" s="27">
        <v>1</v>
      </c>
      <c r="AQ550" s="21">
        <v>11157011</v>
      </c>
      <c r="AR550" s="21" t="s">
        <v>2589</v>
      </c>
      <c r="AS550" s="68"/>
      <c r="AT550" s="68"/>
      <c r="AU550" s="68"/>
    </row>
    <row r="551" spans="1:47" x14ac:dyDescent="0.3">
      <c r="A551" s="19"/>
      <c r="B551" s="109">
        <v>11157003</v>
      </c>
      <c r="C551" s="99" t="str">
        <f t="shared" si="449"/>
        <v>1</v>
      </c>
      <c r="D551" s="121">
        <f>COUNTIFS($F$33:F551,F551, $G$33:G551,G551, $C$33:C551,C551, $L$33:L551,L551)</f>
        <v>3</v>
      </c>
      <c r="E551" s="20">
        <v>1</v>
      </c>
      <c r="F551" s="20">
        <v>7</v>
      </c>
      <c r="G551" s="20">
        <v>1</v>
      </c>
      <c r="H551" s="103" t="s">
        <v>957</v>
      </c>
      <c r="I551" s="20" t="s">
        <v>1971</v>
      </c>
      <c r="J551" s="104" t="str">
        <f t="shared" si="398"/>
        <v>Item_Name_11157003</v>
      </c>
      <c r="K551" s="20">
        <v>10101001</v>
      </c>
      <c r="L551" s="108">
        <f t="shared" si="405"/>
        <v>5</v>
      </c>
      <c r="M551" s="105">
        <f>IF(D551=0, 0, _xlfn.XLOOKUP($F551,'#무게관련'!$B:$B,'#무게관련'!$C:$C)*_xlfn.XLOOKUP($L551,'#무게관련'!$F:$F,'#무게관련'!$G:$G)*100)</f>
        <v>4000</v>
      </c>
      <c r="N551" s="20">
        <v>20600</v>
      </c>
      <c r="O551" s="20">
        <v>1</v>
      </c>
      <c r="P551" s="20">
        <v>15</v>
      </c>
      <c r="Q551" s="20">
        <v>1</v>
      </c>
      <c r="R551" s="20">
        <v>100</v>
      </c>
      <c r="S551" s="20">
        <v>1</v>
      </c>
      <c r="T551" s="20" t="s">
        <v>1888</v>
      </c>
      <c r="U551" s="104" t="str">
        <f t="shared" si="450"/>
        <v>item_bg_grade_05</v>
      </c>
      <c r="V551" s="20" t="s">
        <v>502</v>
      </c>
      <c r="W551" s="20" t="s">
        <v>400</v>
      </c>
      <c r="X551" s="104">
        <v>0</v>
      </c>
      <c r="Y551" s="104">
        <v>0</v>
      </c>
      <c r="Z551" s="104">
        <v>0</v>
      </c>
      <c r="AA551" s="104">
        <v>0</v>
      </c>
      <c r="AB551" s="104">
        <v>0</v>
      </c>
      <c r="AC551" s="104">
        <v>0</v>
      </c>
      <c r="AD551" s="142">
        <v>0</v>
      </c>
      <c r="AE551" s="112">
        <f t="shared" si="407"/>
        <v>50</v>
      </c>
      <c r="AF551" s="70">
        <v>1507030</v>
      </c>
      <c r="AG551" s="105" cm="1">
        <f t="array" ref="AG551">_xlfn.SWITCH(L551,3,1,
           4,1,
           5,1,
           6,1,0)</f>
        <v>1</v>
      </c>
      <c r="AH551" s="146">
        <f t="shared" si="446"/>
        <v>80101501</v>
      </c>
      <c r="AI551" s="90">
        <v>6003</v>
      </c>
      <c r="AJ551" s="90">
        <v>3008</v>
      </c>
      <c r="AK551" s="27">
        <v>5007</v>
      </c>
      <c r="AL551" s="123">
        <f>_xlfn.XLOOKUP(H551,'#각종 참고'!$B$11:$B$20,'#각종 참고'!$D$11:$D$20)</f>
        <v>0</v>
      </c>
      <c r="AM551" s="27">
        <v>1</v>
      </c>
      <c r="AN551" s="27">
        <v>1</v>
      </c>
      <c r="AO551" s="124">
        <f t="shared" si="429"/>
        <v>1</v>
      </c>
      <c r="AP551" s="27">
        <v>1</v>
      </c>
      <c r="AQ551" s="21">
        <v>11157021</v>
      </c>
      <c r="AR551" s="21" t="s">
        <v>2590</v>
      </c>
      <c r="AS551" s="68"/>
      <c r="AT551" s="68"/>
      <c r="AU551" s="68"/>
    </row>
    <row r="552" spans="1:47" x14ac:dyDescent="0.3">
      <c r="A552" s="19"/>
      <c r="B552" s="109">
        <v>11167001</v>
      </c>
      <c r="C552" s="99" t="str">
        <f t="shared" si="447"/>
        <v>1</v>
      </c>
      <c r="D552" s="121">
        <f>COUNTIFS($F$33:F552,F552, $G$33:G552,G552, $C$33:C552,C552, $L$33:L552,L552)</f>
        <v>1</v>
      </c>
      <c r="E552" s="20">
        <v>1</v>
      </c>
      <c r="F552" s="20">
        <v>7</v>
      </c>
      <c r="G552" s="20">
        <v>1</v>
      </c>
      <c r="H552" s="103" t="s">
        <v>957</v>
      </c>
      <c r="I552" s="20" t="s">
        <v>1811</v>
      </c>
      <c r="J552" s="104" t="str">
        <f t="shared" si="398"/>
        <v>Item_Name_11167001</v>
      </c>
      <c r="K552" s="20">
        <v>10101001</v>
      </c>
      <c r="L552" s="108">
        <f t="shared" si="405"/>
        <v>6</v>
      </c>
      <c r="M552" s="105">
        <f>IF(D552=0, 0, _xlfn.XLOOKUP($F552,'#무게관련'!$B:$B,'#무게관련'!$C:$C)*_xlfn.XLOOKUP($L552,'#무게관련'!$F:$F,'#무게관련'!$G:$G)*100)</f>
        <v>4000</v>
      </c>
      <c r="N552" s="20">
        <v>20600</v>
      </c>
      <c r="O552" s="20">
        <v>1</v>
      </c>
      <c r="P552" s="20">
        <v>15</v>
      </c>
      <c r="Q552" s="20">
        <v>1</v>
      </c>
      <c r="R552" s="20">
        <v>100</v>
      </c>
      <c r="S552" s="20">
        <v>1</v>
      </c>
      <c r="T552" s="109" t="s">
        <v>1888</v>
      </c>
      <c r="U552" s="104" t="str">
        <f t="shared" si="448"/>
        <v>item_bg_grade_06</v>
      </c>
      <c r="V552" s="20" t="s">
        <v>502</v>
      </c>
      <c r="W552" s="20" t="s">
        <v>400</v>
      </c>
      <c r="X552" s="104">
        <v>0</v>
      </c>
      <c r="Y552" s="104">
        <v>0</v>
      </c>
      <c r="Z552" s="104">
        <v>0</v>
      </c>
      <c r="AA552" s="104">
        <v>0</v>
      </c>
      <c r="AB552" s="104">
        <v>0</v>
      </c>
      <c r="AC552" s="104">
        <v>0</v>
      </c>
      <c r="AD552" s="142">
        <v>0</v>
      </c>
      <c r="AE552" s="112">
        <f t="shared" si="407"/>
        <v>70</v>
      </c>
      <c r="AF552" s="70">
        <v>1607010</v>
      </c>
      <c r="AG552" s="105" cm="1">
        <f t="array" ref="AG552">_xlfn.SWITCH(L552,3,1,
           4,1,
           5,1,
           6,1,0)</f>
        <v>1</v>
      </c>
      <c r="AH552" s="146">
        <f t="shared" si="446"/>
        <v>0</v>
      </c>
      <c r="AI552" s="90">
        <v>6004</v>
      </c>
      <c r="AJ552" s="90">
        <v>3010</v>
      </c>
      <c r="AK552" s="27">
        <v>6007</v>
      </c>
      <c r="AL552" s="123">
        <f>_xlfn.XLOOKUP(H552,'#각종 참고'!$B$11:$B$20,'#각종 참고'!$D$11:$D$20)</f>
        <v>0</v>
      </c>
      <c r="AM552" s="27">
        <v>1</v>
      </c>
      <c r="AN552" s="27">
        <v>1</v>
      </c>
      <c r="AO552" s="124">
        <f t="shared" si="429"/>
        <v>1</v>
      </c>
      <c r="AP552" s="27">
        <v>1</v>
      </c>
      <c r="AQ552" s="21">
        <v>11167001</v>
      </c>
      <c r="AR552" s="21" t="s">
        <v>1811</v>
      </c>
      <c r="AS552" s="68"/>
      <c r="AT552" s="68"/>
      <c r="AU552" s="68"/>
    </row>
    <row r="553" spans="1:47" x14ac:dyDescent="0.3">
      <c r="A553" s="19" t="s">
        <v>513</v>
      </c>
      <c r="B553" s="109">
        <v>11167002</v>
      </c>
      <c r="C553" s="99" t="str">
        <f t="shared" ref="C553:C554" si="451">IF(K553&gt;0,MID(K553,5, 1), 0)</f>
        <v>1</v>
      </c>
      <c r="D553" s="121">
        <f>COUNTIFS($F$33:F553,F553, $G$33:G553,G553, $C$33:C553,C553, $L$33:L553,L553)</f>
        <v>2</v>
      </c>
      <c r="E553" s="20">
        <v>1</v>
      </c>
      <c r="F553" s="20">
        <v>7</v>
      </c>
      <c r="G553" s="20">
        <v>1</v>
      </c>
      <c r="H553" s="103" t="s">
        <v>957</v>
      </c>
      <c r="I553" s="20" t="s">
        <v>2222</v>
      </c>
      <c r="J553" s="104" t="str">
        <f t="shared" si="398"/>
        <v>Item_Name_11167002</v>
      </c>
      <c r="K553" s="20">
        <v>10101001</v>
      </c>
      <c r="L553" s="108">
        <f t="shared" si="405"/>
        <v>6</v>
      </c>
      <c r="M553" s="105">
        <f>IF(D553=0, 0, _xlfn.XLOOKUP($F553,'#무게관련'!$B:$B,'#무게관련'!$C:$C)*_xlfn.XLOOKUP($L553,'#무게관련'!$F:$F,'#무게관련'!$G:$G)*100)</f>
        <v>4000</v>
      </c>
      <c r="N553" s="20">
        <v>20600</v>
      </c>
      <c r="O553" s="20">
        <v>1</v>
      </c>
      <c r="P553" s="20">
        <v>15</v>
      </c>
      <c r="Q553" s="20">
        <v>1</v>
      </c>
      <c r="R553" s="20">
        <v>100</v>
      </c>
      <c r="S553" s="20">
        <v>1</v>
      </c>
      <c r="T553" s="109" t="s">
        <v>1888</v>
      </c>
      <c r="U553" s="104" t="str">
        <f t="shared" ref="U553:U554" si="452">"item_bg_grade_0"&amp;L553</f>
        <v>item_bg_grade_06</v>
      </c>
      <c r="V553" s="20" t="s">
        <v>502</v>
      </c>
      <c r="W553" s="20" t="s">
        <v>400</v>
      </c>
      <c r="X553" s="104">
        <v>0</v>
      </c>
      <c r="Y553" s="104">
        <v>0</v>
      </c>
      <c r="Z553" s="104">
        <v>0</v>
      </c>
      <c r="AA553" s="104">
        <v>0</v>
      </c>
      <c r="AB553" s="104">
        <v>0</v>
      </c>
      <c r="AC553" s="104">
        <v>0</v>
      </c>
      <c r="AD553" s="142">
        <v>0</v>
      </c>
      <c r="AE553" s="112">
        <f t="shared" si="407"/>
        <v>70</v>
      </c>
      <c r="AF553" s="70">
        <v>1607010</v>
      </c>
      <c r="AG553" s="105" cm="1">
        <f t="array" ref="AG553">_xlfn.SWITCH(L553,3,1,
           4,1,
           5,1,
           6,1,0)</f>
        <v>1</v>
      </c>
      <c r="AH553" s="146">
        <f t="shared" si="446"/>
        <v>0</v>
      </c>
      <c r="AI553" s="90">
        <v>6004</v>
      </c>
      <c r="AJ553" s="90">
        <v>3010</v>
      </c>
      <c r="AK553" s="27">
        <v>6007</v>
      </c>
      <c r="AL553" s="123">
        <f>_xlfn.XLOOKUP(H553,'#각종 참고'!$B$11:$B$20,'#각종 참고'!$D$11:$D$20)</f>
        <v>0</v>
      </c>
      <c r="AM553" s="27">
        <v>1</v>
      </c>
      <c r="AN553" s="27">
        <v>1</v>
      </c>
      <c r="AO553" s="124">
        <f t="shared" si="429"/>
        <v>1</v>
      </c>
      <c r="AP553" s="27">
        <v>1</v>
      </c>
      <c r="AQ553" s="21">
        <v>11167011</v>
      </c>
      <c r="AR553" s="21" t="s">
        <v>2591</v>
      </c>
      <c r="AS553" s="68"/>
      <c r="AT553" s="68"/>
      <c r="AU553" s="68"/>
    </row>
    <row r="554" spans="1:47" x14ac:dyDescent="0.3">
      <c r="A554" s="19" t="s">
        <v>513</v>
      </c>
      <c r="B554" s="109">
        <v>11167003</v>
      </c>
      <c r="C554" s="99" t="str">
        <f t="shared" si="451"/>
        <v>1</v>
      </c>
      <c r="D554" s="121">
        <f>COUNTIFS($F$33:F554,F554, $G$33:G554,G554, $C$33:C554,C554, $L$33:L554,L554)</f>
        <v>3</v>
      </c>
      <c r="E554" s="20">
        <v>1</v>
      </c>
      <c r="F554" s="20">
        <v>7</v>
      </c>
      <c r="G554" s="20">
        <v>1</v>
      </c>
      <c r="H554" s="103" t="s">
        <v>957</v>
      </c>
      <c r="I554" s="20" t="s">
        <v>2221</v>
      </c>
      <c r="J554" s="104" t="str">
        <f t="shared" si="398"/>
        <v>Item_Name_11167003</v>
      </c>
      <c r="K554" s="20">
        <v>10101001</v>
      </c>
      <c r="L554" s="108">
        <f t="shared" si="405"/>
        <v>6</v>
      </c>
      <c r="M554" s="105">
        <f>IF(D554=0, 0, _xlfn.XLOOKUP($F554,'#무게관련'!$B:$B,'#무게관련'!$C:$C)*_xlfn.XLOOKUP($L554,'#무게관련'!$F:$F,'#무게관련'!$G:$G)*100)</f>
        <v>4000</v>
      </c>
      <c r="N554" s="20">
        <v>20600</v>
      </c>
      <c r="O554" s="20">
        <v>1</v>
      </c>
      <c r="P554" s="20">
        <v>15</v>
      </c>
      <c r="Q554" s="20">
        <v>1</v>
      </c>
      <c r="R554" s="20">
        <v>100</v>
      </c>
      <c r="S554" s="20">
        <v>1</v>
      </c>
      <c r="T554" s="109" t="s">
        <v>1888</v>
      </c>
      <c r="U554" s="104" t="str">
        <f t="shared" si="452"/>
        <v>item_bg_grade_06</v>
      </c>
      <c r="V554" s="20" t="s">
        <v>502</v>
      </c>
      <c r="W554" s="20" t="s">
        <v>400</v>
      </c>
      <c r="X554" s="104">
        <v>0</v>
      </c>
      <c r="Y554" s="104">
        <v>0</v>
      </c>
      <c r="Z554" s="104">
        <v>0</v>
      </c>
      <c r="AA554" s="104">
        <v>0</v>
      </c>
      <c r="AB554" s="104">
        <v>0</v>
      </c>
      <c r="AC554" s="104">
        <v>0</v>
      </c>
      <c r="AD554" s="142">
        <v>0</v>
      </c>
      <c r="AE554" s="112">
        <f t="shared" si="407"/>
        <v>70</v>
      </c>
      <c r="AF554" s="70">
        <v>1607010</v>
      </c>
      <c r="AG554" s="105" cm="1">
        <f t="array" ref="AG554">_xlfn.SWITCH(L554,3,1,
           4,1,
           5,1,
           6,1,0)</f>
        <v>1</v>
      </c>
      <c r="AH554" s="146">
        <f t="shared" si="446"/>
        <v>0</v>
      </c>
      <c r="AI554" s="90">
        <v>6004</v>
      </c>
      <c r="AJ554" s="90">
        <v>3010</v>
      </c>
      <c r="AK554" s="27">
        <v>6007</v>
      </c>
      <c r="AL554" s="123">
        <f>_xlfn.XLOOKUP(H554,'#각종 참고'!$B$11:$B$20,'#각종 참고'!$D$11:$D$20)</f>
        <v>0</v>
      </c>
      <c r="AM554" s="27">
        <v>1</v>
      </c>
      <c r="AN554" s="27">
        <v>1</v>
      </c>
      <c r="AO554" s="124">
        <f t="shared" si="429"/>
        <v>1</v>
      </c>
      <c r="AP554" s="27">
        <v>1</v>
      </c>
      <c r="AQ554" s="21">
        <v>11167021</v>
      </c>
      <c r="AR554" s="21" t="s">
        <v>2592</v>
      </c>
      <c r="AS554" s="68"/>
      <c r="AT554" s="68"/>
      <c r="AU554" s="68"/>
    </row>
    <row r="555" spans="1:47" s="68" customFormat="1" x14ac:dyDescent="0.3">
      <c r="A555" s="65"/>
      <c r="B555" s="110">
        <v>12117001</v>
      </c>
      <c r="C555" s="99" t="str">
        <f t="shared" si="267"/>
        <v>2</v>
      </c>
      <c r="D555" s="120">
        <f>COUNTIFS($F$33:F555,F555, $G$33:G555,G555, $C$33:C555,C555, $L$33:L555,L555)</f>
        <v>1</v>
      </c>
      <c r="E555" s="20">
        <v>1</v>
      </c>
      <c r="F555" s="66">
        <v>7</v>
      </c>
      <c r="G555" s="66">
        <v>1</v>
      </c>
      <c r="H555" s="103" t="s">
        <v>957</v>
      </c>
      <c r="I555" s="66" t="s">
        <v>1812</v>
      </c>
      <c r="J555" s="104" t="str">
        <f t="shared" si="398"/>
        <v>Item_Name_12117001</v>
      </c>
      <c r="K555" s="66">
        <v>10102001</v>
      </c>
      <c r="L555" s="106">
        <f t="shared" si="405"/>
        <v>1</v>
      </c>
      <c r="M555" s="105">
        <f>IF(D555=0, 0, _xlfn.XLOOKUP($F555,'#무게관련'!$B:$B,'#무게관련'!$C:$C)*_xlfn.XLOOKUP($L555,'#무게관련'!$F:$F,'#무게관련'!$G:$G)*100)</f>
        <v>4000</v>
      </c>
      <c r="N555" s="20">
        <v>20600</v>
      </c>
      <c r="O555" s="20">
        <v>2</v>
      </c>
      <c r="P555" s="66">
        <v>15</v>
      </c>
      <c r="Q555" s="20">
        <v>1</v>
      </c>
      <c r="R555" s="66">
        <v>100</v>
      </c>
      <c r="S555" s="66">
        <v>1</v>
      </c>
      <c r="T555" s="66" t="s">
        <v>1884</v>
      </c>
      <c r="U555" s="104" t="str">
        <f t="shared" ref="U555:U600" si="453">"item_bg_grade_0"&amp;L555</f>
        <v>item_bg_grade_01</v>
      </c>
      <c r="V555" s="66" t="s">
        <v>502</v>
      </c>
      <c r="W555" s="66" t="s">
        <v>400</v>
      </c>
      <c r="X555" s="104">
        <v>0</v>
      </c>
      <c r="Y555" s="104">
        <v>0</v>
      </c>
      <c r="Z555" s="104">
        <v>0</v>
      </c>
      <c r="AA555" s="104">
        <v>0</v>
      </c>
      <c r="AB555" s="104">
        <v>0</v>
      </c>
      <c r="AC555" s="104">
        <v>0</v>
      </c>
      <c r="AD555" s="142">
        <v>0</v>
      </c>
      <c r="AE555" s="111">
        <f t="shared" si="407"/>
        <v>10</v>
      </c>
      <c r="AF555" s="70">
        <v>2107010</v>
      </c>
      <c r="AG555" s="105" cm="1">
        <f t="array" ref="AG555">_xlfn.SWITCH(L555,3,1,
           4,1,
           5,1,
           6,1,0)</f>
        <v>0</v>
      </c>
      <c r="AH555" s="146">
        <f t="shared" si="446"/>
        <v>80101101</v>
      </c>
      <c r="AI555" s="90">
        <v>0</v>
      </c>
      <c r="AJ555" s="90">
        <v>0</v>
      </c>
      <c r="AK555" s="27">
        <v>0</v>
      </c>
      <c r="AL555" s="123">
        <f>_xlfn.XLOOKUP(H555,'#각종 참고'!$B$11:$B$20,'#각종 참고'!$D$11:$D$20)</f>
        <v>0</v>
      </c>
      <c r="AM555" s="27">
        <v>1</v>
      </c>
      <c r="AN555" s="27">
        <v>1</v>
      </c>
      <c r="AO555" s="124">
        <f t="shared" si="429"/>
        <v>1</v>
      </c>
      <c r="AP555" s="27">
        <v>1</v>
      </c>
      <c r="AQ555" s="21">
        <v>12117001</v>
      </c>
      <c r="AR555" s="68" t="s">
        <v>1812</v>
      </c>
    </row>
    <row r="556" spans="1:47" s="68" customFormat="1" x14ac:dyDescent="0.3">
      <c r="A556" s="65"/>
      <c r="B556" s="110">
        <v>12117002</v>
      </c>
      <c r="C556" s="99" t="str">
        <f t="shared" ref="C556:C557" si="454">IF(K556&gt;0,MID(K556,5, 1), 0)</f>
        <v>2</v>
      </c>
      <c r="D556" s="120">
        <f>COUNTIFS($F$33:F556,F556, $G$33:G556,G556, $C$33:C556,C556, $L$33:L556,L556)</f>
        <v>2</v>
      </c>
      <c r="E556" s="20">
        <v>1</v>
      </c>
      <c r="F556" s="66">
        <v>7</v>
      </c>
      <c r="G556" s="66">
        <v>1</v>
      </c>
      <c r="H556" s="103" t="s">
        <v>957</v>
      </c>
      <c r="I556" s="66" t="s">
        <v>2224</v>
      </c>
      <c r="J556" s="104" t="str">
        <f t="shared" si="398"/>
        <v>Item_Name_12117002</v>
      </c>
      <c r="K556" s="66">
        <v>10102001</v>
      </c>
      <c r="L556" s="106">
        <f t="shared" si="405"/>
        <v>1</v>
      </c>
      <c r="M556" s="105">
        <f>IF(D556=0, 0, _xlfn.XLOOKUP($F556,'#무게관련'!$B:$B,'#무게관련'!$C:$C)*_xlfn.XLOOKUP($L556,'#무게관련'!$F:$F,'#무게관련'!$G:$G)*100)</f>
        <v>4000</v>
      </c>
      <c r="N556" s="20">
        <v>20600</v>
      </c>
      <c r="O556" s="20">
        <v>2</v>
      </c>
      <c r="P556" s="66">
        <v>15</v>
      </c>
      <c r="Q556" s="20">
        <v>1</v>
      </c>
      <c r="R556" s="66">
        <v>100</v>
      </c>
      <c r="S556" s="66">
        <v>1</v>
      </c>
      <c r="T556" s="66" t="s">
        <v>1884</v>
      </c>
      <c r="U556" s="104" t="str">
        <f t="shared" ref="U556:U557" si="455">"item_bg_grade_0"&amp;L556</f>
        <v>item_bg_grade_01</v>
      </c>
      <c r="V556" s="66" t="s">
        <v>502</v>
      </c>
      <c r="W556" s="66" t="s">
        <v>400</v>
      </c>
      <c r="X556" s="104">
        <v>0</v>
      </c>
      <c r="Y556" s="104">
        <v>0</v>
      </c>
      <c r="Z556" s="104">
        <v>0</v>
      </c>
      <c r="AA556" s="104">
        <v>0</v>
      </c>
      <c r="AB556" s="104">
        <v>0</v>
      </c>
      <c r="AC556" s="104">
        <v>0</v>
      </c>
      <c r="AD556" s="142">
        <v>0</v>
      </c>
      <c r="AE556" s="111">
        <f t="shared" si="407"/>
        <v>10</v>
      </c>
      <c r="AF556" s="70">
        <v>2107020</v>
      </c>
      <c r="AG556" s="105" cm="1">
        <f t="array" ref="AG556">_xlfn.SWITCH(L556,3,1,
           4,1,
           5,1,
           6,1,0)</f>
        <v>0</v>
      </c>
      <c r="AH556" s="146">
        <f t="shared" si="446"/>
        <v>80101101</v>
      </c>
      <c r="AI556" s="90">
        <v>0</v>
      </c>
      <c r="AJ556" s="90">
        <v>0</v>
      </c>
      <c r="AK556" s="27">
        <v>0</v>
      </c>
      <c r="AL556" s="123">
        <f>_xlfn.XLOOKUP(H556,'#각종 참고'!$B$11:$B$20,'#각종 참고'!$D$11:$D$20)</f>
        <v>0</v>
      </c>
      <c r="AM556" s="27">
        <v>1</v>
      </c>
      <c r="AN556" s="27">
        <v>1</v>
      </c>
      <c r="AO556" s="124">
        <f t="shared" si="429"/>
        <v>1</v>
      </c>
      <c r="AP556" s="27">
        <v>1</v>
      </c>
      <c r="AQ556" s="21">
        <v>12117011</v>
      </c>
      <c r="AR556" s="68" t="s">
        <v>2593</v>
      </c>
    </row>
    <row r="557" spans="1:47" s="68" customFormat="1" x14ac:dyDescent="0.3">
      <c r="A557" s="65"/>
      <c r="B557" s="110">
        <v>12117003</v>
      </c>
      <c r="C557" s="99" t="str">
        <f t="shared" si="454"/>
        <v>2</v>
      </c>
      <c r="D557" s="120">
        <f>COUNTIFS($F$33:F557,F557, $G$33:G557,G557, $C$33:C557,C557, $L$33:L557,L557)</f>
        <v>3</v>
      </c>
      <c r="E557" s="20">
        <v>1</v>
      </c>
      <c r="F557" s="66">
        <v>7</v>
      </c>
      <c r="G557" s="66">
        <v>1</v>
      </c>
      <c r="H557" s="103" t="s">
        <v>957</v>
      </c>
      <c r="I557" s="66" t="s">
        <v>2223</v>
      </c>
      <c r="J557" s="104" t="str">
        <f t="shared" ref="J557:J608" si="456">"Item_Name_"&amp;$B557</f>
        <v>Item_Name_12117003</v>
      </c>
      <c r="K557" s="66">
        <v>10102001</v>
      </c>
      <c r="L557" s="106">
        <f t="shared" si="405"/>
        <v>1</v>
      </c>
      <c r="M557" s="105">
        <f>IF(D557=0, 0, _xlfn.XLOOKUP($F557,'#무게관련'!$B:$B,'#무게관련'!$C:$C)*_xlfn.XLOOKUP($L557,'#무게관련'!$F:$F,'#무게관련'!$G:$G)*100)</f>
        <v>4000</v>
      </c>
      <c r="N557" s="20">
        <v>20600</v>
      </c>
      <c r="O557" s="20">
        <v>2</v>
      </c>
      <c r="P557" s="66">
        <v>15</v>
      </c>
      <c r="Q557" s="20">
        <v>1</v>
      </c>
      <c r="R557" s="66">
        <v>100</v>
      </c>
      <c r="S557" s="66">
        <v>1</v>
      </c>
      <c r="T557" s="66" t="s">
        <v>1884</v>
      </c>
      <c r="U557" s="104" t="str">
        <f t="shared" si="455"/>
        <v>item_bg_grade_01</v>
      </c>
      <c r="V557" s="66" t="s">
        <v>502</v>
      </c>
      <c r="W557" s="66" t="s">
        <v>400</v>
      </c>
      <c r="X557" s="104">
        <v>0</v>
      </c>
      <c r="Y557" s="104">
        <v>0</v>
      </c>
      <c r="Z557" s="104">
        <v>0</v>
      </c>
      <c r="AA557" s="104">
        <v>0</v>
      </c>
      <c r="AB557" s="104">
        <v>0</v>
      </c>
      <c r="AC557" s="104">
        <v>0</v>
      </c>
      <c r="AD557" s="142">
        <v>0</v>
      </c>
      <c r="AE557" s="111">
        <f t="shared" si="407"/>
        <v>10</v>
      </c>
      <c r="AF557" s="70">
        <v>2107030</v>
      </c>
      <c r="AG557" s="105" cm="1">
        <f t="array" ref="AG557">_xlfn.SWITCH(L557,3,1,
           4,1,
           5,1,
           6,1,0)</f>
        <v>0</v>
      </c>
      <c r="AH557" s="146">
        <f t="shared" si="446"/>
        <v>80101101</v>
      </c>
      <c r="AI557" s="90">
        <v>0</v>
      </c>
      <c r="AJ557" s="90">
        <v>0</v>
      </c>
      <c r="AK557" s="27">
        <v>0</v>
      </c>
      <c r="AL557" s="123">
        <f>_xlfn.XLOOKUP(H557,'#각종 참고'!$B$11:$B$20,'#각종 참고'!$D$11:$D$20)</f>
        <v>0</v>
      </c>
      <c r="AM557" s="27">
        <v>1</v>
      </c>
      <c r="AN557" s="27">
        <v>1</v>
      </c>
      <c r="AO557" s="124">
        <f t="shared" si="429"/>
        <v>1</v>
      </c>
      <c r="AP557" s="27">
        <v>1</v>
      </c>
      <c r="AQ557" s="21">
        <v>12117021</v>
      </c>
      <c r="AR557" s="68" t="s">
        <v>2594</v>
      </c>
    </row>
    <row r="558" spans="1:47" x14ac:dyDescent="0.3">
      <c r="A558" s="19"/>
      <c r="B558" s="109">
        <v>12127001</v>
      </c>
      <c r="C558" s="99" t="str">
        <f t="shared" si="267"/>
        <v>2</v>
      </c>
      <c r="D558" s="121">
        <f>COUNTIFS($F$33:F558,F558, $G$33:G558,G558, $C$33:C558,C558, $L$33:L558,L558)</f>
        <v>1</v>
      </c>
      <c r="E558" s="20">
        <v>1</v>
      </c>
      <c r="F558" s="20">
        <v>7</v>
      </c>
      <c r="G558" s="20">
        <v>1</v>
      </c>
      <c r="H558" s="103" t="s">
        <v>957</v>
      </c>
      <c r="I558" s="20" t="s">
        <v>1813</v>
      </c>
      <c r="J558" s="104" t="str">
        <f t="shared" si="456"/>
        <v>Item_Name_12127001</v>
      </c>
      <c r="K558" s="20">
        <v>10102001</v>
      </c>
      <c r="L558" s="107">
        <f t="shared" si="405"/>
        <v>2</v>
      </c>
      <c r="M558" s="105">
        <f>IF(D558=0, 0, _xlfn.XLOOKUP($F558,'#무게관련'!$B:$B,'#무게관련'!$C:$C)*_xlfn.XLOOKUP($L558,'#무게관련'!$F:$F,'#무게관련'!$G:$G)*100)</f>
        <v>4000</v>
      </c>
      <c r="N558" s="20">
        <v>20600</v>
      </c>
      <c r="O558" s="20">
        <v>2</v>
      </c>
      <c r="P558" s="20">
        <v>15</v>
      </c>
      <c r="Q558" s="20">
        <v>1</v>
      </c>
      <c r="R558" s="20">
        <v>100</v>
      </c>
      <c r="S558" s="20">
        <v>1</v>
      </c>
      <c r="T558" s="20" t="s">
        <v>1885</v>
      </c>
      <c r="U558" s="104" t="str">
        <f t="shared" si="453"/>
        <v>item_bg_grade_02</v>
      </c>
      <c r="V558" s="20" t="s">
        <v>502</v>
      </c>
      <c r="W558" s="20" t="s">
        <v>400</v>
      </c>
      <c r="X558" s="104">
        <v>0</v>
      </c>
      <c r="Y558" s="104">
        <v>0</v>
      </c>
      <c r="Z558" s="104">
        <v>0</v>
      </c>
      <c r="AA558" s="104">
        <v>0</v>
      </c>
      <c r="AB558" s="104">
        <v>0</v>
      </c>
      <c r="AC558" s="104">
        <v>0</v>
      </c>
      <c r="AD558" s="142">
        <v>0</v>
      </c>
      <c r="AE558" s="112">
        <f t="shared" si="407"/>
        <v>20</v>
      </c>
      <c r="AF558" s="70">
        <v>2207010</v>
      </c>
      <c r="AG558" s="105" cm="1">
        <f t="array" ref="AG558">_xlfn.SWITCH(L558,3,1,
           4,1,
           5,1,
           6,1,0)</f>
        <v>0</v>
      </c>
      <c r="AH558" s="146">
        <f t="shared" si="446"/>
        <v>80101201</v>
      </c>
      <c r="AI558" s="90">
        <v>6000</v>
      </c>
      <c r="AJ558" s="90">
        <v>3002</v>
      </c>
      <c r="AK558" s="27">
        <v>2007</v>
      </c>
      <c r="AL558" s="123">
        <f>_xlfn.XLOOKUP(H558,'#각종 참고'!$B$11:$B$20,'#각종 참고'!$D$11:$D$20)</f>
        <v>0</v>
      </c>
      <c r="AM558" s="27">
        <v>1</v>
      </c>
      <c r="AN558" s="27">
        <v>1</v>
      </c>
      <c r="AO558" s="124">
        <f t="shared" si="429"/>
        <v>1</v>
      </c>
      <c r="AP558" s="27">
        <v>1</v>
      </c>
      <c r="AQ558" s="21">
        <v>12127001</v>
      </c>
      <c r="AR558" s="21" t="s">
        <v>1813</v>
      </c>
      <c r="AS558" s="68"/>
      <c r="AT558" s="68"/>
      <c r="AU558" s="68"/>
    </row>
    <row r="559" spans="1:47" x14ac:dyDescent="0.3">
      <c r="A559" s="19"/>
      <c r="B559" s="109">
        <v>12127002</v>
      </c>
      <c r="C559" s="99" t="str">
        <f t="shared" ref="C559:C560" si="457">IF(K559&gt;0,MID(K559,5, 1), 0)</f>
        <v>2</v>
      </c>
      <c r="D559" s="121">
        <f>COUNTIFS($F$33:F559,F559, $G$33:G559,G559, $C$33:C559,C559, $L$33:L559,L559)</f>
        <v>2</v>
      </c>
      <c r="E559" s="20">
        <v>1</v>
      </c>
      <c r="F559" s="20">
        <v>7</v>
      </c>
      <c r="G559" s="20">
        <v>1</v>
      </c>
      <c r="H559" s="103" t="s">
        <v>957</v>
      </c>
      <c r="I559" s="20" t="s">
        <v>2225</v>
      </c>
      <c r="J559" s="104" t="str">
        <f t="shared" si="456"/>
        <v>Item_Name_12127002</v>
      </c>
      <c r="K559" s="20">
        <v>10102001</v>
      </c>
      <c r="L559" s="107">
        <f t="shared" si="405"/>
        <v>2</v>
      </c>
      <c r="M559" s="105">
        <f>IF(D559=0, 0, _xlfn.XLOOKUP($F559,'#무게관련'!$B:$B,'#무게관련'!$C:$C)*_xlfn.XLOOKUP($L559,'#무게관련'!$F:$F,'#무게관련'!$G:$G)*100)</f>
        <v>4000</v>
      </c>
      <c r="N559" s="20">
        <v>20600</v>
      </c>
      <c r="O559" s="20">
        <v>2</v>
      </c>
      <c r="P559" s="20">
        <v>15</v>
      </c>
      <c r="Q559" s="20">
        <v>1</v>
      </c>
      <c r="R559" s="20">
        <v>100</v>
      </c>
      <c r="S559" s="20">
        <v>1</v>
      </c>
      <c r="T559" s="20" t="s">
        <v>1885</v>
      </c>
      <c r="U559" s="104" t="str">
        <f t="shared" ref="U559:U560" si="458">"item_bg_grade_0"&amp;L559</f>
        <v>item_bg_grade_02</v>
      </c>
      <c r="V559" s="20" t="s">
        <v>502</v>
      </c>
      <c r="W559" s="20" t="s">
        <v>400</v>
      </c>
      <c r="X559" s="104">
        <v>0</v>
      </c>
      <c r="Y559" s="104">
        <v>0</v>
      </c>
      <c r="Z559" s="104">
        <v>0</v>
      </c>
      <c r="AA559" s="104">
        <v>0</v>
      </c>
      <c r="AB559" s="104">
        <v>0</v>
      </c>
      <c r="AC559" s="104">
        <v>0</v>
      </c>
      <c r="AD559" s="142">
        <v>0</v>
      </c>
      <c r="AE559" s="112">
        <f t="shared" si="407"/>
        <v>20</v>
      </c>
      <c r="AF559" s="70">
        <v>2207020</v>
      </c>
      <c r="AG559" s="105" cm="1">
        <f t="array" ref="AG559">_xlfn.SWITCH(L559,3,1,
           4,1,
           5,1,
           6,1,0)</f>
        <v>0</v>
      </c>
      <c r="AH559" s="146">
        <f t="shared" si="446"/>
        <v>80101201</v>
      </c>
      <c r="AI559" s="90">
        <v>6000</v>
      </c>
      <c r="AJ559" s="90">
        <v>3002</v>
      </c>
      <c r="AK559" s="27">
        <v>2007</v>
      </c>
      <c r="AL559" s="123">
        <f>_xlfn.XLOOKUP(H559,'#각종 참고'!$B$11:$B$20,'#각종 참고'!$D$11:$D$20)</f>
        <v>0</v>
      </c>
      <c r="AM559" s="27">
        <v>1</v>
      </c>
      <c r="AN559" s="27">
        <v>1</v>
      </c>
      <c r="AO559" s="124">
        <f t="shared" si="429"/>
        <v>1</v>
      </c>
      <c r="AP559" s="27">
        <v>1</v>
      </c>
      <c r="AQ559" s="21">
        <v>12127011</v>
      </c>
      <c r="AR559" s="21" t="s">
        <v>2595</v>
      </c>
      <c r="AS559" s="68"/>
      <c r="AT559" s="68"/>
      <c r="AU559" s="68"/>
    </row>
    <row r="560" spans="1:47" x14ac:dyDescent="0.3">
      <c r="A560" s="19"/>
      <c r="B560" s="109">
        <v>12127003</v>
      </c>
      <c r="C560" s="99" t="str">
        <f t="shared" si="457"/>
        <v>2</v>
      </c>
      <c r="D560" s="121">
        <f>COUNTIFS($F$33:F560,F560, $G$33:G560,G560, $C$33:C560,C560, $L$33:L560,L560)</f>
        <v>3</v>
      </c>
      <c r="E560" s="20">
        <v>1</v>
      </c>
      <c r="F560" s="20">
        <v>7</v>
      </c>
      <c r="G560" s="20">
        <v>1</v>
      </c>
      <c r="H560" s="103" t="s">
        <v>957</v>
      </c>
      <c r="I560" s="20" t="s">
        <v>1987</v>
      </c>
      <c r="J560" s="104" t="str">
        <f t="shared" si="456"/>
        <v>Item_Name_12127003</v>
      </c>
      <c r="K560" s="20">
        <v>10102001</v>
      </c>
      <c r="L560" s="107">
        <f t="shared" si="405"/>
        <v>2</v>
      </c>
      <c r="M560" s="105">
        <f>IF(D560=0, 0, _xlfn.XLOOKUP($F560,'#무게관련'!$B:$B,'#무게관련'!$C:$C)*_xlfn.XLOOKUP($L560,'#무게관련'!$F:$F,'#무게관련'!$G:$G)*100)</f>
        <v>4000</v>
      </c>
      <c r="N560" s="20">
        <v>20600</v>
      </c>
      <c r="O560" s="20">
        <v>2</v>
      </c>
      <c r="P560" s="20">
        <v>15</v>
      </c>
      <c r="Q560" s="20">
        <v>1</v>
      </c>
      <c r="R560" s="20">
        <v>100</v>
      </c>
      <c r="S560" s="20">
        <v>1</v>
      </c>
      <c r="T560" s="20" t="s">
        <v>1885</v>
      </c>
      <c r="U560" s="104" t="str">
        <f t="shared" si="458"/>
        <v>item_bg_grade_02</v>
      </c>
      <c r="V560" s="20" t="s">
        <v>502</v>
      </c>
      <c r="W560" s="20" t="s">
        <v>400</v>
      </c>
      <c r="X560" s="104">
        <v>0</v>
      </c>
      <c r="Y560" s="104">
        <v>0</v>
      </c>
      <c r="Z560" s="104">
        <v>0</v>
      </c>
      <c r="AA560" s="104">
        <v>0</v>
      </c>
      <c r="AB560" s="104">
        <v>0</v>
      </c>
      <c r="AC560" s="104">
        <v>0</v>
      </c>
      <c r="AD560" s="142">
        <v>0</v>
      </c>
      <c r="AE560" s="112">
        <f t="shared" si="407"/>
        <v>20</v>
      </c>
      <c r="AF560" s="70">
        <v>2207030</v>
      </c>
      <c r="AG560" s="105" cm="1">
        <f t="array" ref="AG560">_xlfn.SWITCH(L560,3,1,
           4,1,
           5,1,
           6,1,0)</f>
        <v>0</v>
      </c>
      <c r="AH560" s="146">
        <f t="shared" si="446"/>
        <v>80101201</v>
      </c>
      <c r="AI560" s="90">
        <v>6000</v>
      </c>
      <c r="AJ560" s="90">
        <v>3002</v>
      </c>
      <c r="AK560" s="27">
        <v>2007</v>
      </c>
      <c r="AL560" s="123">
        <f>_xlfn.XLOOKUP(H560,'#각종 참고'!$B$11:$B$20,'#각종 참고'!$D$11:$D$20)</f>
        <v>0</v>
      </c>
      <c r="AM560" s="27">
        <v>1</v>
      </c>
      <c r="AN560" s="27">
        <v>1</v>
      </c>
      <c r="AO560" s="124">
        <f t="shared" si="429"/>
        <v>1</v>
      </c>
      <c r="AP560" s="27">
        <v>1</v>
      </c>
      <c r="AQ560" s="21">
        <v>12127021</v>
      </c>
      <c r="AR560" s="21" t="s">
        <v>2596</v>
      </c>
      <c r="AS560" s="68"/>
      <c r="AT560" s="68"/>
      <c r="AU560" s="68"/>
    </row>
    <row r="561" spans="1:47" x14ac:dyDescent="0.3">
      <c r="A561" s="19"/>
      <c r="B561" s="109">
        <v>12137001</v>
      </c>
      <c r="C561" s="99" t="str">
        <f t="shared" si="267"/>
        <v>2</v>
      </c>
      <c r="D561" s="121">
        <f>COUNTIFS($F$33:F561,F561, $G$33:G561,G561, $C$33:C561,C561, $L$33:L561,L561)</f>
        <v>1</v>
      </c>
      <c r="E561" s="20">
        <v>1</v>
      </c>
      <c r="F561" s="20">
        <v>7</v>
      </c>
      <c r="G561" s="20">
        <v>1</v>
      </c>
      <c r="H561" s="103" t="s">
        <v>957</v>
      </c>
      <c r="I561" s="20" t="s">
        <v>1565</v>
      </c>
      <c r="J561" s="104" t="str">
        <f t="shared" si="456"/>
        <v>Item_Name_12137001</v>
      </c>
      <c r="K561" s="20">
        <v>10102001</v>
      </c>
      <c r="L561" s="107">
        <f t="shared" si="405"/>
        <v>3</v>
      </c>
      <c r="M561" s="105">
        <f>IF(D561=0, 0, _xlfn.XLOOKUP($F561,'#무게관련'!$B:$B,'#무게관련'!$C:$C)*_xlfn.XLOOKUP($L561,'#무게관련'!$F:$F,'#무게관련'!$G:$G)*100)</f>
        <v>4000</v>
      </c>
      <c r="N561" s="20">
        <v>20600</v>
      </c>
      <c r="O561" s="20">
        <v>2</v>
      </c>
      <c r="P561" s="20">
        <v>15</v>
      </c>
      <c r="Q561" s="20">
        <v>1</v>
      </c>
      <c r="R561" s="20">
        <v>100</v>
      </c>
      <c r="S561" s="20">
        <v>1</v>
      </c>
      <c r="T561" s="20" t="s">
        <v>1886</v>
      </c>
      <c r="U561" s="104" t="str">
        <f t="shared" si="453"/>
        <v>item_bg_grade_03</v>
      </c>
      <c r="V561" s="20" t="s">
        <v>502</v>
      </c>
      <c r="W561" s="20" t="s">
        <v>400</v>
      </c>
      <c r="X561" s="104">
        <v>0</v>
      </c>
      <c r="Y561" s="104">
        <v>0</v>
      </c>
      <c r="Z561" s="104">
        <v>0</v>
      </c>
      <c r="AA561" s="104">
        <v>0</v>
      </c>
      <c r="AB561" s="104">
        <v>0</v>
      </c>
      <c r="AC561" s="104">
        <v>0</v>
      </c>
      <c r="AD561" s="142">
        <v>0</v>
      </c>
      <c r="AE561" s="112">
        <f t="shared" si="407"/>
        <v>30</v>
      </c>
      <c r="AF561" s="70">
        <v>2307010</v>
      </c>
      <c r="AG561" s="105" cm="1">
        <f t="array" ref="AG561">_xlfn.SWITCH(L561,3,1,
           4,1,
           5,1,
           6,1,0)</f>
        <v>1</v>
      </c>
      <c r="AH561" s="146">
        <f t="shared" si="446"/>
        <v>80101301</v>
      </c>
      <c r="AI561" s="90">
        <v>6001</v>
      </c>
      <c r="AJ561" s="90">
        <v>3004</v>
      </c>
      <c r="AK561" s="27">
        <v>3007</v>
      </c>
      <c r="AL561" s="123">
        <f>_xlfn.XLOOKUP(H561,'#각종 참고'!$B$11:$B$20,'#각종 참고'!$D$11:$D$20)</f>
        <v>0</v>
      </c>
      <c r="AM561" s="27">
        <v>1</v>
      </c>
      <c r="AN561" s="27">
        <v>1</v>
      </c>
      <c r="AO561" s="124">
        <f t="shared" si="429"/>
        <v>1</v>
      </c>
      <c r="AP561" s="27">
        <v>1</v>
      </c>
      <c r="AQ561" s="21">
        <v>12137001</v>
      </c>
      <c r="AR561" s="21" t="s">
        <v>1565</v>
      </c>
      <c r="AS561" s="68"/>
      <c r="AT561" s="68"/>
      <c r="AU561" s="68"/>
    </row>
    <row r="562" spans="1:47" x14ac:dyDescent="0.3">
      <c r="A562" s="19"/>
      <c r="B562" s="109">
        <v>12137002</v>
      </c>
      <c r="C562" s="99" t="str">
        <f t="shared" ref="C562:C563" si="459">IF(K562&gt;0,MID(K562,5, 1), 0)</f>
        <v>2</v>
      </c>
      <c r="D562" s="121">
        <f>COUNTIFS($F$33:F562,F562, $G$33:G562,G562, $C$33:C562,C562, $L$33:L562,L562)</f>
        <v>2</v>
      </c>
      <c r="E562" s="20">
        <v>1</v>
      </c>
      <c r="F562" s="20">
        <v>7</v>
      </c>
      <c r="G562" s="20">
        <v>1</v>
      </c>
      <c r="H562" s="103" t="s">
        <v>957</v>
      </c>
      <c r="I562" s="20" t="s">
        <v>1814</v>
      </c>
      <c r="J562" s="104" t="str">
        <f t="shared" si="456"/>
        <v>Item_Name_12137002</v>
      </c>
      <c r="K562" s="20">
        <v>10102001</v>
      </c>
      <c r="L562" s="107">
        <f t="shared" si="405"/>
        <v>3</v>
      </c>
      <c r="M562" s="105">
        <f>IF(D562=0, 0, _xlfn.XLOOKUP($F562,'#무게관련'!$B:$B,'#무게관련'!$C:$C)*_xlfn.XLOOKUP($L562,'#무게관련'!$F:$F,'#무게관련'!$G:$G)*100)</f>
        <v>4000</v>
      </c>
      <c r="N562" s="20">
        <v>20600</v>
      </c>
      <c r="O562" s="20">
        <v>2</v>
      </c>
      <c r="P562" s="20">
        <v>15</v>
      </c>
      <c r="Q562" s="20">
        <v>1</v>
      </c>
      <c r="R562" s="20">
        <v>100</v>
      </c>
      <c r="S562" s="20">
        <v>1</v>
      </c>
      <c r="T562" s="20" t="s">
        <v>1886</v>
      </c>
      <c r="U562" s="104" t="str">
        <f t="shared" ref="U562:U563" si="460">"item_bg_grade_0"&amp;L562</f>
        <v>item_bg_grade_03</v>
      </c>
      <c r="V562" s="20" t="s">
        <v>502</v>
      </c>
      <c r="W562" s="20" t="s">
        <v>400</v>
      </c>
      <c r="X562" s="104">
        <v>0</v>
      </c>
      <c r="Y562" s="104">
        <v>0</v>
      </c>
      <c r="Z562" s="104">
        <v>0</v>
      </c>
      <c r="AA562" s="104">
        <v>0</v>
      </c>
      <c r="AB562" s="104">
        <v>0</v>
      </c>
      <c r="AC562" s="104">
        <v>0</v>
      </c>
      <c r="AD562" s="142">
        <v>0</v>
      </c>
      <c r="AE562" s="112">
        <f t="shared" si="407"/>
        <v>30</v>
      </c>
      <c r="AF562" s="70">
        <v>2307020</v>
      </c>
      <c r="AG562" s="105" cm="1">
        <f t="array" ref="AG562">_xlfn.SWITCH(L562,3,1,
           4,1,
           5,1,
           6,1,0)</f>
        <v>1</v>
      </c>
      <c r="AH562" s="146">
        <f t="shared" si="446"/>
        <v>80101301</v>
      </c>
      <c r="AI562" s="90">
        <v>6001</v>
      </c>
      <c r="AJ562" s="90">
        <v>3004</v>
      </c>
      <c r="AK562" s="27">
        <v>3007</v>
      </c>
      <c r="AL562" s="123">
        <f>_xlfn.XLOOKUP(H562,'#각종 참고'!$B$11:$B$20,'#각종 참고'!$D$11:$D$20)</f>
        <v>0</v>
      </c>
      <c r="AM562" s="27">
        <v>1</v>
      </c>
      <c r="AN562" s="27">
        <v>1</v>
      </c>
      <c r="AO562" s="124">
        <f t="shared" si="429"/>
        <v>1</v>
      </c>
      <c r="AP562" s="27">
        <v>1</v>
      </c>
      <c r="AQ562" s="21">
        <v>12137011</v>
      </c>
      <c r="AR562" s="21" t="s">
        <v>2597</v>
      </c>
      <c r="AS562" s="68"/>
      <c r="AT562" s="68"/>
      <c r="AU562" s="68"/>
    </row>
    <row r="563" spans="1:47" x14ac:dyDescent="0.3">
      <c r="A563" s="19"/>
      <c r="B563" s="109">
        <v>12137003</v>
      </c>
      <c r="C563" s="99" t="str">
        <f t="shared" si="459"/>
        <v>2</v>
      </c>
      <c r="D563" s="121">
        <f>COUNTIFS($F$33:F563,F563, $G$33:G563,G563, $C$33:C563,C563, $L$33:L563,L563)</f>
        <v>3</v>
      </c>
      <c r="E563" s="20">
        <v>1</v>
      </c>
      <c r="F563" s="20">
        <v>7</v>
      </c>
      <c r="G563" s="20">
        <v>1</v>
      </c>
      <c r="H563" s="103" t="s">
        <v>957</v>
      </c>
      <c r="I563" s="20" t="s">
        <v>2226</v>
      </c>
      <c r="J563" s="104" t="str">
        <f t="shared" si="456"/>
        <v>Item_Name_12137003</v>
      </c>
      <c r="K563" s="20">
        <v>10102001</v>
      </c>
      <c r="L563" s="107">
        <f t="shared" ref="L563:L608" si="461">L545</f>
        <v>3</v>
      </c>
      <c r="M563" s="105">
        <f>IF(D563=0, 0, _xlfn.XLOOKUP($F563,'#무게관련'!$B:$B,'#무게관련'!$C:$C)*_xlfn.XLOOKUP($L563,'#무게관련'!$F:$F,'#무게관련'!$G:$G)*100)</f>
        <v>4000</v>
      </c>
      <c r="N563" s="20">
        <v>20600</v>
      </c>
      <c r="O563" s="20">
        <v>2</v>
      </c>
      <c r="P563" s="20">
        <v>15</v>
      </c>
      <c r="Q563" s="20">
        <v>1</v>
      </c>
      <c r="R563" s="20">
        <v>100</v>
      </c>
      <c r="S563" s="20">
        <v>1</v>
      </c>
      <c r="T563" s="20" t="s">
        <v>1886</v>
      </c>
      <c r="U563" s="104" t="str">
        <f t="shared" si="460"/>
        <v>item_bg_grade_03</v>
      </c>
      <c r="V563" s="20" t="s">
        <v>502</v>
      </c>
      <c r="W563" s="20" t="s">
        <v>400</v>
      </c>
      <c r="X563" s="104">
        <v>0</v>
      </c>
      <c r="Y563" s="104">
        <v>0</v>
      </c>
      <c r="Z563" s="104">
        <v>0</v>
      </c>
      <c r="AA563" s="104">
        <v>0</v>
      </c>
      <c r="AB563" s="104">
        <v>0</v>
      </c>
      <c r="AC563" s="104">
        <v>0</v>
      </c>
      <c r="AD563" s="142">
        <v>0</v>
      </c>
      <c r="AE563" s="112">
        <f t="shared" ref="AE563:AE608" si="462">AE545</f>
        <v>30</v>
      </c>
      <c r="AF563" s="70">
        <v>2307030</v>
      </c>
      <c r="AG563" s="105" cm="1">
        <f t="array" ref="AG563">_xlfn.SWITCH(L563,3,1,
           4,1,
           5,1,
           6,1,0)</f>
        <v>1</v>
      </c>
      <c r="AH563" s="146">
        <f t="shared" si="446"/>
        <v>80101301</v>
      </c>
      <c r="AI563" s="90">
        <v>6001</v>
      </c>
      <c r="AJ563" s="90">
        <v>3004</v>
      </c>
      <c r="AK563" s="27">
        <v>3007</v>
      </c>
      <c r="AL563" s="123">
        <f>_xlfn.XLOOKUP(H563,'#각종 참고'!$B$11:$B$20,'#각종 참고'!$D$11:$D$20)</f>
        <v>0</v>
      </c>
      <c r="AM563" s="27">
        <v>1</v>
      </c>
      <c r="AN563" s="27">
        <v>1</v>
      </c>
      <c r="AO563" s="124">
        <f t="shared" si="429"/>
        <v>1</v>
      </c>
      <c r="AP563" s="27">
        <v>1</v>
      </c>
      <c r="AQ563" s="21">
        <v>12137021</v>
      </c>
      <c r="AR563" s="21" t="s">
        <v>2598</v>
      </c>
      <c r="AS563" s="68"/>
      <c r="AT563" s="68"/>
      <c r="AU563" s="68"/>
    </row>
    <row r="564" spans="1:47" x14ac:dyDescent="0.3">
      <c r="A564" s="19"/>
      <c r="B564" s="109">
        <v>12147001</v>
      </c>
      <c r="C564" s="99" t="str">
        <f t="shared" si="267"/>
        <v>2</v>
      </c>
      <c r="D564" s="121">
        <f>COUNTIFS($F$33:F564,F564, $G$33:G564,G564, $C$33:C564,C564, $L$33:L564,L564)</f>
        <v>1</v>
      </c>
      <c r="E564" s="20">
        <v>1</v>
      </c>
      <c r="F564" s="20">
        <v>7</v>
      </c>
      <c r="G564" s="20">
        <v>1</v>
      </c>
      <c r="H564" s="103" t="s">
        <v>957</v>
      </c>
      <c r="I564" s="20" t="s">
        <v>1566</v>
      </c>
      <c r="J564" s="104" t="str">
        <f t="shared" si="456"/>
        <v>Item_Name_12147001</v>
      </c>
      <c r="K564" s="20">
        <v>10102001</v>
      </c>
      <c r="L564" s="107">
        <f t="shared" si="461"/>
        <v>4</v>
      </c>
      <c r="M564" s="105">
        <f>IF(D564=0, 0, _xlfn.XLOOKUP($F564,'#무게관련'!$B:$B,'#무게관련'!$C:$C)*_xlfn.XLOOKUP($L564,'#무게관련'!$F:$F,'#무게관련'!$G:$G)*100)</f>
        <v>4000</v>
      </c>
      <c r="N564" s="20">
        <v>20600</v>
      </c>
      <c r="O564" s="20">
        <v>2</v>
      </c>
      <c r="P564" s="20">
        <v>15</v>
      </c>
      <c r="Q564" s="20">
        <v>1</v>
      </c>
      <c r="R564" s="20">
        <v>100</v>
      </c>
      <c r="S564" s="20">
        <v>1</v>
      </c>
      <c r="T564" s="20" t="s">
        <v>1887</v>
      </c>
      <c r="U564" s="104" t="str">
        <f t="shared" si="453"/>
        <v>item_bg_grade_04</v>
      </c>
      <c r="V564" s="20" t="s">
        <v>502</v>
      </c>
      <c r="W564" s="20" t="s">
        <v>400</v>
      </c>
      <c r="X564" s="104">
        <v>0</v>
      </c>
      <c r="Y564" s="104">
        <v>0</v>
      </c>
      <c r="Z564" s="104">
        <v>0</v>
      </c>
      <c r="AA564" s="104">
        <v>0</v>
      </c>
      <c r="AB564" s="104">
        <v>0</v>
      </c>
      <c r="AC564" s="104">
        <v>0</v>
      </c>
      <c r="AD564" s="142">
        <v>0</v>
      </c>
      <c r="AE564" s="112">
        <f t="shared" si="462"/>
        <v>40</v>
      </c>
      <c r="AF564" s="70">
        <v>2407010</v>
      </c>
      <c r="AG564" s="105" cm="1">
        <f t="array" ref="AG564">_xlfn.SWITCH(L564,3,1,
           4,1,
           5,1,
           6,1,0)</f>
        <v>1</v>
      </c>
      <c r="AH564" s="146">
        <f t="shared" si="446"/>
        <v>80101401</v>
      </c>
      <c r="AI564" s="90">
        <v>6002</v>
      </c>
      <c r="AJ564" s="90">
        <v>3006</v>
      </c>
      <c r="AK564" s="27">
        <v>4007</v>
      </c>
      <c r="AL564" s="123">
        <f>_xlfn.XLOOKUP(H564,'#각종 참고'!$B$11:$B$20,'#각종 참고'!$D$11:$D$20)</f>
        <v>0</v>
      </c>
      <c r="AM564" s="27">
        <v>1</v>
      </c>
      <c r="AN564" s="27">
        <v>1</v>
      </c>
      <c r="AO564" s="124">
        <f t="shared" si="429"/>
        <v>1</v>
      </c>
      <c r="AP564" s="27">
        <v>1</v>
      </c>
      <c r="AQ564" s="21">
        <v>12147001</v>
      </c>
      <c r="AR564" s="21" t="s">
        <v>1566</v>
      </c>
      <c r="AS564" s="68"/>
      <c r="AT564" s="68"/>
      <c r="AU564" s="68"/>
    </row>
    <row r="565" spans="1:47" x14ac:dyDescent="0.3">
      <c r="A565" s="19"/>
      <c r="B565" s="109">
        <v>12147002</v>
      </c>
      <c r="C565" s="99" t="str">
        <f t="shared" ref="C565:C566" si="463">IF(K565&gt;0,MID(K565,5, 1), 0)</f>
        <v>2</v>
      </c>
      <c r="D565" s="121">
        <f>COUNTIFS($F$33:F565,F565, $G$33:G565,G565, $C$33:C565,C565, $L$33:L565,L565)</f>
        <v>2</v>
      </c>
      <c r="E565" s="20">
        <v>1</v>
      </c>
      <c r="F565" s="20">
        <v>7</v>
      </c>
      <c r="G565" s="20">
        <v>1</v>
      </c>
      <c r="H565" s="103" t="s">
        <v>957</v>
      </c>
      <c r="I565" s="20" t="s">
        <v>1815</v>
      </c>
      <c r="J565" s="104" t="str">
        <f t="shared" si="456"/>
        <v>Item_Name_12147002</v>
      </c>
      <c r="K565" s="20">
        <v>10102001</v>
      </c>
      <c r="L565" s="107">
        <f t="shared" si="461"/>
        <v>4</v>
      </c>
      <c r="M565" s="105">
        <f>IF(D565=0, 0, _xlfn.XLOOKUP($F565,'#무게관련'!$B:$B,'#무게관련'!$C:$C)*_xlfn.XLOOKUP($L565,'#무게관련'!$F:$F,'#무게관련'!$G:$G)*100)</f>
        <v>4000</v>
      </c>
      <c r="N565" s="20">
        <v>20600</v>
      </c>
      <c r="O565" s="20">
        <v>2</v>
      </c>
      <c r="P565" s="20">
        <v>15</v>
      </c>
      <c r="Q565" s="20">
        <v>1</v>
      </c>
      <c r="R565" s="20">
        <v>100</v>
      </c>
      <c r="S565" s="20">
        <v>1</v>
      </c>
      <c r="T565" s="20" t="s">
        <v>1887</v>
      </c>
      <c r="U565" s="104" t="str">
        <f t="shared" ref="U565:U566" si="464">"item_bg_grade_0"&amp;L565</f>
        <v>item_bg_grade_04</v>
      </c>
      <c r="V565" s="20" t="s">
        <v>502</v>
      </c>
      <c r="W565" s="20" t="s">
        <v>400</v>
      </c>
      <c r="X565" s="104">
        <v>0</v>
      </c>
      <c r="Y565" s="104">
        <v>0</v>
      </c>
      <c r="Z565" s="104">
        <v>0</v>
      </c>
      <c r="AA565" s="104">
        <v>0</v>
      </c>
      <c r="AB565" s="104">
        <v>0</v>
      </c>
      <c r="AC565" s="104">
        <v>0</v>
      </c>
      <c r="AD565" s="142">
        <v>0</v>
      </c>
      <c r="AE565" s="112">
        <f t="shared" si="462"/>
        <v>40</v>
      </c>
      <c r="AF565" s="70">
        <v>2407020</v>
      </c>
      <c r="AG565" s="105" cm="1">
        <f t="array" ref="AG565">_xlfn.SWITCH(L565,3,1,
           4,1,
           5,1,
           6,1,0)</f>
        <v>1</v>
      </c>
      <c r="AH565" s="146">
        <f t="shared" si="446"/>
        <v>80101401</v>
      </c>
      <c r="AI565" s="90">
        <v>6002</v>
      </c>
      <c r="AJ565" s="90">
        <v>3006</v>
      </c>
      <c r="AK565" s="27">
        <v>4007</v>
      </c>
      <c r="AL565" s="123">
        <f>_xlfn.XLOOKUP(H565,'#각종 참고'!$B$11:$B$20,'#각종 참고'!$D$11:$D$20)</f>
        <v>0</v>
      </c>
      <c r="AM565" s="27">
        <v>1</v>
      </c>
      <c r="AN565" s="27">
        <v>1</v>
      </c>
      <c r="AO565" s="124">
        <f t="shared" si="429"/>
        <v>1</v>
      </c>
      <c r="AP565" s="27">
        <v>1</v>
      </c>
      <c r="AQ565" s="21">
        <v>12147011</v>
      </c>
      <c r="AR565" s="21" t="s">
        <v>2599</v>
      </c>
      <c r="AS565" s="68"/>
      <c r="AT565" s="68"/>
      <c r="AU565" s="68"/>
    </row>
    <row r="566" spans="1:47" x14ac:dyDescent="0.3">
      <c r="A566" s="19"/>
      <c r="B566" s="109">
        <v>12147003</v>
      </c>
      <c r="C566" s="99" t="str">
        <f t="shared" si="463"/>
        <v>2</v>
      </c>
      <c r="D566" s="121">
        <f>COUNTIFS($F$33:F566,F566, $G$33:G566,G566, $C$33:C566,C566, $L$33:L566,L566)</f>
        <v>3</v>
      </c>
      <c r="E566" s="20">
        <v>1</v>
      </c>
      <c r="F566" s="20">
        <v>7</v>
      </c>
      <c r="G566" s="20">
        <v>1</v>
      </c>
      <c r="H566" s="103" t="s">
        <v>957</v>
      </c>
      <c r="I566" s="20" t="s">
        <v>2003</v>
      </c>
      <c r="J566" s="104" t="str">
        <f t="shared" si="456"/>
        <v>Item_Name_12147003</v>
      </c>
      <c r="K566" s="20">
        <v>10102001</v>
      </c>
      <c r="L566" s="107">
        <f t="shared" si="461"/>
        <v>4</v>
      </c>
      <c r="M566" s="105">
        <f>IF(D566=0, 0, _xlfn.XLOOKUP($F566,'#무게관련'!$B:$B,'#무게관련'!$C:$C)*_xlfn.XLOOKUP($L566,'#무게관련'!$F:$F,'#무게관련'!$G:$G)*100)</f>
        <v>4000</v>
      </c>
      <c r="N566" s="20">
        <v>20600</v>
      </c>
      <c r="O566" s="20">
        <v>2</v>
      </c>
      <c r="P566" s="20">
        <v>15</v>
      </c>
      <c r="Q566" s="20">
        <v>1</v>
      </c>
      <c r="R566" s="20">
        <v>100</v>
      </c>
      <c r="S566" s="20">
        <v>1</v>
      </c>
      <c r="T566" s="20" t="s">
        <v>1887</v>
      </c>
      <c r="U566" s="104" t="str">
        <f t="shared" si="464"/>
        <v>item_bg_grade_04</v>
      </c>
      <c r="V566" s="20" t="s">
        <v>502</v>
      </c>
      <c r="W566" s="20" t="s">
        <v>400</v>
      </c>
      <c r="X566" s="104">
        <v>0</v>
      </c>
      <c r="Y566" s="104">
        <v>0</v>
      </c>
      <c r="Z566" s="104">
        <v>0</v>
      </c>
      <c r="AA566" s="104">
        <v>0</v>
      </c>
      <c r="AB566" s="104">
        <v>0</v>
      </c>
      <c r="AC566" s="104">
        <v>0</v>
      </c>
      <c r="AD566" s="142">
        <v>0</v>
      </c>
      <c r="AE566" s="112">
        <f t="shared" si="462"/>
        <v>40</v>
      </c>
      <c r="AF566" s="70">
        <v>2407030</v>
      </c>
      <c r="AG566" s="105" cm="1">
        <f t="array" ref="AG566">_xlfn.SWITCH(L566,3,1,
           4,1,
           5,1,
           6,1,0)</f>
        <v>1</v>
      </c>
      <c r="AH566" s="146">
        <f t="shared" si="446"/>
        <v>80101401</v>
      </c>
      <c r="AI566" s="90">
        <v>6002</v>
      </c>
      <c r="AJ566" s="90">
        <v>3006</v>
      </c>
      <c r="AK566" s="27">
        <v>4007</v>
      </c>
      <c r="AL566" s="123">
        <f>_xlfn.XLOOKUP(H566,'#각종 참고'!$B$11:$B$20,'#각종 참고'!$D$11:$D$20)</f>
        <v>0</v>
      </c>
      <c r="AM566" s="27">
        <v>1</v>
      </c>
      <c r="AN566" s="27">
        <v>1</v>
      </c>
      <c r="AO566" s="124">
        <f t="shared" si="429"/>
        <v>1</v>
      </c>
      <c r="AP566" s="27">
        <v>1</v>
      </c>
      <c r="AQ566" s="21">
        <v>12147021</v>
      </c>
      <c r="AR566" s="21" t="s">
        <v>2600</v>
      </c>
      <c r="AS566" s="68"/>
      <c r="AT566" s="68"/>
      <c r="AU566" s="68"/>
    </row>
    <row r="567" spans="1:47" x14ac:dyDescent="0.3">
      <c r="A567" s="19"/>
      <c r="B567" s="109">
        <v>12157001</v>
      </c>
      <c r="C567" s="99" t="str">
        <f t="shared" ref="C567:C570" si="465">IF(K567&gt;0,MID(K567,5, 1), 0)</f>
        <v>2</v>
      </c>
      <c r="D567" s="121">
        <f>COUNTIFS($F$33:F567,F567, $G$33:G567,G567, $C$33:C567,C567, $L$33:L567,L567)</f>
        <v>1</v>
      </c>
      <c r="E567" s="20">
        <v>1</v>
      </c>
      <c r="F567" s="20">
        <v>7</v>
      </c>
      <c r="G567" s="20">
        <v>1</v>
      </c>
      <c r="H567" s="103" t="s">
        <v>957</v>
      </c>
      <c r="I567" s="20" t="s">
        <v>944</v>
      </c>
      <c r="J567" s="104" t="str">
        <f t="shared" si="456"/>
        <v>Item_Name_12157001</v>
      </c>
      <c r="K567" s="20">
        <v>10102001</v>
      </c>
      <c r="L567" s="107">
        <f t="shared" si="461"/>
        <v>5</v>
      </c>
      <c r="M567" s="105">
        <f>IF(D567=0, 0, _xlfn.XLOOKUP($F567,'#무게관련'!$B:$B,'#무게관련'!$C:$C)*_xlfn.XLOOKUP($L567,'#무게관련'!$F:$F,'#무게관련'!$G:$G)*100)</f>
        <v>4000</v>
      </c>
      <c r="N567" s="20">
        <v>20600</v>
      </c>
      <c r="O567" s="20">
        <v>2</v>
      </c>
      <c r="P567" s="20">
        <v>15</v>
      </c>
      <c r="Q567" s="20">
        <v>1</v>
      </c>
      <c r="R567" s="20">
        <v>100</v>
      </c>
      <c r="S567" s="20">
        <v>1</v>
      </c>
      <c r="T567" s="20" t="s">
        <v>1888</v>
      </c>
      <c r="U567" s="104" t="str">
        <f t="shared" ref="U567:U570" si="466">"item_bg_grade_0"&amp;L567</f>
        <v>item_bg_grade_05</v>
      </c>
      <c r="V567" s="20" t="s">
        <v>502</v>
      </c>
      <c r="W567" s="20" t="s">
        <v>400</v>
      </c>
      <c r="X567" s="104">
        <v>0</v>
      </c>
      <c r="Y567" s="104">
        <v>0</v>
      </c>
      <c r="Z567" s="104">
        <v>0</v>
      </c>
      <c r="AA567" s="104">
        <v>0</v>
      </c>
      <c r="AB567" s="104">
        <v>0</v>
      </c>
      <c r="AC567" s="104">
        <v>0</v>
      </c>
      <c r="AD567" s="142">
        <v>0</v>
      </c>
      <c r="AE567" s="112">
        <f t="shared" si="462"/>
        <v>50</v>
      </c>
      <c r="AF567" s="70">
        <v>2507010</v>
      </c>
      <c r="AG567" s="105" cm="1">
        <f t="array" ref="AG567">_xlfn.SWITCH(L567,3,1,
           4,1,
           5,1,
           6,1,0)</f>
        <v>1</v>
      </c>
      <c r="AH567" s="146">
        <f t="shared" si="446"/>
        <v>80101501</v>
      </c>
      <c r="AI567" s="90">
        <v>6003</v>
      </c>
      <c r="AJ567" s="90">
        <v>3008</v>
      </c>
      <c r="AK567" s="27">
        <v>5007</v>
      </c>
      <c r="AL567" s="123">
        <f>_xlfn.XLOOKUP(H567,'#각종 참고'!$B$11:$B$20,'#각종 참고'!$D$11:$D$20)</f>
        <v>0</v>
      </c>
      <c r="AM567" s="27">
        <v>1</v>
      </c>
      <c r="AN567" s="27">
        <v>1</v>
      </c>
      <c r="AO567" s="124">
        <f t="shared" si="429"/>
        <v>1</v>
      </c>
      <c r="AP567" s="27">
        <v>1</v>
      </c>
      <c r="AQ567" s="21">
        <v>12157001</v>
      </c>
      <c r="AR567" s="21" t="s">
        <v>944</v>
      </c>
      <c r="AS567" s="68"/>
      <c r="AT567" s="68"/>
      <c r="AU567" s="68"/>
    </row>
    <row r="568" spans="1:47" x14ac:dyDescent="0.3">
      <c r="A568" s="19"/>
      <c r="B568" s="109">
        <v>12157002</v>
      </c>
      <c r="C568" s="99" t="str">
        <f t="shared" ref="C568:C569" si="467">IF(K568&gt;0,MID(K568,5, 1), 0)</f>
        <v>2</v>
      </c>
      <c r="D568" s="121">
        <f>COUNTIFS($F$33:F568,F568, $G$33:G568,G568, $C$33:C568,C568, $L$33:L568,L568)</f>
        <v>2</v>
      </c>
      <c r="E568" s="20">
        <v>1</v>
      </c>
      <c r="F568" s="20">
        <v>7</v>
      </c>
      <c r="G568" s="20">
        <v>1</v>
      </c>
      <c r="H568" s="103" t="s">
        <v>957</v>
      </c>
      <c r="I568" s="20" t="s">
        <v>2227</v>
      </c>
      <c r="J568" s="104" t="str">
        <f t="shared" si="456"/>
        <v>Item_Name_12157002</v>
      </c>
      <c r="K568" s="20">
        <v>10102001</v>
      </c>
      <c r="L568" s="107">
        <f t="shared" si="461"/>
        <v>5</v>
      </c>
      <c r="M568" s="105">
        <f>IF(D568=0, 0, _xlfn.XLOOKUP($F568,'#무게관련'!$B:$B,'#무게관련'!$C:$C)*_xlfn.XLOOKUP($L568,'#무게관련'!$F:$F,'#무게관련'!$G:$G)*100)</f>
        <v>4000</v>
      </c>
      <c r="N568" s="20">
        <v>20600</v>
      </c>
      <c r="O568" s="20">
        <v>2</v>
      </c>
      <c r="P568" s="20">
        <v>15</v>
      </c>
      <c r="Q568" s="20">
        <v>1</v>
      </c>
      <c r="R568" s="20">
        <v>100</v>
      </c>
      <c r="S568" s="20">
        <v>1</v>
      </c>
      <c r="T568" s="20" t="s">
        <v>1888</v>
      </c>
      <c r="U568" s="104" t="str">
        <f t="shared" ref="U568:U569" si="468">"item_bg_grade_0"&amp;L568</f>
        <v>item_bg_grade_05</v>
      </c>
      <c r="V568" s="20" t="s">
        <v>502</v>
      </c>
      <c r="W568" s="20" t="s">
        <v>400</v>
      </c>
      <c r="X568" s="104">
        <v>0</v>
      </c>
      <c r="Y568" s="104">
        <v>0</v>
      </c>
      <c r="Z568" s="104">
        <v>0</v>
      </c>
      <c r="AA568" s="104">
        <v>0</v>
      </c>
      <c r="AB568" s="104">
        <v>0</v>
      </c>
      <c r="AC568" s="104">
        <v>0</v>
      </c>
      <c r="AD568" s="142">
        <v>0</v>
      </c>
      <c r="AE568" s="112">
        <f t="shared" si="462"/>
        <v>50</v>
      </c>
      <c r="AF568" s="70">
        <v>2507020</v>
      </c>
      <c r="AG568" s="105" cm="1">
        <f t="array" ref="AG568">_xlfn.SWITCH(L568,3,1,
           4,1,
           5,1,
           6,1,0)</f>
        <v>1</v>
      </c>
      <c r="AH568" s="146">
        <f t="shared" si="446"/>
        <v>80101501</v>
      </c>
      <c r="AI568" s="90">
        <v>6003</v>
      </c>
      <c r="AJ568" s="90">
        <v>3008</v>
      </c>
      <c r="AK568" s="27">
        <v>5007</v>
      </c>
      <c r="AL568" s="123">
        <f>_xlfn.XLOOKUP(H568,'#각종 참고'!$B$11:$B$20,'#각종 참고'!$D$11:$D$20)</f>
        <v>0</v>
      </c>
      <c r="AM568" s="27">
        <v>1</v>
      </c>
      <c r="AN568" s="27">
        <v>1</v>
      </c>
      <c r="AO568" s="124">
        <f t="shared" si="429"/>
        <v>1</v>
      </c>
      <c r="AP568" s="27">
        <v>1</v>
      </c>
      <c r="AQ568" s="21">
        <v>12157011</v>
      </c>
      <c r="AR568" s="21" t="s">
        <v>2601</v>
      </c>
      <c r="AS568" s="68"/>
      <c r="AT568" s="68"/>
      <c r="AU568" s="68"/>
    </row>
    <row r="569" spans="1:47" x14ac:dyDescent="0.3">
      <c r="A569" s="19"/>
      <c r="B569" s="109">
        <v>12157003</v>
      </c>
      <c r="C569" s="99" t="str">
        <f t="shared" si="467"/>
        <v>2</v>
      </c>
      <c r="D569" s="121">
        <f>COUNTIFS($F$33:F569,F569, $G$33:G569,G569, $C$33:C569,C569, $L$33:L569,L569)</f>
        <v>3</v>
      </c>
      <c r="E569" s="20">
        <v>1</v>
      </c>
      <c r="F569" s="20">
        <v>7</v>
      </c>
      <c r="G569" s="20">
        <v>1</v>
      </c>
      <c r="H569" s="103" t="s">
        <v>957</v>
      </c>
      <c r="I569" s="20" t="s">
        <v>1816</v>
      </c>
      <c r="J569" s="104" t="str">
        <f t="shared" si="456"/>
        <v>Item_Name_12157003</v>
      </c>
      <c r="K569" s="20">
        <v>10102001</v>
      </c>
      <c r="L569" s="107">
        <f t="shared" si="461"/>
        <v>5</v>
      </c>
      <c r="M569" s="105">
        <f>IF(D569=0, 0, _xlfn.XLOOKUP($F569,'#무게관련'!$B:$B,'#무게관련'!$C:$C)*_xlfn.XLOOKUP($L569,'#무게관련'!$F:$F,'#무게관련'!$G:$G)*100)</f>
        <v>4000</v>
      </c>
      <c r="N569" s="20">
        <v>20600</v>
      </c>
      <c r="O569" s="20">
        <v>2</v>
      </c>
      <c r="P569" s="20">
        <v>15</v>
      </c>
      <c r="Q569" s="20">
        <v>1</v>
      </c>
      <c r="R569" s="20">
        <v>100</v>
      </c>
      <c r="S569" s="20">
        <v>1</v>
      </c>
      <c r="T569" s="20" t="s">
        <v>1888</v>
      </c>
      <c r="U569" s="104" t="str">
        <f t="shared" si="468"/>
        <v>item_bg_grade_05</v>
      </c>
      <c r="V569" s="20" t="s">
        <v>502</v>
      </c>
      <c r="W569" s="20" t="s">
        <v>400</v>
      </c>
      <c r="X569" s="104">
        <v>0</v>
      </c>
      <c r="Y569" s="104">
        <v>0</v>
      </c>
      <c r="Z569" s="104">
        <v>0</v>
      </c>
      <c r="AA569" s="104">
        <v>0</v>
      </c>
      <c r="AB569" s="104">
        <v>0</v>
      </c>
      <c r="AC569" s="104">
        <v>0</v>
      </c>
      <c r="AD569" s="142">
        <v>0</v>
      </c>
      <c r="AE569" s="112">
        <f t="shared" si="462"/>
        <v>50</v>
      </c>
      <c r="AF569" s="70">
        <v>2507030</v>
      </c>
      <c r="AG569" s="105" cm="1">
        <f t="array" ref="AG569">_xlfn.SWITCH(L569,3,1,
           4,1,
           5,1,
           6,1,0)</f>
        <v>1</v>
      </c>
      <c r="AH569" s="146">
        <f t="shared" si="446"/>
        <v>80101501</v>
      </c>
      <c r="AI569" s="90">
        <v>6003</v>
      </c>
      <c r="AJ569" s="90">
        <v>3008</v>
      </c>
      <c r="AK569" s="27">
        <v>5007</v>
      </c>
      <c r="AL569" s="123">
        <f>_xlfn.XLOOKUP(H569,'#각종 참고'!$B$11:$B$20,'#각종 참고'!$D$11:$D$20)</f>
        <v>0</v>
      </c>
      <c r="AM569" s="27">
        <v>1</v>
      </c>
      <c r="AN569" s="27">
        <v>1</v>
      </c>
      <c r="AO569" s="124">
        <f t="shared" si="429"/>
        <v>1</v>
      </c>
      <c r="AP569" s="27">
        <v>1</v>
      </c>
      <c r="AQ569" s="21">
        <v>12157021</v>
      </c>
      <c r="AR569" s="21" t="s">
        <v>2602</v>
      </c>
      <c r="AS569" s="68"/>
      <c r="AT569" s="68"/>
      <c r="AU569" s="68"/>
    </row>
    <row r="570" spans="1:47" x14ac:dyDescent="0.3">
      <c r="A570" s="19"/>
      <c r="B570" s="109">
        <v>12167001</v>
      </c>
      <c r="C570" s="99" t="str">
        <f t="shared" si="465"/>
        <v>2</v>
      </c>
      <c r="D570" s="121">
        <f>COUNTIFS($F$33:F570,F570, $G$33:G570,G570, $C$33:C570,C570, $L$33:L570,L570)</f>
        <v>1</v>
      </c>
      <c r="E570" s="20">
        <v>1</v>
      </c>
      <c r="F570" s="20">
        <v>7</v>
      </c>
      <c r="G570" s="20">
        <v>1</v>
      </c>
      <c r="H570" s="103" t="s">
        <v>957</v>
      </c>
      <c r="I570" s="20" t="s">
        <v>1817</v>
      </c>
      <c r="J570" s="104" t="str">
        <f t="shared" si="456"/>
        <v>Item_Name_12167001</v>
      </c>
      <c r="K570" s="20">
        <v>10102001</v>
      </c>
      <c r="L570" s="107">
        <f t="shared" si="461"/>
        <v>6</v>
      </c>
      <c r="M570" s="105">
        <f>IF(D570=0, 0, _xlfn.XLOOKUP($F570,'#무게관련'!$B:$B,'#무게관련'!$C:$C)*_xlfn.XLOOKUP($L570,'#무게관련'!$F:$F,'#무게관련'!$G:$G)*100)</f>
        <v>4000</v>
      </c>
      <c r="N570" s="20">
        <v>20600</v>
      </c>
      <c r="O570" s="20">
        <v>2</v>
      </c>
      <c r="P570" s="20">
        <v>15</v>
      </c>
      <c r="Q570" s="20">
        <v>1</v>
      </c>
      <c r="R570" s="20">
        <v>100</v>
      </c>
      <c r="S570" s="20">
        <v>1</v>
      </c>
      <c r="T570" s="109" t="s">
        <v>1888</v>
      </c>
      <c r="U570" s="104" t="str">
        <f t="shared" si="466"/>
        <v>item_bg_grade_06</v>
      </c>
      <c r="V570" s="20" t="s">
        <v>502</v>
      </c>
      <c r="W570" s="20" t="s">
        <v>400</v>
      </c>
      <c r="X570" s="104">
        <v>0</v>
      </c>
      <c r="Y570" s="104">
        <v>0</v>
      </c>
      <c r="Z570" s="104">
        <v>0</v>
      </c>
      <c r="AA570" s="104">
        <v>0</v>
      </c>
      <c r="AB570" s="104">
        <v>0</v>
      </c>
      <c r="AC570" s="104">
        <v>0</v>
      </c>
      <c r="AD570" s="142">
        <v>0</v>
      </c>
      <c r="AE570" s="112">
        <f t="shared" si="462"/>
        <v>70</v>
      </c>
      <c r="AF570" s="70">
        <v>2607010</v>
      </c>
      <c r="AG570" s="105" cm="1">
        <f t="array" ref="AG570">_xlfn.SWITCH(L570,3,1,
           4,1,
           5,1,
           6,1,0)</f>
        <v>1</v>
      </c>
      <c r="AH570" s="146">
        <f t="shared" si="446"/>
        <v>0</v>
      </c>
      <c r="AI570" s="90">
        <v>6004</v>
      </c>
      <c r="AJ570" s="90">
        <v>3010</v>
      </c>
      <c r="AK570" s="27">
        <v>6007</v>
      </c>
      <c r="AL570" s="123">
        <f>_xlfn.XLOOKUP(H570,'#각종 참고'!$B$11:$B$20,'#각종 참고'!$D$11:$D$20)</f>
        <v>0</v>
      </c>
      <c r="AM570" s="27">
        <v>1</v>
      </c>
      <c r="AN570" s="27">
        <v>1</v>
      </c>
      <c r="AO570" s="124">
        <f t="shared" ref="AO570:AO608" si="469">IF(AM570=1,AM570,AL570)</f>
        <v>1</v>
      </c>
      <c r="AP570" s="27">
        <v>1</v>
      </c>
      <c r="AQ570" s="21">
        <v>12167001</v>
      </c>
      <c r="AR570" s="21" t="s">
        <v>1817</v>
      </c>
      <c r="AS570" s="68"/>
      <c r="AT570" s="68"/>
      <c r="AU570" s="68"/>
    </row>
    <row r="571" spans="1:47" x14ac:dyDescent="0.3">
      <c r="A571" s="19" t="s">
        <v>513</v>
      </c>
      <c r="B571" s="109">
        <v>12167002</v>
      </c>
      <c r="C571" s="99" t="str">
        <f t="shared" ref="C571:C572" si="470">IF(K571&gt;0,MID(K571,5, 1), 0)</f>
        <v>2</v>
      </c>
      <c r="D571" s="121">
        <f>COUNTIFS($F$33:F571,F571, $G$33:G571,G571, $C$33:C571,C571, $L$33:L571,L571)</f>
        <v>2</v>
      </c>
      <c r="E571" s="20">
        <v>1</v>
      </c>
      <c r="F571" s="20">
        <v>7</v>
      </c>
      <c r="G571" s="20">
        <v>1</v>
      </c>
      <c r="H571" s="103" t="s">
        <v>957</v>
      </c>
      <c r="I571" s="20" t="s">
        <v>2229</v>
      </c>
      <c r="J571" s="104" t="str">
        <f t="shared" si="456"/>
        <v>Item_Name_12167002</v>
      </c>
      <c r="K571" s="20">
        <v>10102001</v>
      </c>
      <c r="L571" s="107">
        <f t="shared" si="461"/>
        <v>6</v>
      </c>
      <c r="M571" s="105">
        <f>IF(D571=0, 0, _xlfn.XLOOKUP($F571,'#무게관련'!$B:$B,'#무게관련'!$C:$C)*_xlfn.XLOOKUP($L571,'#무게관련'!$F:$F,'#무게관련'!$G:$G)*100)</f>
        <v>4000</v>
      </c>
      <c r="N571" s="20">
        <v>20600</v>
      </c>
      <c r="O571" s="20">
        <v>2</v>
      </c>
      <c r="P571" s="20">
        <v>15</v>
      </c>
      <c r="Q571" s="20">
        <v>1</v>
      </c>
      <c r="R571" s="20">
        <v>100</v>
      </c>
      <c r="S571" s="20">
        <v>1</v>
      </c>
      <c r="T571" s="109" t="s">
        <v>1888</v>
      </c>
      <c r="U571" s="104" t="str">
        <f t="shared" ref="U571:U572" si="471">"item_bg_grade_0"&amp;L571</f>
        <v>item_bg_grade_06</v>
      </c>
      <c r="V571" s="20" t="s">
        <v>502</v>
      </c>
      <c r="W571" s="20" t="s">
        <v>400</v>
      </c>
      <c r="X571" s="104">
        <v>0</v>
      </c>
      <c r="Y571" s="104">
        <v>0</v>
      </c>
      <c r="Z571" s="104">
        <v>0</v>
      </c>
      <c r="AA571" s="104">
        <v>0</v>
      </c>
      <c r="AB571" s="104">
        <v>0</v>
      </c>
      <c r="AC571" s="104">
        <v>0</v>
      </c>
      <c r="AD571" s="142">
        <v>0</v>
      </c>
      <c r="AE571" s="112">
        <f t="shared" si="462"/>
        <v>70</v>
      </c>
      <c r="AF571" s="70">
        <v>2607010</v>
      </c>
      <c r="AG571" s="105" cm="1">
        <f t="array" ref="AG571">_xlfn.SWITCH(L571,3,1,
           4,1,
           5,1,
           6,1,0)</f>
        <v>1</v>
      </c>
      <c r="AH571" s="146">
        <f t="shared" si="446"/>
        <v>0</v>
      </c>
      <c r="AI571" s="90">
        <v>6004</v>
      </c>
      <c r="AJ571" s="90">
        <v>3010</v>
      </c>
      <c r="AK571" s="27">
        <v>6007</v>
      </c>
      <c r="AL571" s="123">
        <f>_xlfn.XLOOKUP(H571,'#각종 참고'!$B$11:$B$20,'#각종 참고'!$D$11:$D$20)</f>
        <v>0</v>
      </c>
      <c r="AM571" s="27">
        <v>1</v>
      </c>
      <c r="AN571" s="27">
        <v>1</v>
      </c>
      <c r="AO571" s="124">
        <f t="shared" si="469"/>
        <v>1</v>
      </c>
      <c r="AP571" s="27">
        <v>1</v>
      </c>
      <c r="AQ571" s="21">
        <v>12167011</v>
      </c>
      <c r="AR571" s="21" t="s">
        <v>2603</v>
      </c>
      <c r="AS571" s="68"/>
      <c r="AT571" s="68"/>
      <c r="AU571" s="68"/>
    </row>
    <row r="572" spans="1:47" x14ac:dyDescent="0.3">
      <c r="A572" s="19" t="s">
        <v>513</v>
      </c>
      <c r="B572" s="109">
        <v>12167003</v>
      </c>
      <c r="C572" s="99" t="str">
        <f t="shared" si="470"/>
        <v>2</v>
      </c>
      <c r="D572" s="121">
        <f>COUNTIFS($F$33:F572,F572, $G$33:G572,G572, $C$33:C572,C572, $L$33:L572,L572)</f>
        <v>3</v>
      </c>
      <c r="E572" s="20">
        <v>1</v>
      </c>
      <c r="F572" s="20">
        <v>7</v>
      </c>
      <c r="G572" s="20">
        <v>1</v>
      </c>
      <c r="H572" s="103" t="s">
        <v>957</v>
      </c>
      <c r="I572" s="20" t="s">
        <v>2228</v>
      </c>
      <c r="J572" s="104" t="str">
        <f t="shared" si="456"/>
        <v>Item_Name_12167003</v>
      </c>
      <c r="K572" s="20">
        <v>10102001</v>
      </c>
      <c r="L572" s="107">
        <f t="shared" si="461"/>
        <v>6</v>
      </c>
      <c r="M572" s="105">
        <f>IF(D572=0, 0, _xlfn.XLOOKUP($F572,'#무게관련'!$B:$B,'#무게관련'!$C:$C)*_xlfn.XLOOKUP($L572,'#무게관련'!$F:$F,'#무게관련'!$G:$G)*100)</f>
        <v>4000</v>
      </c>
      <c r="N572" s="20">
        <v>20600</v>
      </c>
      <c r="O572" s="20">
        <v>2</v>
      </c>
      <c r="P572" s="20">
        <v>15</v>
      </c>
      <c r="Q572" s="20">
        <v>1</v>
      </c>
      <c r="R572" s="20">
        <v>100</v>
      </c>
      <c r="S572" s="20">
        <v>1</v>
      </c>
      <c r="T572" s="109" t="s">
        <v>1888</v>
      </c>
      <c r="U572" s="104" t="str">
        <f t="shared" si="471"/>
        <v>item_bg_grade_06</v>
      </c>
      <c r="V572" s="20" t="s">
        <v>502</v>
      </c>
      <c r="W572" s="20" t="s">
        <v>400</v>
      </c>
      <c r="X572" s="104">
        <v>0</v>
      </c>
      <c r="Y572" s="104">
        <v>0</v>
      </c>
      <c r="Z572" s="104">
        <v>0</v>
      </c>
      <c r="AA572" s="104">
        <v>0</v>
      </c>
      <c r="AB572" s="104">
        <v>0</v>
      </c>
      <c r="AC572" s="104">
        <v>0</v>
      </c>
      <c r="AD572" s="142">
        <v>0</v>
      </c>
      <c r="AE572" s="112">
        <f t="shared" si="462"/>
        <v>70</v>
      </c>
      <c r="AF572" s="70">
        <v>2607010</v>
      </c>
      <c r="AG572" s="105" cm="1">
        <f t="array" ref="AG572">_xlfn.SWITCH(L572,3,1,
           4,1,
           5,1,
           6,1,0)</f>
        <v>1</v>
      </c>
      <c r="AH572" s="146">
        <f t="shared" si="446"/>
        <v>0</v>
      </c>
      <c r="AI572" s="90">
        <v>6004</v>
      </c>
      <c r="AJ572" s="90">
        <v>3010</v>
      </c>
      <c r="AK572" s="27">
        <v>6007</v>
      </c>
      <c r="AL572" s="123">
        <f>_xlfn.XLOOKUP(H572,'#각종 참고'!$B$11:$B$20,'#각종 참고'!$D$11:$D$20)</f>
        <v>0</v>
      </c>
      <c r="AM572" s="27">
        <v>1</v>
      </c>
      <c r="AN572" s="27">
        <v>1</v>
      </c>
      <c r="AO572" s="124">
        <f t="shared" si="469"/>
        <v>1</v>
      </c>
      <c r="AP572" s="27">
        <v>1</v>
      </c>
      <c r="AQ572" s="21">
        <v>12167021</v>
      </c>
      <c r="AR572" s="21" t="s">
        <v>2604</v>
      </c>
      <c r="AS572" s="68"/>
      <c r="AT572" s="68"/>
      <c r="AU572" s="68"/>
    </row>
    <row r="573" spans="1:47" s="68" customFormat="1" x14ac:dyDescent="0.3">
      <c r="A573" s="65"/>
      <c r="B573" s="110">
        <v>13117001</v>
      </c>
      <c r="C573" s="99" t="str">
        <f t="shared" si="267"/>
        <v>3</v>
      </c>
      <c r="D573" s="120">
        <f>COUNTIFS($F$33:F573,F573, $G$33:G573,G573, $C$33:C573,C573, $L$33:L573,L573)</f>
        <v>1</v>
      </c>
      <c r="E573" s="20">
        <v>1</v>
      </c>
      <c r="F573" s="66">
        <v>7</v>
      </c>
      <c r="G573" s="66">
        <v>1</v>
      </c>
      <c r="H573" s="103" t="s">
        <v>957</v>
      </c>
      <c r="I573" s="66" t="s">
        <v>1818</v>
      </c>
      <c r="J573" s="104" t="str">
        <f t="shared" si="456"/>
        <v>Item_Name_13117001</v>
      </c>
      <c r="K573" s="66">
        <v>10103001</v>
      </c>
      <c r="L573" s="106">
        <f t="shared" si="461"/>
        <v>1</v>
      </c>
      <c r="M573" s="105">
        <f>IF(D573=0, 0, _xlfn.XLOOKUP($F573,'#무게관련'!$B:$B,'#무게관련'!$C:$C)*_xlfn.XLOOKUP($L573,'#무게관련'!$F:$F,'#무게관련'!$G:$G)*100)</f>
        <v>4000</v>
      </c>
      <c r="N573" s="20">
        <v>20600</v>
      </c>
      <c r="O573" s="20">
        <v>3</v>
      </c>
      <c r="P573" s="66">
        <v>15</v>
      </c>
      <c r="Q573" s="20">
        <v>1</v>
      </c>
      <c r="R573" s="66">
        <v>100</v>
      </c>
      <c r="S573" s="66">
        <v>1</v>
      </c>
      <c r="T573" s="66" t="s">
        <v>1884</v>
      </c>
      <c r="U573" s="104" t="str">
        <f t="shared" si="453"/>
        <v>item_bg_grade_01</v>
      </c>
      <c r="V573" s="66" t="s">
        <v>502</v>
      </c>
      <c r="W573" s="66" t="s">
        <v>400</v>
      </c>
      <c r="X573" s="104">
        <v>0</v>
      </c>
      <c r="Y573" s="104">
        <v>0</v>
      </c>
      <c r="Z573" s="104">
        <v>0</v>
      </c>
      <c r="AA573" s="104">
        <v>0</v>
      </c>
      <c r="AB573" s="104">
        <v>0</v>
      </c>
      <c r="AC573" s="104">
        <v>0</v>
      </c>
      <c r="AD573" s="142">
        <v>0</v>
      </c>
      <c r="AE573" s="111">
        <f t="shared" si="462"/>
        <v>10</v>
      </c>
      <c r="AF573" s="70">
        <v>3107010</v>
      </c>
      <c r="AG573" s="105" cm="1">
        <f t="array" ref="AG573">_xlfn.SWITCH(L573,3,1,
           4,1,
           5,1,
           6,1,0)</f>
        <v>0</v>
      </c>
      <c r="AH573" s="146">
        <f t="shared" si="446"/>
        <v>80101101</v>
      </c>
      <c r="AI573" s="90">
        <v>0</v>
      </c>
      <c r="AJ573" s="90">
        <v>0</v>
      </c>
      <c r="AK573" s="27">
        <v>0</v>
      </c>
      <c r="AL573" s="123">
        <f>_xlfn.XLOOKUP(H573,'#각종 참고'!$B$11:$B$20,'#각종 참고'!$D$11:$D$20)</f>
        <v>0</v>
      </c>
      <c r="AM573" s="27">
        <v>1</v>
      </c>
      <c r="AN573" s="27">
        <v>1</v>
      </c>
      <c r="AO573" s="124">
        <f t="shared" si="469"/>
        <v>1</v>
      </c>
      <c r="AP573" s="27">
        <v>1</v>
      </c>
      <c r="AQ573" s="21">
        <v>13117001</v>
      </c>
      <c r="AR573" s="68" t="s">
        <v>1818</v>
      </c>
    </row>
    <row r="574" spans="1:47" s="68" customFormat="1" x14ac:dyDescent="0.3">
      <c r="A574" s="65"/>
      <c r="B574" s="110">
        <v>13117002</v>
      </c>
      <c r="C574" s="99" t="str">
        <f t="shared" ref="C574:C575" si="472">IF(K574&gt;0,MID(K574,5, 1), 0)</f>
        <v>3</v>
      </c>
      <c r="D574" s="120">
        <f>COUNTIFS($F$33:F574,F574, $G$33:G574,G574, $C$33:C574,C574, $L$33:L574,L574)</f>
        <v>2</v>
      </c>
      <c r="E574" s="20">
        <v>1</v>
      </c>
      <c r="F574" s="66">
        <v>7</v>
      </c>
      <c r="G574" s="66">
        <v>1</v>
      </c>
      <c r="H574" s="103" t="s">
        <v>957</v>
      </c>
      <c r="I574" s="66" t="s">
        <v>2231</v>
      </c>
      <c r="J574" s="104" t="str">
        <f t="shared" si="456"/>
        <v>Item_Name_13117002</v>
      </c>
      <c r="K574" s="66">
        <v>10103001</v>
      </c>
      <c r="L574" s="106">
        <f t="shared" si="461"/>
        <v>1</v>
      </c>
      <c r="M574" s="105">
        <f>IF(D574=0, 0, _xlfn.XLOOKUP($F574,'#무게관련'!$B:$B,'#무게관련'!$C:$C)*_xlfn.XLOOKUP($L574,'#무게관련'!$F:$F,'#무게관련'!$G:$G)*100)</f>
        <v>4000</v>
      </c>
      <c r="N574" s="20">
        <v>20600</v>
      </c>
      <c r="O574" s="20">
        <v>3</v>
      </c>
      <c r="P574" s="66">
        <v>15</v>
      </c>
      <c r="Q574" s="20">
        <v>1</v>
      </c>
      <c r="R574" s="66">
        <v>100</v>
      </c>
      <c r="S574" s="66">
        <v>1</v>
      </c>
      <c r="T574" s="66" t="s">
        <v>1884</v>
      </c>
      <c r="U574" s="104" t="str">
        <f t="shared" ref="U574:U575" si="473">"item_bg_grade_0"&amp;L574</f>
        <v>item_bg_grade_01</v>
      </c>
      <c r="V574" s="66" t="s">
        <v>502</v>
      </c>
      <c r="W574" s="66" t="s">
        <v>400</v>
      </c>
      <c r="X574" s="104">
        <v>0</v>
      </c>
      <c r="Y574" s="104">
        <v>0</v>
      </c>
      <c r="Z574" s="104">
        <v>0</v>
      </c>
      <c r="AA574" s="104">
        <v>0</v>
      </c>
      <c r="AB574" s="104">
        <v>0</v>
      </c>
      <c r="AC574" s="104">
        <v>0</v>
      </c>
      <c r="AD574" s="142">
        <v>0</v>
      </c>
      <c r="AE574" s="111">
        <f t="shared" si="462"/>
        <v>10</v>
      </c>
      <c r="AF574" s="70">
        <v>3107020</v>
      </c>
      <c r="AG574" s="105" cm="1">
        <f t="array" ref="AG574">_xlfn.SWITCH(L574,3,1,
           4,1,
           5,1,
           6,1,0)</f>
        <v>0</v>
      </c>
      <c r="AH574" s="146">
        <f t="shared" si="446"/>
        <v>80101101</v>
      </c>
      <c r="AI574" s="90">
        <v>0</v>
      </c>
      <c r="AJ574" s="90">
        <v>0</v>
      </c>
      <c r="AK574" s="27">
        <v>0</v>
      </c>
      <c r="AL574" s="123">
        <f>_xlfn.XLOOKUP(H574,'#각종 참고'!$B$11:$B$20,'#각종 참고'!$D$11:$D$20)</f>
        <v>0</v>
      </c>
      <c r="AM574" s="27">
        <v>1</v>
      </c>
      <c r="AN574" s="27">
        <v>1</v>
      </c>
      <c r="AO574" s="124">
        <f t="shared" si="469"/>
        <v>1</v>
      </c>
      <c r="AP574" s="27">
        <v>1</v>
      </c>
      <c r="AQ574" s="21">
        <v>13117011</v>
      </c>
      <c r="AR574" s="68" t="s">
        <v>2605</v>
      </c>
    </row>
    <row r="575" spans="1:47" s="68" customFormat="1" x14ac:dyDescent="0.3">
      <c r="A575" s="65"/>
      <c r="B575" s="110">
        <v>13117003</v>
      </c>
      <c r="C575" s="99" t="str">
        <f t="shared" si="472"/>
        <v>3</v>
      </c>
      <c r="D575" s="120">
        <f>COUNTIFS($F$33:F575,F575, $G$33:G575,G575, $C$33:C575,C575, $L$33:L575,L575)</f>
        <v>3</v>
      </c>
      <c r="E575" s="20">
        <v>1</v>
      </c>
      <c r="F575" s="66">
        <v>7</v>
      </c>
      <c r="G575" s="66">
        <v>1</v>
      </c>
      <c r="H575" s="103" t="s">
        <v>957</v>
      </c>
      <c r="I575" s="66" t="s">
        <v>2230</v>
      </c>
      <c r="J575" s="104" t="str">
        <f t="shared" si="456"/>
        <v>Item_Name_13117003</v>
      </c>
      <c r="K575" s="66">
        <v>10103001</v>
      </c>
      <c r="L575" s="106">
        <f t="shared" si="461"/>
        <v>1</v>
      </c>
      <c r="M575" s="105">
        <f>IF(D575=0, 0, _xlfn.XLOOKUP($F575,'#무게관련'!$B:$B,'#무게관련'!$C:$C)*_xlfn.XLOOKUP($L575,'#무게관련'!$F:$F,'#무게관련'!$G:$G)*100)</f>
        <v>4000</v>
      </c>
      <c r="N575" s="20">
        <v>20600</v>
      </c>
      <c r="O575" s="20">
        <v>3</v>
      </c>
      <c r="P575" s="66">
        <v>15</v>
      </c>
      <c r="Q575" s="20">
        <v>1</v>
      </c>
      <c r="R575" s="66">
        <v>100</v>
      </c>
      <c r="S575" s="66">
        <v>1</v>
      </c>
      <c r="T575" s="66" t="s">
        <v>1884</v>
      </c>
      <c r="U575" s="104" t="str">
        <f t="shared" si="473"/>
        <v>item_bg_grade_01</v>
      </c>
      <c r="V575" s="66" t="s">
        <v>502</v>
      </c>
      <c r="W575" s="66" t="s">
        <v>400</v>
      </c>
      <c r="X575" s="104">
        <v>0</v>
      </c>
      <c r="Y575" s="104">
        <v>0</v>
      </c>
      <c r="Z575" s="104">
        <v>0</v>
      </c>
      <c r="AA575" s="104">
        <v>0</v>
      </c>
      <c r="AB575" s="104">
        <v>0</v>
      </c>
      <c r="AC575" s="104">
        <v>0</v>
      </c>
      <c r="AD575" s="142">
        <v>0</v>
      </c>
      <c r="AE575" s="111">
        <f t="shared" si="462"/>
        <v>10</v>
      </c>
      <c r="AF575" s="70">
        <v>3107030</v>
      </c>
      <c r="AG575" s="105" cm="1">
        <f t="array" ref="AG575">_xlfn.SWITCH(L575,3,1,
           4,1,
           5,1,
           6,1,0)</f>
        <v>0</v>
      </c>
      <c r="AH575" s="146">
        <f t="shared" si="446"/>
        <v>80101101</v>
      </c>
      <c r="AI575" s="90">
        <v>0</v>
      </c>
      <c r="AJ575" s="90">
        <v>0</v>
      </c>
      <c r="AK575" s="27">
        <v>0</v>
      </c>
      <c r="AL575" s="123">
        <f>_xlfn.XLOOKUP(H575,'#각종 참고'!$B$11:$B$20,'#각종 참고'!$D$11:$D$20)</f>
        <v>0</v>
      </c>
      <c r="AM575" s="27">
        <v>1</v>
      </c>
      <c r="AN575" s="27">
        <v>1</v>
      </c>
      <c r="AO575" s="124">
        <f t="shared" si="469"/>
        <v>1</v>
      </c>
      <c r="AP575" s="27">
        <v>1</v>
      </c>
      <c r="AQ575" s="21">
        <v>13117021</v>
      </c>
      <c r="AR575" s="68" t="s">
        <v>2606</v>
      </c>
    </row>
    <row r="576" spans="1:47" x14ac:dyDescent="0.3">
      <c r="A576" s="19"/>
      <c r="B576" s="109">
        <v>13127001</v>
      </c>
      <c r="C576" s="99" t="str">
        <f t="shared" si="267"/>
        <v>3</v>
      </c>
      <c r="D576" s="121">
        <f>COUNTIFS($F$33:F576,F576, $G$33:G576,G576, $C$33:C576,C576, $L$33:L576,L576)</f>
        <v>1</v>
      </c>
      <c r="E576" s="20">
        <v>1</v>
      </c>
      <c r="F576" s="20">
        <v>7</v>
      </c>
      <c r="G576" s="20">
        <v>1</v>
      </c>
      <c r="H576" s="103" t="s">
        <v>957</v>
      </c>
      <c r="I576" s="20" t="s">
        <v>1819</v>
      </c>
      <c r="J576" s="104" t="str">
        <f t="shared" si="456"/>
        <v>Item_Name_13127001</v>
      </c>
      <c r="K576" s="20">
        <v>10103001</v>
      </c>
      <c r="L576" s="108">
        <f t="shared" si="461"/>
        <v>2</v>
      </c>
      <c r="M576" s="105">
        <f>IF(D576=0, 0, _xlfn.XLOOKUP($F576,'#무게관련'!$B:$B,'#무게관련'!$C:$C)*_xlfn.XLOOKUP($L576,'#무게관련'!$F:$F,'#무게관련'!$G:$G)*100)</f>
        <v>4000</v>
      </c>
      <c r="N576" s="20">
        <v>20600</v>
      </c>
      <c r="O576" s="20">
        <v>3</v>
      </c>
      <c r="P576" s="20">
        <v>15</v>
      </c>
      <c r="Q576" s="20">
        <v>1</v>
      </c>
      <c r="R576" s="20">
        <v>100</v>
      </c>
      <c r="S576" s="20">
        <v>1</v>
      </c>
      <c r="T576" s="20" t="s">
        <v>1885</v>
      </c>
      <c r="U576" s="104" t="str">
        <f t="shared" si="453"/>
        <v>item_bg_grade_02</v>
      </c>
      <c r="V576" s="20" t="s">
        <v>502</v>
      </c>
      <c r="W576" s="20" t="s">
        <v>400</v>
      </c>
      <c r="X576" s="104">
        <v>0</v>
      </c>
      <c r="Y576" s="104">
        <v>0</v>
      </c>
      <c r="Z576" s="104">
        <v>0</v>
      </c>
      <c r="AA576" s="104">
        <v>0</v>
      </c>
      <c r="AB576" s="104">
        <v>0</v>
      </c>
      <c r="AC576" s="104">
        <v>0</v>
      </c>
      <c r="AD576" s="142">
        <v>0</v>
      </c>
      <c r="AE576" s="112">
        <f t="shared" si="462"/>
        <v>20</v>
      </c>
      <c r="AF576" s="70">
        <v>3207010</v>
      </c>
      <c r="AG576" s="105" cm="1">
        <f t="array" ref="AG576">_xlfn.SWITCH(L576,3,1,
           4,1,
           5,1,
           6,1,0)</f>
        <v>0</v>
      </c>
      <c r="AH576" s="146">
        <f t="shared" si="446"/>
        <v>80101201</v>
      </c>
      <c r="AI576" s="90">
        <v>6000</v>
      </c>
      <c r="AJ576" s="90">
        <v>3002</v>
      </c>
      <c r="AK576" s="27">
        <v>2007</v>
      </c>
      <c r="AL576" s="123">
        <f>_xlfn.XLOOKUP(H576,'#각종 참고'!$B$11:$B$20,'#각종 참고'!$D$11:$D$20)</f>
        <v>0</v>
      </c>
      <c r="AM576" s="27">
        <v>1</v>
      </c>
      <c r="AN576" s="27">
        <v>1</v>
      </c>
      <c r="AO576" s="124">
        <f t="shared" si="469"/>
        <v>1</v>
      </c>
      <c r="AP576" s="27">
        <v>1</v>
      </c>
      <c r="AQ576" s="21">
        <v>13127001</v>
      </c>
      <c r="AR576" s="21" t="s">
        <v>1819</v>
      </c>
      <c r="AS576" s="68"/>
      <c r="AT576" s="68"/>
      <c r="AU576" s="68"/>
    </row>
    <row r="577" spans="1:47" x14ac:dyDescent="0.3">
      <c r="A577" s="19"/>
      <c r="B577" s="109">
        <v>13127002</v>
      </c>
      <c r="C577" s="99" t="str">
        <f t="shared" ref="C577:C578" si="474">IF(K577&gt;0,MID(K577,5, 1), 0)</f>
        <v>3</v>
      </c>
      <c r="D577" s="121">
        <f>COUNTIFS($F$33:F577,F577, $G$33:G577,G577, $C$33:C577,C577, $L$33:L577,L577)</f>
        <v>2</v>
      </c>
      <c r="E577" s="20">
        <v>1</v>
      </c>
      <c r="F577" s="20">
        <v>7</v>
      </c>
      <c r="G577" s="20">
        <v>1</v>
      </c>
      <c r="H577" s="103" t="s">
        <v>957</v>
      </c>
      <c r="I577" s="20" t="s">
        <v>1821</v>
      </c>
      <c r="J577" s="104" t="str">
        <f t="shared" si="456"/>
        <v>Item_Name_13127002</v>
      </c>
      <c r="K577" s="20">
        <v>10103001</v>
      </c>
      <c r="L577" s="108">
        <f t="shared" si="461"/>
        <v>2</v>
      </c>
      <c r="M577" s="105">
        <f>IF(D577=0, 0, _xlfn.XLOOKUP($F577,'#무게관련'!$B:$B,'#무게관련'!$C:$C)*_xlfn.XLOOKUP($L577,'#무게관련'!$F:$F,'#무게관련'!$G:$G)*100)</f>
        <v>4000</v>
      </c>
      <c r="N577" s="20">
        <v>20600</v>
      </c>
      <c r="O577" s="20">
        <v>3</v>
      </c>
      <c r="P577" s="20">
        <v>15</v>
      </c>
      <c r="Q577" s="20">
        <v>1</v>
      </c>
      <c r="R577" s="20">
        <v>100</v>
      </c>
      <c r="S577" s="20">
        <v>1</v>
      </c>
      <c r="T577" s="20" t="s">
        <v>1885</v>
      </c>
      <c r="U577" s="104" t="str">
        <f t="shared" ref="U577:U578" si="475">"item_bg_grade_0"&amp;L577</f>
        <v>item_bg_grade_02</v>
      </c>
      <c r="V577" s="20" t="s">
        <v>502</v>
      </c>
      <c r="W577" s="20" t="s">
        <v>400</v>
      </c>
      <c r="X577" s="104">
        <v>0</v>
      </c>
      <c r="Y577" s="104">
        <v>0</v>
      </c>
      <c r="Z577" s="104">
        <v>0</v>
      </c>
      <c r="AA577" s="104">
        <v>0</v>
      </c>
      <c r="AB577" s="104">
        <v>0</v>
      </c>
      <c r="AC577" s="104">
        <v>0</v>
      </c>
      <c r="AD577" s="142">
        <v>0</v>
      </c>
      <c r="AE577" s="112">
        <f t="shared" si="462"/>
        <v>20</v>
      </c>
      <c r="AF577" s="70">
        <v>3207020</v>
      </c>
      <c r="AG577" s="105" cm="1">
        <f t="array" ref="AG577">_xlfn.SWITCH(L577,3,1,
           4,1,
           5,1,
           6,1,0)</f>
        <v>0</v>
      </c>
      <c r="AH577" s="146">
        <f t="shared" si="446"/>
        <v>80101201</v>
      </c>
      <c r="AI577" s="90">
        <v>6000</v>
      </c>
      <c r="AJ577" s="90">
        <v>3002</v>
      </c>
      <c r="AK577" s="27">
        <v>2007</v>
      </c>
      <c r="AL577" s="123">
        <f>_xlfn.XLOOKUP(H577,'#각종 참고'!$B$11:$B$20,'#각종 참고'!$D$11:$D$20)</f>
        <v>0</v>
      </c>
      <c r="AM577" s="27">
        <v>1</v>
      </c>
      <c r="AN577" s="27">
        <v>1</v>
      </c>
      <c r="AO577" s="124">
        <f t="shared" si="469"/>
        <v>1</v>
      </c>
      <c r="AP577" s="27">
        <v>1</v>
      </c>
      <c r="AQ577" s="21">
        <v>13127011</v>
      </c>
      <c r="AR577" s="21" t="s">
        <v>2607</v>
      </c>
      <c r="AS577" s="68"/>
      <c r="AT577" s="68"/>
      <c r="AU577" s="68"/>
    </row>
    <row r="578" spans="1:47" x14ac:dyDescent="0.3">
      <c r="A578" s="19"/>
      <c r="B578" s="109">
        <v>13127003</v>
      </c>
      <c r="C578" s="99" t="str">
        <f t="shared" si="474"/>
        <v>3</v>
      </c>
      <c r="D578" s="121">
        <f>COUNTIFS($F$33:F578,F578, $G$33:G578,G578, $C$33:C578,C578, $L$33:L578,L578)</f>
        <v>3</v>
      </c>
      <c r="E578" s="20">
        <v>1</v>
      </c>
      <c r="F578" s="20">
        <v>7</v>
      </c>
      <c r="G578" s="20">
        <v>1</v>
      </c>
      <c r="H578" s="103" t="s">
        <v>957</v>
      </c>
      <c r="I578" s="20" t="s">
        <v>2019</v>
      </c>
      <c r="J578" s="104" t="str">
        <f t="shared" si="456"/>
        <v>Item_Name_13127003</v>
      </c>
      <c r="K578" s="20">
        <v>10103001</v>
      </c>
      <c r="L578" s="108">
        <f t="shared" si="461"/>
        <v>2</v>
      </c>
      <c r="M578" s="105">
        <f>IF(D578=0, 0, _xlfn.XLOOKUP($F578,'#무게관련'!$B:$B,'#무게관련'!$C:$C)*_xlfn.XLOOKUP($L578,'#무게관련'!$F:$F,'#무게관련'!$G:$G)*100)</f>
        <v>4000</v>
      </c>
      <c r="N578" s="20">
        <v>20600</v>
      </c>
      <c r="O578" s="20">
        <v>3</v>
      </c>
      <c r="P578" s="20">
        <v>15</v>
      </c>
      <c r="Q578" s="20">
        <v>1</v>
      </c>
      <c r="R578" s="20">
        <v>100</v>
      </c>
      <c r="S578" s="20">
        <v>1</v>
      </c>
      <c r="T578" s="20" t="s">
        <v>1885</v>
      </c>
      <c r="U578" s="104" t="str">
        <f t="shared" si="475"/>
        <v>item_bg_grade_02</v>
      </c>
      <c r="V578" s="20" t="s">
        <v>502</v>
      </c>
      <c r="W578" s="20" t="s">
        <v>400</v>
      </c>
      <c r="X578" s="104">
        <v>0</v>
      </c>
      <c r="Y578" s="104">
        <v>0</v>
      </c>
      <c r="Z578" s="104">
        <v>0</v>
      </c>
      <c r="AA578" s="104">
        <v>0</v>
      </c>
      <c r="AB578" s="104">
        <v>0</v>
      </c>
      <c r="AC578" s="104">
        <v>0</v>
      </c>
      <c r="AD578" s="142">
        <v>0</v>
      </c>
      <c r="AE578" s="112">
        <f t="shared" si="462"/>
        <v>20</v>
      </c>
      <c r="AF578" s="70">
        <v>3207030</v>
      </c>
      <c r="AG578" s="105" cm="1">
        <f t="array" ref="AG578">_xlfn.SWITCH(L578,3,1,
           4,1,
           5,1,
           6,1,0)</f>
        <v>0</v>
      </c>
      <c r="AH578" s="146">
        <f t="shared" si="446"/>
        <v>80101201</v>
      </c>
      <c r="AI578" s="90">
        <v>6000</v>
      </c>
      <c r="AJ578" s="90">
        <v>3002</v>
      </c>
      <c r="AK578" s="27">
        <v>2007</v>
      </c>
      <c r="AL578" s="123">
        <f>_xlfn.XLOOKUP(H578,'#각종 참고'!$B$11:$B$20,'#각종 참고'!$D$11:$D$20)</f>
        <v>0</v>
      </c>
      <c r="AM578" s="27">
        <v>1</v>
      </c>
      <c r="AN578" s="27">
        <v>1</v>
      </c>
      <c r="AO578" s="124">
        <f t="shared" si="469"/>
        <v>1</v>
      </c>
      <c r="AP578" s="27">
        <v>1</v>
      </c>
      <c r="AQ578" s="21">
        <v>13127021</v>
      </c>
      <c r="AR578" s="21" t="s">
        <v>2608</v>
      </c>
      <c r="AS578" s="68"/>
      <c r="AT578" s="68"/>
      <c r="AU578" s="68"/>
    </row>
    <row r="579" spans="1:47" x14ac:dyDescent="0.3">
      <c r="A579" s="19"/>
      <c r="B579" s="109">
        <v>13137001</v>
      </c>
      <c r="C579" s="99" t="str">
        <f t="shared" si="267"/>
        <v>3</v>
      </c>
      <c r="D579" s="121">
        <f>COUNTIFS($F$33:F579,F579, $G$33:G579,G579, $C$33:C579,C579, $L$33:L579,L579)</f>
        <v>1</v>
      </c>
      <c r="E579" s="20">
        <v>1</v>
      </c>
      <c r="F579" s="20">
        <v>7</v>
      </c>
      <c r="G579" s="20">
        <v>1</v>
      </c>
      <c r="H579" s="103" t="s">
        <v>957</v>
      </c>
      <c r="I579" s="20" t="s">
        <v>1820</v>
      </c>
      <c r="J579" s="104" t="str">
        <f t="shared" si="456"/>
        <v>Item_Name_13137001</v>
      </c>
      <c r="K579" s="20">
        <v>10103001</v>
      </c>
      <c r="L579" s="108">
        <f t="shared" si="461"/>
        <v>3</v>
      </c>
      <c r="M579" s="105">
        <f>IF(D579=0, 0, _xlfn.XLOOKUP($F579,'#무게관련'!$B:$B,'#무게관련'!$C:$C)*_xlfn.XLOOKUP($L579,'#무게관련'!$F:$F,'#무게관련'!$G:$G)*100)</f>
        <v>4000</v>
      </c>
      <c r="N579" s="20">
        <v>20600</v>
      </c>
      <c r="O579" s="20">
        <v>3</v>
      </c>
      <c r="P579" s="20">
        <v>15</v>
      </c>
      <c r="Q579" s="20">
        <v>1</v>
      </c>
      <c r="R579" s="20">
        <v>100</v>
      </c>
      <c r="S579" s="20">
        <v>1</v>
      </c>
      <c r="T579" s="20" t="s">
        <v>1886</v>
      </c>
      <c r="U579" s="104" t="str">
        <f t="shared" si="453"/>
        <v>item_bg_grade_03</v>
      </c>
      <c r="V579" s="20" t="s">
        <v>502</v>
      </c>
      <c r="W579" s="20" t="s">
        <v>400</v>
      </c>
      <c r="X579" s="104">
        <v>0</v>
      </c>
      <c r="Y579" s="104">
        <v>0</v>
      </c>
      <c r="Z579" s="104">
        <v>0</v>
      </c>
      <c r="AA579" s="104">
        <v>0</v>
      </c>
      <c r="AB579" s="104">
        <v>0</v>
      </c>
      <c r="AC579" s="104">
        <v>0</v>
      </c>
      <c r="AD579" s="142">
        <v>0</v>
      </c>
      <c r="AE579" s="112">
        <f t="shared" si="462"/>
        <v>30</v>
      </c>
      <c r="AF579" s="70">
        <v>3307010</v>
      </c>
      <c r="AG579" s="105" cm="1">
        <f t="array" ref="AG579">_xlfn.SWITCH(L579,3,1,
           4,1,
           5,1,
           6,1,0)</f>
        <v>1</v>
      </c>
      <c r="AH579" s="146">
        <f t="shared" ref="AH579:AH608" si="476">AH561</f>
        <v>80101301</v>
      </c>
      <c r="AI579" s="90">
        <v>6001</v>
      </c>
      <c r="AJ579" s="90">
        <v>3004</v>
      </c>
      <c r="AK579" s="27">
        <v>3007</v>
      </c>
      <c r="AL579" s="123">
        <f>_xlfn.XLOOKUP(H579,'#각종 참고'!$B$11:$B$20,'#각종 참고'!$D$11:$D$20)</f>
        <v>0</v>
      </c>
      <c r="AM579" s="27">
        <v>1</v>
      </c>
      <c r="AN579" s="27">
        <v>1</v>
      </c>
      <c r="AO579" s="124">
        <f t="shared" si="469"/>
        <v>1</v>
      </c>
      <c r="AP579" s="27">
        <v>1</v>
      </c>
      <c r="AQ579" s="21">
        <v>13137001</v>
      </c>
      <c r="AR579" s="21" t="s">
        <v>1820</v>
      </c>
      <c r="AS579" s="68"/>
      <c r="AT579" s="68"/>
      <c r="AU579" s="68"/>
    </row>
    <row r="580" spans="1:47" x14ac:dyDescent="0.3">
      <c r="A580" s="19"/>
      <c r="B580" s="109">
        <v>13137002</v>
      </c>
      <c r="C580" s="99" t="str">
        <f t="shared" ref="C580:C581" si="477">IF(K580&gt;0,MID(K580,5, 1), 0)</f>
        <v>3</v>
      </c>
      <c r="D580" s="121">
        <f>COUNTIFS($F$33:F580,F580, $G$33:G580,G580, $C$33:C580,C580, $L$33:L580,L580)</f>
        <v>2</v>
      </c>
      <c r="E580" s="20">
        <v>1</v>
      </c>
      <c r="F580" s="20">
        <v>7</v>
      </c>
      <c r="G580" s="20">
        <v>1</v>
      </c>
      <c r="H580" s="103" t="s">
        <v>957</v>
      </c>
      <c r="I580" s="20" t="s">
        <v>1823</v>
      </c>
      <c r="J580" s="104" t="str">
        <f t="shared" si="456"/>
        <v>Item_Name_13137002</v>
      </c>
      <c r="K580" s="20">
        <v>10103001</v>
      </c>
      <c r="L580" s="108">
        <f t="shared" si="461"/>
        <v>3</v>
      </c>
      <c r="M580" s="105">
        <f>IF(D580=0, 0, _xlfn.XLOOKUP($F580,'#무게관련'!$B:$B,'#무게관련'!$C:$C)*_xlfn.XLOOKUP($L580,'#무게관련'!$F:$F,'#무게관련'!$G:$G)*100)</f>
        <v>4000</v>
      </c>
      <c r="N580" s="20">
        <v>20600</v>
      </c>
      <c r="O580" s="20">
        <v>3</v>
      </c>
      <c r="P580" s="20">
        <v>15</v>
      </c>
      <c r="Q580" s="20">
        <v>1</v>
      </c>
      <c r="R580" s="20">
        <v>100</v>
      </c>
      <c r="S580" s="20">
        <v>1</v>
      </c>
      <c r="T580" s="20" t="s">
        <v>1886</v>
      </c>
      <c r="U580" s="104" t="str">
        <f t="shared" ref="U580:U581" si="478">"item_bg_grade_0"&amp;L580</f>
        <v>item_bg_grade_03</v>
      </c>
      <c r="V580" s="20" t="s">
        <v>502</v>
      </c>
      <c r="W580" s="20" t="s">
        <v>400</v>
      </c>
      <c r="X580" s="104">
        <v>0</v>
      </c>
      <c r="Y580" s="104">
        <v>0</v>
      </c>
      <c r="Z580" s="104">
        <v>0</v>
      </c>
      <c r="AA580" s="104">
        <v>0</v>
      </c>
      <c r="AB580" s="104">
        <v>0</v>
      </c>
      <c r="AC580" s="104">
        <v>0</v>
      </c>
      <c r="AD580" s="142">
        <v>0</v>
      </c>
      <c r="AE580" s="112">
        <f t="shared" si="462"/>
        <v>30</v>
      </c>
      <c r="AF580" s="70">
        <v>3307020</v>
      </c>
      <c r="AG580" s="105" cm="1">
        <f t="array" ref="AG580">_xlfn.SWITCH(L580,3,1,
           4,1,
           5,1,
           6,1,0)</f>
        <v>1</v>
      </c>
      <c r="AH580" s="146">
        <f t="shared" si="476"/>
        <v>80101301</v>
      </c>
      <c r="AI580" s="90">
        <v>6001</v>
      </c>
      <c r="AJ580" s="90">
        <v>3004</v>
      </c>
      <c r="AK580" s="27">
        <v>3007</v>
      </c>
      <c r="AL580" s="123">
        <f>_xlfn.XLOOKUP(H580,'#각종 참고'!$B$11:$B$20,'#각종 참고'!$D$11:$D$20)</f>
        <v>0</v>
      </c>
      <c r="AM580" s="27">
        <v>1</v>
      </c>
      <c r="AN580" s="27">
        <v>1</v>
      </c>
      <c r="AO580" s="124">
        <f t="shared" si="469"/>
        <v>1</v>
      </c>
      <c r="AP580" s="27">
        <v>1</v>
      </c>
      <c r="AQ580" s="21">
        <v>13137011</v>
      </c>
      <c r="AR580" s="21" t="s">
        <v>2609</v>
      </c>
      <c r="AS580" s="68"/>
      <c r="AT580" s="68"/>
      <c r="AU580" s="68"/>
    </row>
    <row r="581" spans="1:47" x14ac:dyDescent="0.3">
      <c r="A581" s="19"/>
      <c r="B581" s="109">
        <v>13137003</v>
      </c>
      <c r="C581" s="99" t="str">
        <f t="shared" si="477"/>
        <v>3</v>
      </c>
      <c r="D581" s="121">
        <f>COUNTIFS($F$33:F581,F581, $G$33:G581,G581, $C$33:C581,C581, $L$33:L581,L581)</f>
        <v>3</v>
      </c>
      <c r="E581" s="20">
        <v>1</v>
      </c>
      <c r="F581" s="20">
        <v>7</v>
      </c>
      <c r="G581" s="20">
        <v>1</v>
      </c>
      <c r="H581" s="103" t="s">
        <v>957</v>
      </c>
      <c r="I581" s="20" t="s">
        <v>1822</v>
      </c>
      <c r="J581" s="104" t="str">
        <f t="shared" si="456"/>
        <v>Item_Name_13137003</v>
      </c>
      <c r="K581" s="20">
        <v>10103001</v>
      </c>
      <c r="L581" s="108">
        <f t="shared" si="461"/>
        <v>3</v>
      </c>
      <c r="M581" s="105">
        <f>IF(D581=0, 0, _xlfn.XLOOKUP($F581,'#무게관련'!$B:$B,'#무게관련'!$C:$C)*_xlfn.XLOOKUP($L581,'#무게관련'!$F:$F,'#무게관련'!$G:$G)*100)</f>
        <v>4000</v>
      </c>
      <c r="N581" s="20">
        <v>20600</v>
      </c>
      <c r="O581" s="20">
        <v>3</v>
      </c>
      <c r="P581" s="20">
        <v>15</v>
      </c>
      <c r="Q581" s="20">
        <v>1</v>
      </c>
      <c r="R581" s="20">
        <v>100</v>
      </c>
      <c r="S581" s="20">
        <v>1</v>
      </c>
      <c r="T581" s="20" t="s">
        <v>1886</v>
      </c>
      <c r="U581" s="104" t="str">
        <f t="shared" si="478"/>
        <v>item_bg_grade_03</v>
      </c>
      <c r="V581" s="20" t="s">
        <v>502</v>
      </c>
      <c r="W581" s="20" t="s">
        <v>400</v>
      </c>
      <c r="X581" s="104">
        <v>0</v>
      </c>
      <c r="Y581" s="104">
        <v>0</v>
      </c>
      <c r="Z581" s="104">
        <v>0</v>
      </c>
      <c r="AA581" s="104">
        <v>0</v>
      </c>
      <c r="AB581" s="104">
        <v>0</v>
      </c>
      <c r="AC581" s="104">
        <v>0</v>
      </c>
      <c r="AD581" s="142">
        <v>0</v>
      </c>
      <c r="AE581" s="112">
        <f t="shared" si="462"/>
        <v>30</v>
      </c>
      <c r="AF581" s="70">
        <v>3307030</v>
      </c>
      <c r="AG581" s="105" cm="1">
        <f t="array" ref="AG581">_xlfn.SWITCH(L581,3,1,
           4,1,
           5,1,
           6,1,0)</f>
        <v>1</v>
      </c>
      <c r="AH581" s="146">
        <f t="shared" si="476"/>
        <v>80101301</v>
      </c>
      <c r="AI581" s="90">
        <v>6001</v>
      </c>
      <c r="AJ581" s="90">
        <v>3004</v>
      </c>
      <c r="AK581" s="27">
        <v>3007</v>
      </c>
      <c r="AL581" s="123">
        <f>_xlfn.XLOOKUP(H581,'#각종 참고'!$B$11:$B$20,'#각종 참고'!$D$11:$D$20)</f>
        <v>0</v>
      </c>
      <c r="AM581" s="27">
        <v>1</v>
      </c>
      <c r="AN581" s="27">
        <v>1</v>
      </c>
      <c r="AO581" s="124">
        <f t="shared" si="469"/>
        <v>1</v>
      </c>
      <c r="AP581" s="27">
        <v>1</v>
      </c>
      <c r="AQ581" s="21">
        <v>13137021</v>
      </c>
      <c r="AR581" s="21" t="s">
        <v>2610</v>
      </c>
      <c r="AS581" s="68"/>
      <c r="AT581" s="68"/>
      <c r="AU581" s="68"/>
    </row>
    <row r="582" spans="1:47" x14ac:dyDescent="0.3">
      <c r="A582" s="19"/>
      <c r="B582" s="109">
        <v>13147001</v>
      </c>
      <c r="C582" s="99" t="str">
        <f t="shared" si="267"/>
        <v>3</v>
      </c>
      <c r="D582" s="121">
        <f>COUNTIFS($F$33:F582,F582, $G$33:G582,G582, $C$33:C582,C582, $L$33:L582,L582)</f>
        <v>1</v>
      </c>
      <c r="E582" s="20">
        <v>1</v>
      </c>
      <c r="F582" s="20">
        <v>7</v>
      </c>
      <c r="G582" s="20">
        <v>1</v>
      </c>
      <c r="H582" s="103" t="s">
        <v>957</v>
      </c>
      <c r="I582" s="20" t="s">
        <v>941</v>
      </c>
      <c r="J582" s="104" t="str">
        <f t="shared" si="456"/>
        <v>Item_Name_13147001</v>
      </c>
      <c r="K582" s="20">
        <v>10103001</v>
      </c>
      <c r="L582" s="108">
        <f t="shared" si="461"/>
        <v>4</v>
      </c>
      <c r="M582" s="105">
        <f>IF(D582=0, 0, _xlfn.XLOOKUP($F582,'#무게관련'!$B:$B,'#무게관련'!$C:$C)*_xlfn.XLOOKUP($L582,'#무게관련'!$F:$F,'#무게관련'!$G:$G)*100)</f>
        <v>4000</v>
      </c>
      <c r="N582" s="20">
        <v>20600</v>
      </c>
      <c r="O582" s="20">
        <v>3</v>
      </c>
      <c r="P582" s="20">
        <v>15</v>
      </c>
      <c r="Q582" s="20">
        <v>1</v>
      </c>
      <c r="R582" s="20">
        <v>100</v>
      </c>
      <c r="S582" s="20">
        <v>1</v>
      </c>
      <c r="T582" s="20" t="s">
        <v>1887</v>
      </c>
      <c r="U582" s="104" t="str">
        <f t="shared" si="453"/>
        <v>item_bg_grade_04</v>
      </c>
      <c r="V582" s="20" t="s">
        <v>502</v>
      </c>
      <c r="W582" s="20" t="s">
        <v>400</v>
      </c>
      <c r="X582" s="104">
        <v>0</v>
      </c>
      <c r="Y582" s="104">
        <v>0</v>
      </c>
      <c r="Z582" s="104">
        <v>0</v>
      </c>
      <c r="AA582" s="104">
        <v>0</v>
      </c>
      <c r="AB582" s="104">
        <v>0</v>
      </c>
      <c r="AC582" s="104">
        <v>0</v>
      </c>
      <c r="AD582" s="142">
        <v>0</v>
      </c>
      <c r="AE582" s="112">
        <f t="shared" si="462"/>
        <v>40</v>
      </c>
      <c r="AF582" s="70">
        <v>3407010</v>
      </c>
      <c r="AG582" s="105" cm="1">
        <f t="array" ref="AG582">_xlfn.SWITCH(L582,3,1,
           4,1,
           5,1,
           6,1,0)</f>
        <v>1</v>
      </c>
      <c r="AH582" s="146">
        <f t="shared" si="476"/>
        <v>80101401</v>
      </c>
      <c r="AI582" s="90">
        <v>6002</v>
      </c>
      <c r="AJ582" s="90">
        <v>3006</v>
      </c>
      <c r="AK582" s="27">
        <v>4007</v>
      </c>
      <c r="AL582" s="123">
        <f>_xlfn.XLOOKUP(H582,'#각종 참고'!$B$11:$B$20,'#각종 참고'!$D$11:$D$20)</f>
        <v>0</v>
      </c>
      <c r="AM582" s="27">
        <v>1</v>
      </c>
      <c r="AN582" s="27">
        <v>1</v>
      </c>
      <c r="AO582" s="124">
        <f t="shared" si="469"/>
        <v>1</v>
      </c>
      <c r="AP582" s="27">
        <v>1</v>
      </c>
      <c r="AQ582" s="21">
        <v>13147001</v>
      </c>
      <c r="AR582" s="21" t="s">
        <v>941</v>
      </c>
      <c r="AS582" s="68"/>
      <c r="AT582" s="68"/>
      <c r="AU582" s="68"/>
    </row>
    <row r="583" spans="1:47" x14ac:dyDescent="0.3">
      <c r="A583" s="19"/>
      <c r="B583" s="109">
        <v>13147002</v>
      </c>
      <c r="C583" s="99" t="str">
        <f t="shared" ref="C583:C584" si="479">IF(K583&gt;0,MID(K583,5, 1), 0)</f>
        <v>3</v>
      </c>
      <c r="D583" s="121">
        <f>COUNTIFS($F$33:F583,F583, $G$33:G583,G583, $C$33:C583,C583, $L$33:L583,L583)</f>
        <v>2</v>
      </c>
      <c r="E583" s="20">
        <v>1</v>
      </c>
      <c r="F583" s="20">
        <v>7</v>
      </c>
      <c r="G583" s="20">
        <v>1</v>
      </c>
      <c r="H583" s="103" t="s">
        <v>957</v>
      </c>
      <c r="I583" s="20" t="s">
        <v>2232</v>
      </c>
      <c r="J583" s="104" t="str">
        <f t="shared" si="456"/>
        <v>Item_Name_13147002</v>
      </c>
      <c r="K583" s="20">
        <v>10103001</v>
      </c>
      <c r="L583" s="108">
        <f t="shared" si="461"/>
        <v>4</v>
      </c>
      <c r="M583" s="105">
        <f>IF(D583=0, 0, _xlfn.XLOOKUP($F583,'#무게관련'!$B:$B,'#무게관련'!$C:$C)*_xlfn.XLOOKUP($L583,'#무게관련'!$F:$F,'#무게관련'!$G:$G)*100)</f>
        <v>4000</v>
      </c>
      <c r="N583" s="20">
        <v>20600</v>
      </c>
      <c r="O583" s="20">
        <v>3</v>
      </c>
      <c r="P583" s="20">
        <v>15</v>
      </c>
      <c r="Q583" s="20">
        <v>1</v>
      </c>
      <c r="R583" s="20">
        <v>100</v>
      </c>
      <c r="S583" s="20">
        <v>1</v>
      </c>
      <c r="T583" s="20" t="s">
        <v>1887</v>
      </c>
      <c r="U583" s="104" t="str">
        <f t="shared" ref="U583:U584" si="480">"item_bg_grade_0"&amp;L583</f>
        <v>item_bg_grade_04</v>
      </c>
      <c r="V583" s="20" t="s">
        <v>502</v>
      </c>
      <c r="W583" s="20" t="s">
        <v>400</v>
      </c>
      <c r="X583" s="104">
        <v>0</v>
      </c>
      <c r="Y583" s="104">
        <v>0</v>
      </c>
      <c r="Z583" s="104">
        <v>0</v>
      </c>
      <c r="AA583" s="104">
        <v>0</v>
      </c>
      <c r="AB583" s="104">
        <v>0</v>
      </c>
      <c r="AC583" s="104">
        <v>0</v>
      </c>
      <c r="AD583" s="142">
        <v>0</v>
      </c>
      <c r="AE583" s="112">
        <f t="shared" si="462"/>
        <v>40</v>
      </c>
      <c r="AF583" s="70">
        <v>3407020</v>
      </c>
      <c r="AG583" s="105" cm="1">
        <f t="array" ref="AG583">_xlfn.SWITCH(L583,3,1,
           4,1,
           5,1,
           6,1,0)</f>
        <v>1</v>
      </c>
      <c r="AH583" s="146">
        <f t="shared" si="476"/>
        <v>80101401</v>
      </c>
      <c r="AI583" s="90">
        <v>6002</v>
      </c>
      <c r="AJ583" s="90">
        <v>3006</v>
      </c>
      <c r="AK583" s="27">
        <v>4007</v>
      </c>
      <c r="AL583" s="123">
        <f>_xlfn.XLOOKUP(H583,'#각종 참고'!$B$11:$B$20,'#각종 참고'!$D$11:$D$20)</f>
        <v>0</v>
      </c>
      <c r="AM583" s="27">
        <v>1</v>
      </c>
      <c r="AN583" s="27">
        <v>1</v>
      </c>
      <c r="AO583" s="124">
        <f t="shared" si="469"/>
        <v>1</v>
      </c>
      <c r="AP583" s="27">
        <v>1</v>
      </c>
      <c r="AQ583" s="21">
        <v>13147011</v>
      </c>
      <c r="AR583" s="21" t="s">
        <v>2611</v>
      </c>
      <c r="AS583" s="68"/>
      <c r="AT583" s="68"/>
      <c r="AU583" s="68"/>
    </row>
    <row r="584" spans="1:47" x14ac:dyDescent="0.3">
      <c r="A584" s="19"/>
      <c r="B584" s="109">
        <v>13147003</v>
      </c>
      <c r="C584" s="99" t="str">
        <f t="shared" si="479"/>
        <v>3</v>
      </c>
      <c r="D584" s="121">
        <f>COUNTIFS($F$33:F584,F584, $G$33:G584,G584, $C$33:C584,C584, $L$33:L584,L584)</f>
        <v>3</v>
      </c>
      <c r="E584" s="20">
        <v>1</v>
      </c>
      <c r="F584" s="20">
        <v>7</v>
      </c>
      <c r="G584" s="20">
        <v>1</v>
      </c>
      <c r="H584" s="103" t="s">
        <v>957</v>
      </c>
      <c r="I584" s="20" t="s">
        <v>1995</v>
      </c>
      <c r="J584" s="104" t="str">
        <f t="shared" si="456"/>
        <v>Item_Name_13147003</v>
      </c>
      <c r="K584" s="20">
        <v>10103001</v>
      </c>
      <c r="L584" s="108">
        <f t="shared" si="461"/>
        <v>4</v>
      </c>
      <c r="M584" s="105">
        <f>IF(D584=0, 0, _xlfn.XLOOKUP($F584,'#무게관련'!$B:$B,'#무게관련'!$C:$C)*_xlfn.XLOOKUP($L584,'#무게관련'!$F:$F,'#무게관련'!$G:$G)*100)</f>
        <v>4000</v>
      </c>
      <c r="N584" s="20">
        <v>20600</v>
      </c>
      <c r="O584" s="20">
        <v>3</v>
      </c>
      <c r="P584" s="20">
        <v>15</v>
      </c>
      <c r="Q584" s="20">
        <v>1</v>
      </c>
      <c r="R584" s="20">
        <v>100</v>
      </c>
      <c r="S584" s="20">
        <v>1</v>
      </c>
      <c r="T584" s="20" t="s">
        <v>1887</v>
      </c>
      <c r="U584" s="104" t="str">
        <f t="shared" si="480"/>
        <v>item_bg_grade_04</v>
      </c>
      <c r="V584" s="20" t="s">
        <v>502</v>
      </c>
      <c r="W584" s="20" t="s">
        <v>400</v>
      </c>
      <c r="X584" s="104">
        <v>0</v>
      </c>
      <c r="Y584" s="104">
        <v>0</v>
      </c>
      <c r="Z584" s="104">
        <v>0</v>
      </c>
      <c r="AA584" s="104">
        <v>0</v>
      </c>
      <c r="AB584" s="104">
        <v>0</v>
      </c>
      <c r="AC584" s="104">
        <v>0</v>
      </c>
      <c r="AD584" s="142">
        <v>0</v>
      </c>
      <c r="AE584" s="112">
        <f t="shared" si="462"/>
        <v>40</v>
      </c>
      <c r="AF584" s="70">
        <v>3407030</v>
      </c>
      <c r="AG584" s="105" cm="1">
        <f t="array" ref="AG584">_xlfn.SWITCH(L584,3,1,
           4,1,
           5,1,
           6,1,0)</f>
        <v>1</v>
      </c>
      <c r="AH584" s="146">
        <f t="shared" si="476"/>
        <v>80101401</v>
      </c>
      <c r="AI584" s="90">
        <v>6002</v>
      </c>
      <c r="AJ584" s="90">
        <v>3006</v>
      </c>
      <c r="AK584" s="27">
        <v>4007</v>
      </c>
      <c r="AL584" s="123">
        <f>_xlfn.XLOOKUP(H584,'#각종 참고'!$B$11:$B$20,'#각종 참고'!$D$11:$D$20)</f>
        <v>0</v>
      </c>
      <c r="AM584" s="27">
        <v>1</v>
      </c>
      <c r="AN584" s="27">
        <v>1</v>
      </c>
      <c r="AO584" s="124">
        <f t="shared" si="469"/>
        <v>1</v>
      </c>
      <c r="AP584" s="27">
        <v>1</v>
      </c>
      <c r="AQ584" s="21">
        <v>13147021</v>
      </c>
      <c r="AR584" s="21" t="s">
        <v>2612</v>
      </c>
      <c r="AS584" s="68"/>
      <c r="AT584" s="68"/>
      <c r="AU584" s="68"/>
    </row>
    <row r="585" spans="1:47" x14ac:dyDescent="0.3">
      <c r="A585" s="19"/>
      <c r="B585" s="109">
        <v>13157001</v>
      </c>
      <c r="C585" s="99" t="str">
        <f t="shared" ref="C585:C588" si="481">IF(K585&gt;0,MID(K585,5, 1), 0)</f>
        <v>3</v>
      </c>
      <c r="D585" s="121">
        <f>COUNTIFS($F$33:F585,F585, $G$33:G585,G585, $C$33:C585,C585, $L$33:L585,L585)</f>
        <v>1</v>
      </c>
      <c r="E585" s="20">
        <v>1</v>
      </c>
      <c r="F585" s="20">
        <v>7</v>
      </c>
      <c r="G585" s="20">
        <v>1</v>
      </c>
      <c r="H585" s="103" t="s">
        <v>957</v>
      </c>
      <c r="I585" s="20" t="s">
        <v>945</v>
      </c>
      <c r="J585" s="104" t="str">
        <f t="shared" si="456"/>
        <v>Item_Name_13157001</v>
      </c>
      <c r="K585" s="20">
        <v>10103001</v>
      </c>
      <c r="L585" s="108">
        <f t="shared" si="461"/>
        <v>5</v>
      </c>
      <c r="M585" s="105">
        <f>IF(D585=0, 0, _xlfn.XLOOKUP($F585,'#무게관련'!$B:$B,'#무게관련'!$C:$C)*_xlfn.XLOOKUP($L585,'#무게관련'!$F:$F,'#무게관련'!$G:$G)*100)</f>
        <v>4000</v>
      </c>
      <c r="N585" s="20">
        <v>20600</v>
      </c>
      <c r="O585" s="20">
        <v>3</v>
      </c>
      <c r="P585" s="20">
        <v>15</v>
      </c>
      <c r="Q585" s="20">
        <v>1</v>
      </c>
      <c r="R585" s="20">
        <v>100</v>
      </c>
      <c r="S585" s="20">
        <v>1</v>
      </c>
      <c r="T585" s="20" t="s">
        <v>1888</v>
      </c>
      <c r="U585" s="104" t="str">
        <f t="shared" ref="U585:U588" si="482">"item_bg_grade_0"&amp;L585</f>
        <v>item_bg_grade_05</v>
      </c>
      <c r="V585" s="20" t="s">
        <v>502</v>
      </c>
      <c r="W585" s="20" t="s">
        <v>400</v>
      </c>
      <c r="X585" s="104">
        <v>0</v>
      </c>
      <c r="Y585" s="104">
        <v>0</v>
      </c>
      <c r="Z585" s="104">
        <v>0</v>
      </c>
      <c r="AA585" s="104">
        <v>0</v>
      </c>
      <c r="AB585" s="104">
        <v>0</v>
      </c>
      <c r="AC585" s="104">
        <v>0</v>
      </c>
      <c r="AD585" s="142">
        <v>0</v>
      </c>
      <c r="AE585" s="112">
        <f t="shared" si="462"/>
        <v>50</v>
      </c>
      <c r="AF585" s="70">
        <v>3507010</v>
      </c>
      <c r="AG585" s="105" cm="1">
        <f t="array" ref="AG585">_xlfn.SWITCH(L585,3,1,
           4,1,
           5,1,
           6,1,0)</f>
        <v>1</v>
      </c>
      <c r="AH585" s="146">
        <f t="shared" si="476"/>
        <v>80101501</v>
      </c>
      <c r="AI585" s="90">
        <v>6003</v>
      </c>
      <c r="AJ585" s="90">
        <v>3008</v>
      </c>
      <c r="AK585" s="27">
        <v>5007</v>
      </c>
      <c r="AL585" s="123">
        <f>_xlfn.XLOOKUP(H585,'#각종 참고'!$B$11:$B$20,'#각종 참고'!$D$11:$D$20)</f>
        <v>0</v>
      </c>
      <c r="AM585" s="27">
        <v>1</v>
      </c>
      <c r="AN585" s="27">
        <v>1</v>
      </c>
      <c r="AO585" s="124">
        <f t="shared" si="469"/>
        <v>1</v>
      </c>
      <c r="AP585" s="27">
        <v>1</v>
      </c>
      <c r="AQ585" s="21">
        <v>13157001</v>
      </c>
      <c r="AR585" s="21" t="s">
        <v>945</v>
      </c>
      <c r="AS585" s="68"/>
      <c r="AT585" s="68"/>
      <c r="AU585" s="68"/>
    </row>
    <row r="586" spans="1:47" x14ac:dyDescent="0.3">
      <c r="A586" s="19"/>
      <c r="B586" s="109">
        <v>13157002</v>
      </c>
      <c r="C586" s="99" t="str">
        <f t="shared" ref="C586:C587" si="483">IF(K586&gt;0,MID(K586,5, 1), 0)</f>
        <v>3</v>
      </c>
      <c r="D586" s="121">
        <f>COUNTIFS($F$33:F586,F586, $G$33:G586,G586, $C$33:C586,C586, $L$33:L586,L586)</f>
        <v>2</v>
      </c>
      <c r="E586" s="20">
        <v>1</v>
      </c>
      <c r="F586" s="20">
        <v>7</v>
      </c>
      <c r="G586" s="20">
        <v>1</v>
      </c>
      <c r="H586" s="103" t="s">
        <v>957</v>
      </c>
      <c r="I586" s="20" t="s">
        <v>2233</v>
      </c>
      <c r="J586" s="104" t="str">
        <f t="shared" si="456"/>
        <v>Item_Name_13157002</v>
      </c>
      <c r="K586" s="20">
        <v>10103001</v>
      </c>
      <c r="L586" s="108">
        <f t="shared" si="461"/>
        <v>5</v>
      </c>
      <c r="M586" s="105">
        <f>IF(D586=0, 0, _xlfn.XLOOKUP($F586,'#무게관련'!$B:$B,'#무게관련'!$C:$C)*_xlfn.XLOOKUP($L586,'#무게관련'!$F:$F,'#무게관련'!$G:$G)*100)</f>
        <v>4000</v>
      </c>
      <c r="N586" s="20">
        <v>20600</v>
      </c>
      <c r="O586" s="20">
        <v>3</v>
      </c>
      <c r="P586" s="20">
        <v>15</v>
      </c>
      <c r="Q586" s="20">
        <v>1</v>
      </c>
      <c r="R586" s="20">
        <v>100</v>
      </c>
      <c r="S586" s="20">
        <v>1</v>
      </c>
      <c r="T586" s="20" t="s">
        <v>1888</v>
      </c>
      <c r="U586" s="104" t="str">
        <f t="shared" ref="U586:U587" si="484">"item_bg_grade_0"&amp;L586</f>
        <v>item_bg_grade_05</v>
      </c>
      <c r="V586" s="20" t="s">
        <v>502</v>
      </c>
      <c r="W586" s="20" t="s">
        <v>400</v>
      </c>
      <c r="X586" s="104">
        <v>0</v>
      </c>
      <c r="Y586" s="104">
        <v>0</v>
      </c>
      <c r="Z586" s="104">
        <v>0</v>
      </c>
      <c r="AA586" s="104">
        <v>0</v>
      </c>
      <c r="AB586" s="104">
        <v>0</v>
      </c>
      <c r="AC586" s="104">
        <v>0</v>
      </c>
      <c r="AD586" s="142">
        <v>0</v>
      </c>
      <c r="AE586" s="112">
        <f t="shared" si="462"/>
        <v>50</v>
      </c>
      <c r="AF586" s="70">
        <v>3507020</v>
      </c>
      <c r="AG586" s="105" cm="1">
        <f t="array" ref="AG586">_xlfn.SWITCH(L586,3,1,
           4,1,
           5,1,
           6,1,0)</f>
        <v>1</v>
      </c>
      <c r="AH586" s="146">
        <f t="shared" si="476"/>
        <v>80101501</v>
      </c>
      <c r="AI586" s="90">
        <v>6003</v>
      </c>
      <c r="AJ586" s="90">
        <v>3008</v>
      </c>
      <c r="AK586" s="27">
        <v>5007</v>
      </c>
      <c r="AL586" s="123">
        <f>_xlfn.XLOOKUP(H586,'#각종 참고'!$B$11:$B$20,'#각종 참고'!$D$11:$D$20)</f>
        <v>0</v>
      </c>
      <c r="AM586" s="27">
        <v>1</v>
      </c>
      <c r="AN586" s="27">
        <v>1</v>
      </c>
      <c r="AO586" s="124">
        <f t="shared" si="469"/>
        <v>1</v>
      </c>
      <c r="AP586" s="27">
        <v>1</v>
      </c>
      <c r="AQ586" s="21">
        <v>13157011</v>
      </c>
      <c r="AR586" s="21" t="s">
        <v>2613</v>
      </c>
      <c r="AS586" s="68"/>
      <c r="AT586" s="68"/>
      <c r="AU586" s="68"/>
    </row>
    <row r="587" spans="1:47" x14ac:dyDescent="0.3">
      <c r="A587" s="19"/>
      <c r="B587" s="109">
        <v>13157003</v>
      </c>
      <c r="C587" s="99" t="str">
        <f t="shared" si="483"/>
        <v>3</v>
      </c>
      <c r="D587" s="121">
        <f>COUNTIFS($F$33:F587,F587, $G$33:G587,G587, $C$33:C587,C587, $L$33:L587,L587)</f>
        <v>3</v>
      </c>
      <c r="E587" s="20">
        <v>1</v>
      </c>
      <c r="F587" s="20">
        <v>7</v>
      </c>
      <c r="G587" s="20">
        <v>1</v>
      </c>
      <c r="H587" s="103" t="s">
        <v>957</v>
      </c>
      <c r="I587" s="20" t="s">
        <v>1963</v>
      </c>
      <c r="J587" s="104" t="str">
        <f t="shared" si="456"/>
        <v>Item_Name_13157003</v>
      </c>
      <c r="K587" s="20">
        <v>10103001</v>
      </c>
      <c r="L587" s="108">
        <f t="shared" si="461"/>
        <v>5</v>
      </c>
      <c r="M587" s="105">
        <f>IF(D587=0, 0, _xlfn.XLOOKUP($F587,'#무게관련'!$B:$B,'#무게관련'!$C:$C)*_xlfn.XLOOKUP($L587,'#무게관련'!$F:$F,'#무게관련'!$G:$G)*100)</f>
        <v>4000</v>
      </c>
      <c r="N587" s="20">
        <v>20600</v>
      </c>
      <c r="O587" s="20">
        <v>3</v>
      </c>
      <c r="P587" s="20">
        <v>15</v>
      </c>
      <c r="Q587" s="20">
        <v>1</v>
      </c>
      <c r="R587" s="20">
        <v>100</v>
      </c>
      <c r="S587" s="20">
        <v>1</v>
      </c>
      <c r="T587" s="20" t="s">
        <v>1888</v>
      </c>
      <c r="U587" s="104" t="str">
        <f t="shared" si="484"/>
        <v>item_bg_grade_05</v>
      </c>
      <c r="V587" s="20" t="s">
        <v>502</v>
      </c>
      <c r="W587" s="20" t="s">
        <v>400</v>
      </c>
      <c r="X587" s="104">
        <v>0</v>
      </c>
      <c r="Y587" s="104">
        <v>0</v>
      </c>
      <c r="Z587" s="104">
        <v>0</v>
      </c>
      <c r="AA587" s="104">
        <v>0</v>
      </c>
      <c r="AB587" s="104">
        <v>0</v>
      </c>
      <c r="AC587" s="104">
        <v>0</v>
      </c>
      <c r="AD587" s="142">
        <v>0</v>
      </c>
      <c r="AE587" s="112">
        <f t="shared" si="462"/>
        <v>50</v>
      </c>
      <c r="AF587" s="70">
        <v>3507030</v>
      </c>
      <c r="AG587" s="105" cm="1">
        <f t="array" ref="AG587">_xlfn.SWITCH(L587,3,1,
           4,1,
           5,1,
           6,1,0)</f>
        <v>1</v>
      </c>
      <c r="AH587" s="146">
        <f t="shared" si="476"/>
        <v>80101501</v>
      </c>
      <c r="AI587" s="90">
        <v>6003</v>
      </c>
      <c r="AJ587" s="90">
        <v>3008</v>
      </c>
      <c r="AK587" s="27">
        <v>5007</v>
      </c>
      <c r="AL587" s="123">
        <f>_xlfn.XLOOKUP(H587,'#각종 참고'!$B$11:$B$20,'#각종 참고'!$D$11:$D$20)</f>
        <v>0</v>
      </c>
      <c r="AM587" s="27">
        <v>1</v>
      </c>
      <c r="AN587" s="27">
        <v>1</v>
      </c>
      <c r="AO587" s="124">
        <f t="shared" si="469"/>
        <v>1</v>
      </c>
      <c r="AP587" s="27">
        <v>1</v>
      </c>
      <c r="AQ587" s="21">
        <v>13157021</v>
      </c>
      <c r="AR587" s="21" t="s">
        <v>2614</v>
      </c>
      <c r="AS587" s="68"/>
      <c r="AT587" s="68"/>
      <c r="AU587" s="68"/>
    </row>
    <row r="588" spans="1:47" x14ac:dyDescent="0.3">
      <c r="A588" s="19"/>
      <c r="B588" s="109">
        <v>13167001</v>
      </c>
      <c r="C588" s="99" t="str">
        <f t="shared" si="481"/>
        <v>3</v>
      </c>
      <c r="D588" s="121">
        <f>COUNTIFS($F$33:F588,F588, $G$33:G588,G588, $C$33:C588,C588, $L$33:L588,L588)</f>
        <v>1</v>
      </c>
      <c r="E588" s="20">
        <v>1</v>
      </c>
      <c r="F588" s="20">
        <v>7</v>
      </c>
      <c r="G588" s="20">
        <v>1</v>
      </c>
      <c r="H588" s="103" t="s">
        <v>957</v>
      </c>
      <c r="I588" s="20" t="s">
        <v>1824</v>
      </c>
      <c r="J588" s="104" t="str">
        <f t="shared" si="456"/>
        <v>Item_Name_13167001</v>
      </c>
      <c r="K588" s="20">
        <v>10103001</v>
      </c>
      <c r="L588" s="108">
        <f t="shared" si="461"/>
        <v>6</v>
      </c>
      <c r="M588" s="105">
        <f>IF(D588=0, 0, _xlfn.XLOOKUP($F588,'#무게관련'!$B:$B,'#무게관련'!$C:$C)*_xlfn.XLOOKUP($L588,'#무게관련'!$F:$F,'#무게관련'!$G:$G)*100)</f>
        <v>4000</v>
      </c>
      <c r="N588" s="20">
        <v>20600</v>
      </c>
      <c r="O588" s="20">
        <v>3</v>
      </c>
      <c r="P588" s="20">
        <v>15</v>
      </c>
      <c r="Q588" s="20">
        <v>1</v>
      </c>
      <c r="R588" s="20">
        <v>100</v>
      </c>
      <c r="S588" s="20">
        <v>1</v>
      </c>
      <c r="T588" s="109" t="s">
        <v>1888</v>
      </c>
      <c r="U588" s="104" t="str">
        <f t="shared" si="482"/>
        <v>item_bg_grade_06</v>
      </c>
      <c r="V588" s="20" t="s">
        <v>502</v>
      </c>
      <c r="W588" s="20" t="s">
        <v>400</v>
      </c>
      <c r="X588" s="104">
        <v>0</v>
      </c>
      <c r="Y588" s="104">
        <v>0</v>
      </c>
      <c r="Z588" s="104">
        <v>0</v>
      </c>
      <c r="AA588" s="104">
        <v>0</v>
      </c>
      <c r="AB588" s="104">
        <v>0</v>
      </c>
      <c r="AC588" s="104">
        <v>0</v>
      </c>
      <c r="AD588" s="142">
        <v>0</v>
      </c>
      <c r="AE588" s="112">
        <f t="shared" si="462"/>
        <v>70</v>
      </c>
      <c r="AF588" s="70">
        <v>3607010</v>
      </c>
      <c r="AG588" s="105" cm="1">
        <f t="array" ref="AG588">_xlfn.SWITCH(L588,3,1,
           4,1,
           5,1,
           6,1,0)</f>
        <v>1</v>
      </c>
      <c r="AH588" s="146">
        <f t="shared" si="476"/>
        <v>0</v>
      </c>
      <c r="AI588" s="90">
        <v>6004</v>
      </c>
      <c r="AJ588" s="90">
        <v>3010</v>
      </c>
      <c r="AK588" s="27">
        <v>6007</v>
      </c>
      <c r="AL588" s="123">
        <f>_xlfn.XLOOKUP(H588,'#각종 참고'!$B$11:$B$20,'#각종 참고'!$D$11:$D$20)</f>
        <v>0</v>
      </c>
      <c r="AM588" s="27">
        <v>1</v>
      </c>
      <c r="AN588" s="27">
        <v>1</v>
      </c>
      <c r="AO588" s="124">
        <f t="shared" si="469"/>
        <v>1</v>
      </c>
      <c r="AP588" s="27">
        <v>1</v>
      </c>
      <c r="AQ588" s="21">
        <v>13167001</v>
      </c>
      <c r="AR588" s="21" t="s">
        <v>1824</v>
      </c>
      <c r="AS588" s="68"/>
      <c r="AT588" s="68"/>
      <c r="AU588" s="68"/>
    </row>
    <row r="589" spans="1:47" x14ac:dyDescent="0.3">
      <c r="A589" s="19" t="s">
        <v>513</v>
      </c>
      <c r="B589" s="109">
        <v>13167002</v>
      </c>
      <c r="C589" s="99" t="str">
        <f t="shared" ref="C589:C590" si="485">IF(K589&gt;0,MID(K589,5, 1), 0)</f>
        <v>3</v>
      </c>
      <c r="D589" s="121">
        <f>COUNTIFS($F$33:F589,F589, $G$33:G589,G589, $C$33:C589,C589, $L$33:L589,L589)</f>
        <v>2</v>
      </c>
      <c r="E589" s="20">
        <v>1</v>
      </c>
      <c r="F589" s="20">
        <v>7</v>
      </c>
      <c r="G589" s="20">
        <v>1</v>
      </c>
      <c r="H589" s="103" t="s">
        <v>957</v>
      </c>
      <c r="I589" s="20" t="s">
        <v>2235</v>
      </c>
      <c r="J589" s="104" t="str">
        <f t="shared" si="456"/>
        <v>Item_Name_13167002</v>
      </c>
      <c r="K589" s="20">
        <v>10103001</v>
      </c>
      <c r="L589" s="108">
        <f t="shared" si="461"/>
        <v>6</v>
      </c>
      <c r="M589" s="105">
        <f>IF(D589=0, 0, _xlfn.XLOOKUP($F589,'#무게관련'!$B:$B,'#무게관련'!$C:$C)*_xlfn.XLOOKUP($L589,'#무게관련'!$F:$F,'#무게관련'!$G:$G)*100)</f>
        <v>4000</v>
      </c>
      <c r="N589" s="20">
        <v>20600</v>
      </c>
      <c r="O589" s="20">
        <v>3</v>
      </c>
      <c r="P589" s="20">
        <v>15</v>
      </c>
      <c r="Q589" s="20">
        <v>1</v>
      </c>
      <c r="R589" s="20">
        <v>100</v>
      </c>
      <c r="S589" s="20">
        <v>1</v>
      </c>
      <c r="T589" s="109" t="s">
        <v>1888</v>
      </c>
      <c r="U589" s="104" t="str">
        <f t="shared" ref="U589:U590" si="486">"item_bg_grade_0"&amp;L589</f>
        <v>item_bg_grade_06</v>
      </c>
      <c r="V589" s="20" t="s">
        <v>502</v>
      </c>
      <c r="W589" s="20" t="s">
        <v>400</v>
      </c>
      <c r="X589" s="104">
        <v>0</v>
      </c>
      <c r="Y589" s="104">
        <v>0</v>
      </c>
      <c r="Z589" s="104">
        <v>0</v>
      </c>
      <c r="AA589" s="104">
        <v>0</v>
      </c>
      <c r="AB589" s="104">
        <v>0</v>
      </c>
      <c r="AC589" s="104">
        <v>0</v>
      </c>
      <c r="AD589" s="142">
        <v>0</v>
      </c>
      <c r="AE589" s="112">
        <f t="shared" si="462"/>
        <v>70</v>
      </c>
      <c r="AF589" s="70">
        <v>3607010</v>
      </c>
      <c r="AG589" s="105" cm="1">
        <f t="array" ref="AG589">_xlfn.SWITCH(L589,3,1,
           4,1,
           5,1,
           6,1,0)</f>
        <v>1</v>
      </c>
      <c r="AH589" s="146">
        <f t="shared" si="476"/>
        <v>0</v>
      </c>
      <c r="AI589" s="90">
        <v>6004</v>
      </c>
      <c r="AJ589" s="90">
        <v>3010</v>
      </c>
      <c r="AK589" s="27">
        <v>6007</v>
      </c>
      <c r="AL589" s="123">
        <f>_xlfn.XLOOKUP(H589,'#각종 참고'!$B$11:$B$20,'#각종 참고'!$D$11:$D$20)</f>
        <v>0</v>
      </c>
      <c r="AM589" s="27">
        <v>1</v>
      </c>
      <c r="AN589" s="27">
        <v>1</v>
      </c>
      <c r="AO589" s="124">
        <f t="shared" si="469"/>
        <v>1</v>
      </c>
      <c r="AP589" s="27">
        <v>1</v>
      </c>
      <c r="AQ589" s="21">
        <v>13167011</v>
      </c>
      <c r="AR589" s="21" t="s">
        <v>2615</v>
      </c>
      <c r="AS589" s="68"/>
      <c r="AT589" s="68"/>
      <c r="AU589" s="68"/>
    </row>
    <row r="590" spans="1:47" x14ac:dyDescent="0.3">
      <c r="A590" s="19" t="s">
        <v>513</v>
      </c>
      <c r="B590" s="109">
        <v>13167003</v>
      </c>
      <c r="C590" s="99" t="str">
        <f t="shared" si="485"/>
        <v>3</v>
      </c>
      <c r="D590" s="121">
        <f>COUNTIFS($F$33:F590,F590, $G$33:G590,G590, $C$33:C590,C590, $L$33:L590,L590)</f>
        <v>3</v>
      </c>
      <c r="E590" s="20">
        <v>1</v>
      </c>
      <c r="F590" s="20">
        <v>7</v>
      </c>
      <c r="G590" s="20">
        <v>1</v>
      </c>
      <c r="H590" s="103" t="s">
        <v>957</v>
      </c>
      <c r="I590" s="20" t="s">
        <v>2234</v>
      </c>
      <c r="J590" s="104" t="str">
        <f t="shared" si="456"/>
        <v>Item_Name_13167003</v>
      </c>
      <c r="K590" s="20">
        <v>10103001</v>
      </c>
      <c r="L590" s="108">
        <f t="shared" si="461"/>
        <v>6</v>
      </c>
      <c r="M590" s="105">
        <f>IF(D590=0, 0, _xlfn.XLOOKUP($F590,'#무게관련'!$B:$B,'#무게관련'!$C:$C)*_xlfn.XLOOKUP($L590,'#무게관련'!$F:$F,'#무게관련'!$G:$G)*100)</f>
        <v>4000</v>
      </c>
      <c r="N590" s="20">
        <v>20600</v>
      </c>
      <c r="O590" s="20">
        <v>3</v>
      </c>
      <c r="P590" s="20">
        <v>15</v>
      </c>
      <c r="Q590" s="20">
        <v>1</v>
      </c>
      <c r="R590" s="20">
        <v>100</v>
      </c>
      <c r="S590" s="20">
        <v>1</v>
      </c>
      <c r="T590" s="109" t="s">
        <v>1888</v>
      </c>
      <c r="U590" s="104" t="str">
        <f t="shared" si="486"/>
        <v>item_bg_grade_06</v>
      </c>
      <c r="V590" s="20" t="s">
        <v>502</v>
      </c>
      <c r="W590" s="20" t="s">
        <v>400</v>
      </c>
      <c r="X590" s="104">
        <v>0</v>
      </c>
      <c r="Y590" s="104">
        <v>0</v>
      </c>
      <c r="Z590" s="104">
        <v>0</v>
      </c>
      <c r="AA590" s="104">
        <v>0</v>
      </c>
      <c r="AB590" s="104">
        <v>0</v>
      </c>
      <c r="AC590" s="104">
        <v>0</v>
      </c>
      <c r="AD590" s="142">
        <v>0</v>
      </c>
      <c r="AE590" s="112">
        <f t="shared" si="462"/>
        <v>70</v>
      </c>
      <c r="AF590" s="70">
        <v>3607010</v>
      </c>
      <c r="AG590" s="105" cm="1">
        <f t="array" ref="AG590">_xlfn.SWITCH(L590,3,1,
           4,1,
           5,1,
           6,1,0)</f>
        <v>1</v>
      </c>
      <c r="AH590" s="146">
        <f t="shared" si="476"/>
        <v>0</v>
      </c>
      <c r="AI590" s="90">
        <v>6004</v>
      </c>
      <c r="AJ590" s="90">
        <v>3010</v>
      </c>
      <c r="AK590" s="27">
        <v>6007</v>
      </c>
      <c r="AL590" s="123">
        <f>_xlfn.XLOOKUP(H590,'#각종 참고'!$B$11:$B$20,'#각종 참고'!$D$11:$D$20)</f>
        <v>0</v>
      </c>
      <c r="AM590" s="27">
        <v>1</v>
      </c>
      <c r="AN590" s="27">
        <v>1</v>
      </c>
      <c r="AO590" s="124">
        <f t="shared" si="469"/>
        <v>1</v>
      </c>
      <c r="AP590" s="27">
        <v>1</v>
      </c>
      <c r="AQ590" s="21">
        <v>13167021</v>
      </c>
      <c r="AR590" s="21" t="s">
        <v>2616</v>
      </c>
      <c r="AS590" s="68"/>
      <c r="AT590" s="68"/>
      <c r="AU590" s="68"/>
    </row>
    <row r="591" spans="1:47" s="68" customFormat="1" x14ac:dyDescent="0.3">
      <c r="A591" s="65"/>
      <c r="B591" s="110">
        <v>14117001</v>
      </c>
      <c r="C591" s="99" t="str">
        <f t="shared" si="267"/>
        <v>4</v>
      </c>
      <c r="D591" s="120">
        <f>COUNTIFS($F$33:F591,F591, $G$33:G591,G591, $C$33:C591,C591, $L$33:L591,L591)</f>
        <v>1</v>
      </c>
      <c r="E591" s="20">
        <v>1</v>
      </c>
      <c r="F591" s="66">
        <v>7</v>
      </c>
      <c r="G591" s="66">
        <v>1</v>
      </c>
      <c r="H591" s="103" t="s">
        <v>957</v>
      </c>
      <c r="I591" s="66" t="s">
        <v>1825</v>
      </c>
      <c r="J591" s="104" t="str">
        <f t="shared" si="456"/>
        <v>Item_Name_14117001</v>
      </c>
      <c r="K591" s="66">
        <v>10104001</v>
      </c>
      <c r="L591" s="106">
        <f t="shared" si="461"/>
        <v>1</v>
      </c>
      <c r="M591" s="105">
        <f>IF(D591=0, 0, _xlfn.XLOOKUP($F591,'#무게관련'!$B:$B,'#무게관련'!$C:$C)*_xlfn.XLOOKUP($L591,'#무게관련'!$F:$F,'#무게관련'!$G:$G)*100)</f>
        <v>4000</v>
      </c>
      <c r="N591" s="20">
        <v>20600</v>
      </c>
      <c r="O591" s="20">
        <v>4</v>
      </c>
      <c r="P591" s="66">
        <v>15</v>
      </c>
      <c r="Q591" s="20">
        <v>1</v>
      </c>
      <c r="R591" s="66">
        <v>100</v>
      </c>
      <c r="S591" s="66">
        <v>1</v>
      </c>
      <c r="T591" s="66" t="s">
        <v>1884</v>
      </c>
      <c r="U591" s="104" t="str">
        <f t="shared" si="453"/>
        <v>item_bg_grade_01</v>
      </c>
      <c r="V591" s="66" t="s">
        <v>502</v>
      </c>
      <c r="W591" s="66" t="s">
        <v>400</v>
      </c>
      <c r="X591" s="104">
        <v>0</v>
      </c>
      <c r="Y591" s="104">
        <v>0</v>
      </c>
      <c r="Z591" s="104">
        <v>0</v>
      </c>
      <c r="AA591" s="104">
        <v>0</v>
      </c>
      <c r="AB591" s="104">
        <v>0</v>
      </c>
      <c r="AC591" s="104">
        <v>0</v>
      </c>
      <c r="AD591" s="142">
        <v>0</v>
      </c>
      <c r="AE591" s="111">
        <f t="shared" si="462"/>
        <v>10</v>
      </c>
      <c r="AF591" s="70">
        <v>4107010</v>
      </c>
      <c r="AG591" s="105" cm="1">
        <f t="array" ref="AG591">_xlfn.SWITCH(L591,3,1,
           4,1,
           5,1,
           6,1,0)</f>
        <v>0</v>
      </c>
      <c r="AH591" s="146">
        <f t="shared" si="476"/>
        <v>80101101</v>
      </c>
      <c r="AI591" s="90">
        <v>0</v>
      </c>
      <c r="AJ591" s="90">
        <v>0</v>
      </c>
      <c r="AK591" s="27">
        <v>0</v>
      </c>
      <c r="AL591" s="123">
        <f>_xlfn.XLOOKUP(H591,'#각종 참고'!$B$11:$B$20,'#각종 참고'!$D$11:$D$20)</f>
        <v>0</v>
      </c>
      <c r="AM591" s="27">
        <v>1</v>
      </c>
      <c r="AN591" s="27">
        <v>1</v>
      </c>
      <c r="AO591" s="124">
        <f t="shared" si="469"/>
        <v>1</v>
      </c>
      <c r="AP591" s="27">
        <v>1</v>
      </c>
      <c r="AQ591" s="21">
        <v>14117001</v>
      </c>
      <c r="AR591" s="68" t="s">
        <v>1825</v>
      </c>
    </row>
    <row r="592" spans="1:47" s="68" customFormat="1" x14ac:dyDescent="0.3">
      <c r="A592" s="65"/>
      <c r="B592" s="110">
        <v>14117002</v>
      </c>
      <c r="C592" s="99" t="str">
        <f t="shared" ref="C592:C593" si="487">IF(K592&gt;0,MID(K592,5, 1), 0)</f>
        <v>4</v>
      </c>
      <c r="D592" s="120">
        <f>COUNTIFS($F$33:F592,F592, $G$33:G592,G592, $C$33:C592,C592, $L$33:L592,L592)</f>
        <v>2</v>
      </c>
      <c r="E592" s="20">
        <v>1</v>
      </c>
      <c r="F592" s="66">
        <v>7</v>
      </c>
      <c r="G592" s="66">
        <v>1</v>
      </c>
      <c r="H592" s="103" t="s">
        <v>957</v>
      </c>
      <c r="I592" s="66" t="s">
        <v>2237</v>
      </c>
      <c r="J592" s="104" t="str">
        <f t="shared" si="456"/>
        <v>Item_Name_14117002</v>
      </c>
      <c r="K592" s="66">
        <v>10104001</v>
      </c>
      <c r="L592" s="106">
        <f t="shared" si="461"/>
        <v>1</v>
      </c>
      <c r="M592" s="105">
        <f>IF(D592=0, 0, _xlfn.XLOOKUP($F592,'#무게관련'!$B:$B,'#무게관련'!$C:$C)*_xlfn.XLOOKUP($L592,'#무게관련'!$F:$F,'#무게관련'!$G:$G)*100)</f>
        <v>4000</v>
      </c>
      <c r="N592" s="20">
        <v>20600</v>
      </c>
      <c r="O592" s="20">
        <v>4</v>
      </c>
      <c r="P592" s="66">
        <v>15</v>
      </c>
      <c r="Q592" s="20">
        <v>1</v>
      </c>
      <c r="R592" s="66">
        <v>100</v>
      </c>
      <c r="S592" s="66">
        <v>1</v>
      </c>
      <c r="T592" s="66" t="s">
        <v>1884</v>
      </c>
      <c r="U592" s="104" t="str">
        <f t="shared" ref="U592:U593" si="488">"item_bg_grade_0"&amp;L592</f>
        <v>item_bg_grade_01</v>
      </c>
      <c r="V592" s="66" t="s">
        <v>502</v>
      </c>
      <c r="W592" s="66" t="s">
        <v>400</v>
      </c>
      <c r="X592" s="104">
        <v>0</v>
      </c>
      <c r="Y592" s="104">
        <v>0</v>
      </c>
      <c r="Z592" s="104">
        <v>0</v>
      </c>
      <c r="AA592" s="104">
        <v>0</v>
      </c>
      <c r="AB592" s="104">
        <v>0</v>
      </c>
      <c r="AC592" s="104">
        <v>0</v>
      </c>
      <c r="AD592" s="142">
        <v>0</v>
      </c>
      <c r="AE592" s="111">
        <f t="shared" si="462"/>
        <v>10</v>
      </c>
      <c r="AF592" s="70">
        <v>4107020</v>
      </c>
      <c r="AG592" s="105" cm="1">
        <f t="array" ref="AG592">_xlfn.SWITCH(L592,3,1,
           4,1,
           5,1,
           6,1,0)</f>
        <v>0</v>
      </c>
      <c r="AH592" s="146">
        <f t="shared" si="476"/>
        <v>80101101</v>
      </c>
      <c r="AI592" s="90">
        <v>0</v>
      </c>
      <c r="AJ592" s="90">
        <v>0</v>
      </c>
      <c r="AK592" s="27">
        <v>0</v>
      </c>
      <c r="AL592" s="123">
        <f>_xlfn.XLOOKUP(H592,'#각종 참고'!$B$11:$B$20,'#각종 참고'!$D$11:$D$20)</f>
        <v>0</v>
      </c>
      <c r="AM592" s="27">
        <v>1</v>
      </c>
      <c r="AN592" s="27">
        <v>1</v>
      </c>
      <c r="AO592" s="124">
        <f t="shared" si="469"/>
        <v>1</v>
      </c>
      <c r="AP592" s="27">
        <v>1</v>
      </c>
      <c r="AQ592" s="21">
        <v>14117011</v>
      </c>
      <c r="AR592" s="68" t="s">
        <v>2617</v>
      </c>
    </row>
    <row r="593" spans="1:47" s="68" customFormat="1" x14ac:dyDescent="0.3">
      <c r="A593" s="65"/>
      <c r="B593" s="110">
        <v>14117003</v>
      </c>
      <c r="C593" s="99" t="str">
        <f t="shared" si="487"/>
        <v>4</v>
      </c>
      <c r="D593" s="120">
        <f>COUNTIFS($F$33:F593,F593, $G$33:G593,G593, $C$33:C593,C593, $L$33:L593,L593)</f>
        <v>3</v>
      </c>
      <c r="E593" s="20">
        <v>1</v>
      </c>
      <c r="F593" s="66">
        <v>7</v>
      </c>
      <c r="G593" s="66">
        <v>1</v>
      </c>
      <c r="H593" s="103" t="s">
        <v>957</v>
      </c>
      <c r="I593" s="66" t="s">
        <v>2236</v>
      </c>
      <c r="J593" s="104" t="str">
        <f t="shared" si="456"/>
        <v>Item_Name_14117003</v>
      </c>
      <c r="K593" s="66">
        <v>10104001</v>
      </c>
      <c r="L593" s="106">
        <f t="shared" si="461"/>
        <v>1</v>
      </c>
      <c r="M593" s="105">
        <f>IF(D593=0, 0, _xlfn.XLOOKUP($F593,'#무게관련'!$B:$B,'#무게관련'!$C:$C)*_xlfn.XLOOKUP($L593,'#무게관련'!$F:$F,'#무게관련'!$G:$G)*100)</f>
        <v>4000</v>
      </c>
      <c r="N593" s="20">
        <v>20600</v>
      </c>
      <c r="O593" s="20">
        <v>4</v>
      </c>
      <c r="P593" s="66">
        <v>15</v>
      </c>
      <c r="Q593" s="20">
        <v>1</v>
      </c>
      <c r="R593" s="66">
        <v>100</v>
      </c>
      <c r="S593" s="66">
        <v>1</v>
      </c>
      <c r="T593" s="66" t="s">
        <v>1884</v>
      </c>
      <c r="U593" s="104" t="str">
        <f t="shared" si="488"/>
        <v>item_bg_grade_01</v>
      </c>
      <c r="V593" s="66" t="s">
        <v>502</v>
      </c>
      <c r="W593" s="66" t="s">
        <v>400</v>
      </c>
      <c r="X593" s="104">
        <v>0</v>
      </c>
      <c r="Y593" s="104">
        <v>0</v>
      </c>
      <c r="Z593" s="104">
        <v>0</v>
      </c>
      <c r="AA593" s="104">
        <v>0</v>
      </c>
      <c r="AB593" s="104">
        <v>0</v>
      </c>
      <c r="AC593" s="104">
        <v>0</v>
      </c>
      <c r="AD593" s="142">
        <v>0</v>
      </c>
      <c r="AE593" s="111">
        <f t="shared" si="462"/>
        <v>10</v>
      </c>
      <c r="AF593" s="70">
        <v>4107030</v>
      </c>
      <c r="AG593" s="105" cm="1">
        <f t="array" ref="AG593">_xlfn.SWITCH(L593,3,1,
           4,1,
           5,1,
           6,1,0)</f>
        <v>0</v>
      </c>
      <c r="AH593" s="146">
        <f t="shared" si="476"/>
        <v>80101101</v>
      </c>
      <c r="AI593" s="90">
        <v>0</v>
      </c>
      <c r="AJ593" s="90">
        <v>0</v>
      </c>
      <c r="AK593" s="27">
        <v>0</v>
      </c>
      <c r="AL593" s="123">
        <f>_xlfn.XLOOKUP(H593,'#각종 참고'!$B$11:$B$20,'#각종 참고'!$D$11:$D$20)</f>
        <v>0</v>
      </c>
      <c r="AM593" s="27">
        <v>1</v>
      </c>
      <c r="AN593" s="27">
        <v>1</v>
      </c>
      <c r="AO593" s="124">
        <f t="shared" si="469"/>
        <v>1</v>
      </c>
      <c r="AP593" s="27">
        <v>1</v>
      </c>
      <c r="AQ593" s="21">
        <v>14117021</v>
      </c>
      <c r="AR593" s="68" t="s">
        <v>2618</v>
      </c>
    </row>
    <row r="594" spans="1:47" x14ac:dyDescent="0.3">
      <c r="A594" s="19"/>
      <c r="B594" s="109">
        <v>14127001</v>
      </c>
      <c r="C594" s="99" t="str">
        <f t="shared" si="267"/>
        <v>4</v>
      </c>
      <c r="D594" s="121">
        <f>COUNTIFS($F$33:F594,F594, $G$33:G594,G594, $C$33:C594,C594, $L$33:L594,L594)</f>
        <v>1</v>
      </c>
      <c r="E594" s="20">
        <v>1</v>
      </c>
      <c r="F594" s="20">
        <v>7</v>
      </c>
      <c r="G594" s="20">
        <v>1</v>
      </c>
      <c r="H594" s="103" t="s">
        <v>957</v>
      </c>
      <c r="I594" s="20" t="s">
        <v>1826</v>
      </c>
      <c r="J594" s="104" t="str">
        <f t="shared" si="456"/>
        <v>Item_Name_14127001</v>
      </c>
      <c r="K594" s="20">
        <v>10104001</v>
      </c>
      <c r="L594" s="107">
        <f t="shared" si="461"/>
        <v>2</v>
      </c>
      <c r="M594" s="105">
        <f>IF(D594=0, 0, _xlfn.XLOOKUP($F594,'#무게관련'!$B:$B,'#무게관련'!$C:$C)*_xlfn.XLOOKUP($L594,'#무게관련'!$F:$F,'#무게관련'!$G:$G)*100)</f>
        <v>4000</v>
      </c>
      <c r="N594" s="20">
        <v>20600</v>
      </c>
      <c r="O594" s="20">
        <v>4</v>
      </c>
      <c r="P594" s="20">
        <v>15</v>
      </c>
      <c r="Q594" s="20">
        <v>1</v>
      </c>
      <c r="R594" s="20">
        <v>100</v>
      </c>
      <c r="S594" s="20">
        <v>1</v>
      </c>
      <c r="T594" s="20" t="s">
        <v>1885</v>
      </c>
      <c r="U594" s="104" t="str">
        <f t="shared" si="453"/>
        <v>item_bg_grade_02</v>
      </c>
      <c r="V594" s="20" t="s">
        <v>502</v>
      </c>
      <c r="W594" s="20" t="s">
        <v>400</v>
      </c>
      <c r="X594" s="104">
        <v>0</v>
      </c>
      <c r="Y594" s="104">
        <v>0</v>
      </c>
      <c r="Z594" s="104">
        <v>0</v>
      </c>
      <c r="AA594" s="104">
        <v>0</v>
      </c>
      <c r="AB594" s="104">
        <v>0</v>
      </c>
      <c r="AC594" s="104">
        <v>0</v>
      </c>
      <c r="AD594" s="142">
        <v>0</v>
      </c>
      <c r="AE594" s="112">
        <f t="shared" si="462"/>
        <v>20</v>
      </c>
      <c r="AF594" s="70">
        <v>4207010</v>
      </c>
      <c r="AG594" s="105" cm="1">
        <f t="array" ref="AG594">_xlfn.SWITCH(L594,3,1,
           4,1,
           5,1,
           6,1,0)</f>
        <v>0</v>
      </c>
      <c r="AH594" s="146">
        <f t="shared" si="476"/>
        <v>80101201</v>
      </c>
      <c r="AI594" s="90">
        <v>6000</v>
      </c>
      <c r="AJ594" s="90">
        <v>3002</v>
      </c>
      <c r="AK594" s="27">
        <v>2007</v>
      </c>
      <c r="AL594" s="123">
        <f>_xlfn.XLOOKUP(H594,'#각종 참고'!$B$11:$B$20,'#각종 참고'!$D$11:$D$20)</f>
        <v>0</v>
      </c>
      <c r="AM594" s="27">
        <v>1</v>
      </c>
      <c r="AN594" s="27">
        <v>1</v>
      </c>
      <c r="AO594" s="124">
        <f t="shared" si="469"/>
        <v>1</v>
      </c>
      <c r="AP594" s="27">
        <v>1</v>
      </c>
      <c r="AQ594" s="21">
        <v>14127001</v>
      </c>
      <c r="AR594" s="21" t="s">
        <v>1826</v>
      </c>
      <c r="AS594" s="68"/>
      <c r="AT594" s="68"/>
      <c r="AU594" s="68"/>
    </row>
    <row r="595" spans="1:47" x14ac:dyDescent="0.3">
      <c r="A595" s="19"/>
      <c r="B595" s="109">
        <v>14127002</v>
      </c>
      <c r="C595" s="99" t="str">
        <f t="shared" ref="C595:C596" si="489">IF(K595&gt;0,MID(K595,5, 1), 0)</f>
        <v>4</v>
      </c>
      <c r="D595" s="121">
        <f>COUNTIFS($F$33:F595,F595, $G$33:G595,G595, $C$33:C595,C595, $L$33:L595,L595)</f>
        <v>2</v>
      </c>
      <c r="E595" s="20">
        <v>1</v>
      </c>
      <c r="F595" s="20">
        <v>7</v>
      </c>
      <c r="G595" s="20">
        <v>1</v>
      </c>
      <c r="H595" s="103" t="s">
        <v>957</v>
      </c>
      <c r="I595" s="20" t="s">
        <v>2238</v>
      </c>
      <c r="J595" s="104" t="str">
        <f t="shared" si="456"/>
        <v>Item_Name_14127002</v>
      </c>
      <c r="K595" s="20">
        <v>10104001</v>
      </c>
      <c r="L595" s="107">
        <f t="shared" si="461"/>
        <v>2</v>
      </c>
      <c r="M595" s="105">
        <f>IF(D595=0, 0, _xlfn.XLOOKUP($F595,'#무게관련'!$B:$B,'#무게관련'!$C:$C)*_xlfn.XLOOKUP($L595,'#무게관련'!$F:$F,'#무게관련'!$G:$G)*100)</f>
        <v>4000</v>
      </c>
      <c r="N595" s="20">
        <v>20600</v>
      </c>
      <c r="O595" s="20">
        <v>4</v>
      </c>
      <c r="P595" s="20">
        <v>15</v>
      </c>
      <c r="Q595" s="20">
        <v>1</v>
      </c>
      <c r="R595" s="20">
        <v>100</v>
      </c>
      <c r="S595" s="20">
        <v>1</v>
      </c>
      <c r="T595" s="20" t="s">
        <v>1885</v>
      </c>
      <c r="U595" s="104" t="str">
        <f t="shared" ref="U595:U596" si="490">"item_bg_grade_0"&amp;L595</f>
        <v>item_bg_grade_02</v>
      </c>
      <c r="V595" s="20" t="s">
        <v>502</v>
      </c>
      <c r="W595" s="20" t="s">
        <v>400</v>
      </c>
      <c r="X595" s="104">
        <v>0</v>
      </c>
      <c r="Y595" s="104">
        <v>0</v>
      </c>
      <c r="Z595" s="104">
        <v>0</v>
      </c>
      <c r="AA595" s="104">
        <v>0</v>
      </c>
      <c r="AB595" s="104">
        <v>0</v>
      </c>
      <c r="AC595" s="104">
        <v>0</v>
      </c>
      <c r="AD595" s="142">
        <v>0</v>
      </c>
      <c r="AE595" s="112">
        <f t="shared" si="462"/>
        <v>20</v>
      </c>
      <c r="AF595" s="70">
        <v>4207020</v>
      </c>
      <c r="AG595" s="105" cm="1">
        <f t="array" ref="AG595">_xlfn.SWITCH(L595,3,1,
           4,1,
           5,1,
           6,1,0)</f>
        <v>0</v>
      </c>
      <c r="AH595" s="146">
        <f t="shared" si="476"/>
        <v>80101201</v>
      </c>
      <c r="AI595" s="90">
        <v>6000</v>
      </c>
      <c r="AJ595" s="90">
        <v>3002</v>
      </c>
      <c r="AK595" s="27">
        <v>2007</v>
      </c>
      <c r="AL595" s="123">
        <f>_xlfn.XLOOKUP(H595,'#각종 참고'!$B$11:$B$20,'#각종 참고'!$D$11:$D$20)</f>
        <v>0</v>
      </c>
      <c r="AM595" s="27">
        <v>1</v>
      </c>
      <c r="AN595" s="27">
        <v>1</v>
      </c>
      <c r="AO595" s="124">
        <f t="shared" si="469"/>
        <v>1</v>
      </c>
      <c r="AP595" s="27">
        <v>1</v>
      </c>
      <c r="AQ595" s="21">
        <v>14127011</v>
      </c>
      <c r="AR595" s="21" t="s">
        <v>2619</v>
      </c>
      <c r="AS595" s="68"/>
      <c r="AT595" s="68"/>
      <c r="AU595" s="68"/>
    </row>
    <row r="596" spans="1:47" x14ac:dyDescent="0.3">
      <c r="A596" s="19"/>
      <c r="B596" s="109">
        <v>14127003</v>
      </c>
      <c r="C596" s="99" t="str">
        <f t="shared" si="489"/>
        <v>4</v>
      </c>
      <c r="D596" s="121">
        <f>COUNTIFS($F$33:F596,F596, $G$33:G596,G596, $C$33:C596,C596, $L$33:L596,L596)</f>
        <v>3</v>
      </c>
      <c r="E596" s="20">
        <v>1</v>
      </c>
      <c r="F596" s="20">
        <v>7</v>
      </c>
      <c r="G596" s="20">
        <v>1</v>
      </c>
      <c r="H596" s="103" t="s">
        <v>957</v>
      </c>
      <c r="I596" s="20" t="s">
        <v>2026</v>
      </c>
      <c r="J596" s="104" t="str">
        <f t="shared" si="456"/>
        <v>Item_Name_14127003</v>
      </c>
      <c r="K596" s="20">
        <v>10104001</v>
      </c>
      <c r="L596" s="107">
        <f t="shared" si="461"/>
        <v>2</v>
      </c>
      <c r="M596" s="105">
        <f>IF(D596=0, 0, _xlfn.XLOOKUP($F596,'#무게관련'!$B:$B,'#무게관련'!$C:$C)*_xlfn.XLOOKUP($L596,'#무게관련'!$F:$F,'#무게관련'!$G:$G)*100)</f>
        <v>4000</v>
      </c>
      <c r="N596" s="20">
        <v>20600</v>
      </c>
      <c r="O596" s="20">
        <v>4</v>
      </c>
      <c r="P596" s="20">
        <v>15</v>
      </c>
      <c r="Q596" s="20">
        <v>1</v>
      </c>
      <c r="R596" s="20">
        <v>100</v>
      </c>
      <c r="S596" s="20">
        <v>1</v>
      </c>
      <c r="T596" s="20" t="s">
        <v>1885</v>
      </c>
      <c r="U596" s="104" t="str">
        <f t="shared" si="490"/>
        <v>item_bg_grade_02</v>
      </c>
      <c r="V596" s="20" t="s">
        <v>502</v>
      </c>
      <c r="W596" s="20" t="s">
        <v>400</v>
      </c>
      <c r="X596" s="104">
        <v>0</v>
      </c>
      <c r="Y596" s="104">
        <v>0</v>
      </c>
      <c r="Z596" s="104">
        <v>0</v>
      </c>
      <c r="AA596" s="104">
        <v>0</v>
      </c>
      <c r="AB596" s="104">
        <v>0</v>
      </c>
      <c r="AC596" s="104">
        <v>0</v>
      </c>
      <c r="AD596" s="142">
        <v>0</v>
      </c>
      <c r="AE596" s="112">
        <f t="shared" si="462"/>
        <v>20</v>
      </c>
      <c r="AF596" s="70">
        <v>4207030</v>
      </c>
      <c r="AG596" s="105" cm="1">
        <f t="array" ref="AG596">_xlfn.SWITCH(L596,3,1,
           4,1,
           5,1,
           6,1,0)</f>
        <v>0</v>
      </c>
      <c r="AH596" s="146">
        <f t="shared" si="476"/>
        <v>80101201</v>
      </c>
      <c r="AI596" s="90">
        <v>6000</v>
      </c>
      <c r="AJ596" s="90">
        <v>3002</v>
      </c>
      <c r="AK596" s="27">
        <v>2007</v>
      </c>
      <c r="AL596" s="123">
        <f>_xlfn.XLOOKUP(H596,'#각종 참고'!$B$11:$B$20,'#각종 참고'!$D$11:$D$20)</f>
        <v>0</v>
      </c>
      <c r="AM596" s="27">
        <v>1</v>
      </c>
      <c r="AN596" s="27">
        <v>1</v>
      </c>
      <c r="AO596" s="124">
        <f t="shared" si="469"/>
        <v>1</v>
      </c>
      <c r="AP596" s="27">
        <v>1</v>
      </c>
      <c r="AQ596" s="21">
        <v>14127021</v>
      </c>
      <c r="AR596" s="21" t="s">
        <v>2620</v>
      </c>
      <c r="AS596" s="68"/>
      <c r="AT596" s="68"/>
      <c r="AU596" s="68"/>
    </row>
    <row r="597" spans="1:47" x14ac:dyDescent="0.3">
      <c r="A597" s="19"/>
      <c r="B597" s="109">
        <v>14137001</v>
      </c>
      <c r="C597" s="99" t="str">
        <f t="shared" si="267"/>
        <v>4</v>
      </c>
      <c r="D597" s="121">
        <f>COUNTIFS($F$33:F597,F597, $G$33:G597,G597, $C$33:C597,C597, $L$33:L597,L597)</f>
        <v>1</v>
      </c>
      <c r="E597" s="20">
        <v>1</v>
      </c>
      <c r="F597" s="20">
        <v>7</v>
      </c>
      <c r="G597" s="20">
        <v>1</v>
      </c>
      <c r="H597" s="103" t="s">
        <v>957</v>
      </c>
      <c r="I597" s="20" t="s">
        <v>946</v>
      </c>
      <c r="J597" s="104" t="str">
        <f t="shared" si="456"/>
        <v>Item_Name_14137001</v>
      </c>
      <c r="K597" s="20">
        <v>10104001</v>
      </c>
      <c r="L597" s="107">
        <f t="shared" si="461"/>
        <v>3</v>
      </c>
      <c r="M597" s="105">
        <f>IF(D597=0, 0, _xlfn.XLOOKUP($F597,'#무게관련'!$B:$B,'#무게관련'!$C:$C)*_xlfn.XLOOKUP($L597,'#무게관련'!$F:$F,'#무게관련'!$G:$G)*100)</f>
        <v>4000</v>
      </c>
      <c r="N597" s="20">
        <v>20600</v>
      </c>
      <c r="O597" s="20">
        <v>4</v>
      </c>
      <c r="P597" s="20">
        <v>15</v>
      </c>
      <c r="Q597" s="20">
        <v>1</v>
      </c>
      <c r="R597" s="20">
        <v>100</v>
      </c>
      <c r="S597" s="20">
        <v>1</v>
      </c>
      <c r="T597" s="20" t="s">
        <v>1886</v>
      </c>
      <c r="U597" s="104" t="str">
        <f t="shared" si="453"/>
        <v>item_bg_grade_03</v>
      </c>
      <c r="V597" s="20" t="s">
        <v>502</v>
      </c>
      <c r="W597" s="20" t="s">
        <v>400</v>
      </c>
      <c r="X597" s="104">
        <v>0</v>
      </c>
      <c r="Y597" s="104">
        <v>0</v>
      </c>
      <c r="Z597" s="104">
        <v>0</v>
      </c>
      <c r="AA597" s="104">
        <v>0</v>
      </c>
      <c r="AB597" s="104">
        <v>0</v>
      </c>
      <c r="AC597" s="104">
        <v>0</v>
      </c>
      <c r="AD597" s="142">
        <v>0</v>
      </c>
      <c r="AE597" s="112">
        <f t="shared" si="462"/>
        <v>30</v>
      </c>
      <c r="AF597" s="70">
        <v>4307010</v>
      </c>
      <c r="AG597" s="105" cm="1">
        <f t="array" ref="AG597">_xlfn.SWITCH(L597,3,1,
           4,1,
           5,1,
           6,1,0)</f>
        <v>1</v>
      </c>
      <c r="AH597" s="146">
        <f t="shared" si="476"/>
        <v>80101301</v>
      </c>
      <c r="AI597" s="90">
        <v>6001</v>
      </c>
      <c r="AJ597" s="90">
        <v>3004</v>
      </c>
      <c r="AK597" s="27">
        <v>3007</v>
      </c>
      <c r="AL597" s="123">
        <f>_xlfn.XLOOKUP(H597,'#각종 참고'!$B$11:$B$20,'#각종 참고'!$D$11:$D$20)</f>
        <v>0</v>
      </c>
      <c r="AM597" s="27">
        <v>1</v>
      </c>
      <c r="AN597" s="27">
        <v>1</v>
      </c>
      <c r="AO597" s="124">
        <f t="shared" si="469"/>
        <v>1</v>
      </c>
      <c r="AP597" s="27">
        <v>1</v>
      </c>
      <c r="AQ597" s="21">
        <v>14137001</v>
      </c>
      <c r="AR597" s="21" t="s">
        <v>946</v>
      </c>
      <c r="AS597" s="68"/>
      <c r="AT597" s="68"/>
      <c r="AU597" s="68"/>
    </row>
    <row r="598" spans="1:47" x14ac:dyDescent="0.3">
      <c r="A598" s="19"/>
      <c r="B598" s="109">
        <v>14137002</v>
      </c>
      <c r="C598" s="99" t="str">
        <f t="shared" ref="C598:C599" si="491">IF(K598&gt;0,MID(K598,5, 1), 0)</f>
        <v>4</v>
      </c>
      <c r="D598" s="121">
        <f>COUNTIFS($F$33:F598,F598, $G$33:G598,G598, $C$33:C598,C598, $L$33:L598,L598)</f>
        <v>2</v>
      </c>
      <c r="E598" s="20">
        <v>1</v>
      </c>
      <c r="F598" s="20">
        <v>7</v>
      </c>
      <c r="G598" s="20">
        <v>1</v>
      </c>
      <c r="H598" s="103" t="s">
        <v>957</v>
      </c>
      <c r="I598" s="20" t="s">
        <v>1827</v>
      </c>
      <c r="J598" s="104" t="str">
        <f t="shared" si="456"/>
        <v>Item_Name_14137002</v>
      </c>
      <c r="K598" s="20">
        <v>10104001</v>
      </c>
      <c r="L598" s="107">
        <f t="shared" si="461"/>
        <v>3</v>
      </c>
      <c r="M598" s="105">
        <f>IF(D598=0, 0, _xlfn.XLOOKUP($F598,'#무게관련'!$B:$B,'#무게관련'!$C:$C)*_xlfn.XLOOKUP($L598,'#무게관련'!$F:$F,'#무게관련'!$G:$G)*100)</f>
        <v>4000</v>
      </c>
      <c r="N598" s="20">
        <v>20600</v>
      </c>
      <c r="O598" s="20">
        <v>4</v>
      </c>
      <c r="P598" s="20">
        <v>15</v>
      </c>
      <c r="Q598" s="20">
        <v>1</v>
      </c>
      <c r="R598" s="20">
        <v>100</v>
      </c>
      <c r="S598" s="20">
        <v>1</v>
      </c>
      <c r="T598" s="20" t="s">
        <v>1886</v>
      </c>
      <c r="U598" s="104" t="str">
        <f t="shared" ref="U598:U599" si="492">"item_bg_grade_0"&amp;L598</f>
        <v>item_bg_grade_03</v>
      </c>
      <c r="V598" s="20" t="s">
        <v>502</v>
      </c>
      <c r="W598" s="20" t="s">
        <v>400</v>
      </c>
      <c r="X598" s="104">
        <v>0</v>
      </c>
      <c r="Y598" s="104">
        <v>0</v>
      </c>
      <c r="Z598" s="104">
        <v>0</v>
      </c>
      <c r="AA598" s="104">
        <v>0</v>
      </c>
      <c r="AB598" s="104">
        <v>0</v>
      </c>
      <c r="AC598" s="104">
        <v>0</v>
      </c>
      <c r="AD598" s="142">
        <v>0</v>
      </c>
      <c r="AE598" s="112">
        <f t="shared" si="462"/>
        <v>30</v>
      </c>
      <c r="AF598" s="70">
        <v>4307020</v>
      </c>
      <c r="AG598" s="105" cm="1">
        <f t="array" ref="AG598">_xlfn.SWITCH(L598,3,1,
           4,1,
           5,1,
           6,1,0)</f>
        <v>1</v>
      </c>
      <c r="AH598" s="146">
        <f t="shared" si="476"/>
        <v>80101301</v>
      </c>
      <c r="AI598" s="90">
        <v>6001</v>
      </c>
      <c r="AJ598" s="90">
        <v>3004</v>
      </c>
      <c r="AK598" s="27">
        <v>3007</v>
      </c>
      <c r="AL598" s="123">
        <f>_xlfn.XLOOKUP(H598,'#각종 참고'!$B$11:$B$20,'#각종 참고'!$D$11:$D$20)</f>
        <v>0</v>
      </c>
      <c r="AM598" s="27">
        <v>1</v>
      </c>
      <c r="AN598" s="27">
        <v>1</v>
      </c>
      <c r="AO598" s="124">
        <f t="shared" si="469"/>
        <v>1</v>
      </c>
      <c r="AP598" s="27">
        <v>1</v>
      </c>
      <c r="AQ598" s="21">
        <v>14137011</v>
      </c>
      <c r="AR598" s="21" t="s">
        <v>2621</v>
      </c>
      <c r="AS598" s="68"/>
      <c r="AT598" s="68"/>
      <c r="AU598" s="68"/>
    </row>
    <row r="599" spans="1:47" x14ac:dyDescent="0.3">
      <c r="A599" s="19"/>
      <c r="B599" s="109">
        <v>14137003</v>
      </c>
      <c r="C599" s="99" t="str">
        <f t="shared" si="491"/>
        <v>4</v>
      </c>
      <c r="D599" s="121">
        <f>COUNTIFS($F$33:F599,F599, $G$33:G599,G599, $C$33:C599,C599, $L$33:L599,L599)</f>
        <v>3</v>
      </c>
      <c r="E599" s="20">
        <v>1</v>
      </c>
      <c r="F599" s="20">
        <v>7</v>
      </c>
      <c r="G599" s="20">
        <v>1</v>
      </c>
      <c r="H599" s="103" t="s">
        <v>957</v>
      </c>
      <c r="I599" s="20" t="s">
        <v>2239</v>
      </c>
      <c r="J599" s="104" t="str">
        <f t="shared" si="456"/>
        <v>Item_Name_14137003</v>
      </c>
      <c r="K599" s="20">
        <v>10104001</v>
      </c>
      <c r="L599" s="107">
        <f t="shared" si="461"/>
        <v>3</v>
      </c>
      <c r="M599" s="105">
        <f>IF(D599=0, 0, _xlfn.XLOOKUP($F599,'#무게관련'!$B:$B,'#무게관련'!$C:$C)*_xlfn.XLOOKUP($L599,'#무게관련'!$F:$F,'#무게관련'!$G:$G)*100)</f>
        <v>4000</v>
      </c>
      <c r="N599" s="20">
        <v>20600</v>
      </c>
      <c r="O599" s="20">
        <v>4</v>
      </c>
      <c r="P599" s="20">
        <v>15</v>
      </c>
      <c r="Q599" s="20">
        <v>1</v>
      </c>
      <c r="R599" s="20">
        <v>100</v>
      </c>
      <c r="S599" s="20">
        <v>1</v>
      </c>
      <c r="T599" s="20" t="s">
        <v>1886</v>
      </c>
      <c r="U599" s="104" t="str">
        <f t="shared" si="492"/>
        <v>item_bg_grade_03</v>
      </c>
      <c r="V599" s="20" t="s">
        <v>502</v>
      </c>
      <c r="W599" s="20" t="s">
        <v>400</v>
      </c>
      <c r="X599" s="104">
        <v>0</v>
      </c>
      <c r="Y599" s="104">
        <v>0</v>
      </c>
      <c r="Z599" s="104">
        <v>0</v>
      </c>
      <c r="AA599" s="104">
        <v>0</v>
      </c>
      <c r="AB599" s="104">
        <v>0</v>
      </c>
      <c r="AC599" s="104">
        <v>0</v>
      </c>
      <c r="AD599" s="142">
        <v>0</v>
      </c>
      <c r="AE599" s="112">
        <f t="shared" si="462"/>
        <v>30</v>
      </c>
      <c r="AF599" s="70">
        <v>4307030</v>
      </c>
      <c r="AG599" s="105" cm="1">
        <f t="array" ref="AG599">_xlfn.SWITCH(L599,3,1,
           4,1,
           5,1,
           6,1,0)</f>
        <v>1</v>
      </c>
      <c r="AH599" s="146">
        <f t="shared" si="476"/>
        <v>80101301</v>
      </c>
      <c r="AI599" s="90">
        <v>6001</v>
      </c>
      <c r="AJ599" s="90">
        <v>3004</v>
      </c>
      <c r="AK599" s="27">
        <v>3007</v>
      </c>
      <c r="AL599" s="123">
        <f>_xlfn.XLOOKUP(H599,'#각종 참고'!$B$11:$B$20,'#각종 참고'!$D$11:$D$20)</f>
        <v>0</v>
      </c>
      <c r="AM599" s="27">
        <v>1</v>
      </c>
      <c r="AN599" s="27">
        <v>1</v>
      </c>
      <c r="AO599" s="124">
        <f t="shared" si="469"/>
        <v>1</v>
      </c>
      <c r="AP599" s="27">
        <v>1</v>
      </c>
      <c r="AQ599" s="21">
        <v>14137021</v>
      </c>
      <c r="AR599" s="21" t="s">
        <v>2622</v>
      </c>
      <c r="AS599" s="68"/>
      <c r="AT599" s="68"/>
      <c r="AU599" s="68"/>
    </row>
    <row r="600" spans="1:47" x14ac:dyDescent="0.3">
      <c r="A600" s="19"/>
      <c r="B600" s="109">
        <v>14147001</v>
      </c>
      <c r="C600" s="99" t="str">
        <f t="shared" si="267"/>
        <v>4</v>
      </c>
      <c r="D600" s="121">
        <f>COUNTIFS($F$33:F600,F600, $G$33:G600,G600, $C$33:C600,C600, $L$33:L600,L600)</f>
        <v>1</v>
      </c>
      <c r="E600" s="20">
        <v>1</v>
      </c>
      <c r="F600" s="20">
        <v>7</v>
      </c>
      <c r="G600" s="20">
        <v>1</v>
      </c>
      <c r="H600" s="103" t="s">
        <v>957</v>
      </c>
      <c r="I600" s="20" t="s">
        <v>1828</v>
      </c>
      <c r="J600" s="104" t="str">
        <f t="shared" si="456"/>
        <v>Item_Name_14147001</v>
      </c>
      <c r="K600" s="20">
        <v>10104001</v>
      </c>
      <c r="L600" s="107">
        <f t="shared" si="461"/>
        <v>4</v>
      </c>
      <c r="M600" s="105">
        <f>IF(D600=0, 0, _xlfn.XLOOKUP($F600,'#무게관련'!$B:$B,'#무게관련'!$C:$C)*_xlfn.XLOOKUP($L600,'#무게관련'!$F:$F,'#무게관련'!$G:$G)*100)</f>
        <v>4000</v>
      </c>
      <c r="N600" s="20">
        <v>20600</v>
      </c>
      <c r="O600" s="20">
        <v>4</v>
      </c>
      <c r="P600" s="20">
        <v>15</v>
      </c>
      <c r="Q600" s="20">
        <v>1</v>
      </c>
      <c r="R600" s="20">
        <v>100</v>
      </c>
      <c r="S600" s="20">
        <v>1</v>
      </c>
      <c r="T600" s="20" t="s">
        <v>1887</v>
      </c>
      <c r="U600" s="104" t="str">
        <f t="shared" si="453"/>
        <v>item_bg_grade_04</v>
      </c>
      <c r="V600" s="20" t="s">
        <v>502</v>
      </c>
      <c r="W600" s="20" t="s">
        <v>400</v>
      </c>
      <c r="X600" s="104">
        <v>0</v>
      </c>
      <c r="Y600" s="104">
        <v>0</v>
      </c>
      <c r="Z600" s="104">
        <v>0</v>
      </c>
      <c r="AA600" s="104">
        <v>0</v>
      </c>
      <c r="AB600" s="104">
        <v>0</v>
      </c>
      <c r="AC600" s="104">
        <v>0</v>
      </c>
      <c r="AD600" s="142">
        <v>0</v>
      </c>
      <c r="AE600" s="112">
        <f t="shared" si="462"/>
        <v>40</v>
      </c>
      <c r="AF600" s="70">
        <v>4407010</v>
      </c>
      <c r="AG600" s="105" cm="1">
        <f t="array" ref="AG600">_xlfn.SWITCH(L600,3,1,
           4,1,
           5,1,
           6,1,0)</f>
        <v>1</v>
      </c>
      <c r="AH600" s="146">
        <f t="shared" si="476"/>
        <v>80101401</v>
      </c>
      <c r="AI600" s="90">
        <v>6002</v>
      </c>
      <c r="AJ600" s="90">
        <v>3006</v>
      </c>
      <c r="AK600" s="27">
        <v>4007</v>
      </c>
      <c r="AL600" s="123">
        <f>_xlfn.XLOOKUP(H600,'#각종 참고'!$B$11:$B$20,'#각종 참고'!$D$11:$D$20)</f>
        <v>0</v>
      </c>
      <c r="AM600" s="27">
        <v>1</v>
      </c>
      <c r="AN600" s="27">
        <v>1</v>
      </c>
      <c r="AO600" s="124">
        <f t="shared" si="469"/>
        <v>1</v>
      </c>
      <c r="AP600" s="27">
        <v>1</v>
      </c>
      <c r="AQ600" s="21">
        <v>14147001</v>
      </c>
      <c r="AR600" s="21" t="s">
        <v>1828</v>
      </c>
      <c r="AS600" s="68"/>
      <c r="AT600" s="68"/>
      <c r="AU600" s="68"/>
    </row>
    <row r="601" spans="1:47" x14ac:dyDescent="0.3">
      <c r="A601" s="19"/>
      <c r="B601" s="109">
        <v>14147002</v>
      </c>
      <c r="C601" s="99" t="str">
        <f t="shared" ref="C601:C602" si="493">IF(K601&gt;0,MID(K601,5, 1), 0)</f>
        <v>4</v>
      </c>
      <c r="D601" s="121">
        <f>COUNTIFS($F$33:F601,F601, $G$33:G601,G601, $C$33:C601,C601, $L$33:L601,L601)</f>
        <v>2</v>
      </c>
      <c r="E601" s="20">
        <v>1</v>
      </c>
      <c r="F601" s="20">
        <v>7</v>
      </c>
      <c r="G601" s="20">
        <v>1</v>
      </c>
      <c r="H601" s="103" t="s">
        <v>957</v>
      </c>
      <c r="I601" s="20" t="s">
        <v>2240</v>
      </c>
      <c r="J601" s="104" t="str">
        <f t="shared" si="456"/>
        <v>Item_Name_14147002</v>
      </c>
      <c r="K601" s="20">
        <v>10104001</v>
      </c>
      <c r="L601" s="107">
        <f t="shared" si="461"/>
        <v>4</v>
      </c>
      <c r="M601" s="105">
        <f>IF(D601=0, 0, _xlfn.XLOOKUP($F601,'#무게관련'!$B:$B,'#무게관련'!$C:$C)*_xlfn.XLOOKUP($L601,'#무게관련'!$F:$F,'#무게관련'!$G:$G)*100)</f>
        <v>4000</v>
      </c>
      <c r="N601" s="20">
        <v>20600</v>
      </c>
      <c r="O601" s="20">
        <v>4</v>
      </c>
      <c r="P601" s="20">
        <v>15</v>
      </c>
      <c r="Q601" s="20">
        <v>1</v>
      </c>
      <c r="R601" s="20">
        <v>100</v>
      </c>
      <c r="S601" s="20">
        <v>1</v>
      </c>
      <c r="T601" s="20" t="s">
        <v>1887</v>
      </c>
      <c r="U601" s="104" t="str">
        <f t="shared" ref="U601:U602" si="494">"item_bg_grade_0"&amp;L601</f>
        <v>item_bg_grade_04</v>
      </c>
      <c r="V601" s="20" t="s">
        <v>502</v>
      </c>
      <c r="W601" s="20" t="s">
        <v>400</v>
      </c>
      <c r="X601" s="104">
        <v>0</v>
      </c>
      <c r="Y601" s="104">
        <v>0</v>
      </c>
      <c r="Z601" s="104">
        <v>0</v>
      </c>
      <c r="AA601" s="104">
        <v>0</v>
      </c>
      <c r="AB601" s="104">
        <v>0</v>
      </c>
      <c r="AC601" s="104">
        <v>0</v>
      </c>
      <c r="AD601" s="142">
        <v>0</v>
      </c>
      <c r="AE601" s="112">
        <f t="shared" si="462"/>
        <v>40</v>
      </c>
      <c r="AF601" s="70">
        <v>4407020</v>
      </c>
      <c r="AG601" s="105" cm="1">
        <f t="array" ref="AG601">_xlfn.SWITCH(L601,3,1,
           4,1,
           5,1,
           6,1,0)</f>
        <v>1</v>
      </c>
      <c r="AH601" s="146">
        <f t="shared" si="476"/>
        <v>80101401</v>
      </c>
      <c r="AI601" s="90">
        <v>6002</v>
      </c>
      <c r="AJ601" s="90">
        <v>3006</v>
      </c>
      <c r="AK601" s="27">
        <v>4007</v>
      </c>
      <c r="AL601" s="123">
        <f>_xlfn.XLOOKUP(H601,'#각종 참고'!$B$11:$B$20,'#각종 참고'!$D$11:$D$20)</f>
        <v>0</v>
      </c>
      <c r="AM601" s="27">
        <v>1</v>
      </c>
      <c r="AN601" s="27">
        <v>1</v>
      </c>
      <c r="AO601" s="124">
        <f t="shared" si="469"/>
        <v>1</v>
      </c>
      <c r="AP601" s="27">
        <v>1</v>
      </c>
      <c r="AQ601" s="21">
        <v>14147011</v>
      </c>
      <c r="AR601" s="21" t="s">
        <v>2623</v>
      </c>
      <c r="AS601" s="68"/>
      <c r="AT601" s="68"/>
      <c r="AU601" s="68"/>
    </row>
    <row r="602" spans="1:47" x14ac:dyDescent="0.3">
      <c r="A602" s="19"/>
      <c r="B602" s="109">
        <v>14147003</v>
      </c>
      <c r="C602" s="99" t="str">
        <f t="shared" si="493"/>
        <v>4</v>
      </c>
      <c r="D602" s="121">
        <f>COUNTIFS($F$33:F602,F602, $G$33:G602,G602, $C$33:C602,C602, $L$33:L602,L602)</f>
        <v>3</v>
      </c>
      <c r="E602" s="20">
        <v>1</v>
      </c>
      <c r="F602" s="20">
        <v>7</v>
      </c>
      <c r="G602" s="20">
        <v>1</v>
      </c>
      <c r="H602" s="103" t="s">
        <v>957</v>
      </c>
      <c r="I602" s="20" t="s">
        <v>1829</v>
      </c>
      <c r="J602" s="104" t="str">
        <f t="shared" si="456"/>
        <v>Item_Name_14147003</v>
      </c>
      <c r="K602" s="20">
        <v>10104001</v>
      </c>
      <c r="L602" s="107">
        <f t="shared" si="461"/>
        <v>4</v>
      </c>
      <c r="M602" s="105">
        <f>IF(D602=0, 0, _xlfn.XLOOKUP($F602,'#무게관련'!$B:$B,'#무게관련'!$C:$C)*_xlfn.XLOOKUP($L602,'#무게관련'!$F:$F,'#무게관련'!$G:$G)*100)</f>
        <v>4000</v>
      </c>
      <c r="N602" s="20">
        <v>20600</v>
      </c>
      <c r="O602" s="20">
        <v>4</v>
      </c>
      <c r="P602" s="20">
        <v>15</v>
      </c>
      <c r="Q602" s="20">
        <v>1</v>
      </c>
      <c r="R602" s="20">
        <v>100</v>
      </c>
      <c r="S602" s="20">
        <v>1</v>
      </c>
      <c r="T602" s="20" t="s">
        <v>1887</v>
      </c>
      <c r="U602" s="104" t="str">
        <f t="shared" si="494"/>
        <v>item_bg_grade_04</v>
      </c>
      <c r="V602" s="20" t="s">
        <v>502</v>
      </c>
      <c r="W602" s="20" t="s">
        <v>400</v>
      </c>
      <c r="X602" s="104">
        <v>0</v>
      </c>
      <c r="Y602" s="104">
        <v>0</v>
      </c>
      <c r="Z602" s="104">
        <v>0</v>
      </c>
      <c r="AA602" s="104">
        <v>0</v>
      </c>
      <c r="AB602" s="104">
        <v>0</v>
      </c>
      <c r="AC602" s="104">
        <v>0</v>
      </c>
      <c r="AD602" s="142">
        <v>0</v>
      </c>
      <c r="AE602" s="112">
        <f t="shared" si="462"/>
        <v>40</v>
      </c>
      <c r="AF602" s="70">
        <v>4407030</v>
      </c>
      <c r="AG602" s="105" cm="1">
        <f t="array" ref="AG602">_xlfn.SWITCH(L602,3,1,
           4,1,
           5,1,
           6,1,0)</f>
        <v>1</v>
      </c>
      <c r="AH602" s="146">
        <f t="shared" si="476"/>
        <v>80101401</v>
      </c>
      <c r="AI602" s="90">
        <v>6002</v>
      </c>
      <c r="AJ602" s="90">
        <v>3006</v>
      </c>
      <c r="AK602" s="27">
        <v>4007</v>
      </c>
      <c r="AL602" s="123">
        <f>_xlfn.XLOOKUP(H602,'#각종 참고'!$B$11:$B$20,'#각종 참고'!$D$11:$D$20)</f>
        <v>0</v>
      </c>
      <c r="AM602" s="27">
        <v>1</v>
      </c>
      <c r="AN602" s="27">
        <v>1</v>
      </c>
      <c r="AO602" s="124">
        <f t="shared" si="469"/>
        <v>1</v>
      </c>
      <c r="AP602" s="27">
        <v>1</v>
      </c>
      <c r="AQ602" s="21">
        <v>14147021</v>
      </c>
      <c r="AR602" s="21" t="s">
        <v>2624</v>
      </c>
      <c r="AS602" s="68"/>
      <c r="AT602" s="68"/>
      <c r="AU602" s="68"/>
    </row>
    <row r="603" spans="1:47" x14ac:dyDescent="0.3">
      <c r="A603" s="19"/>
      <c r="B603" s="109">
        <v>14157001</v>
      </c>
      <c r="C603" s="99" t="str">
        <f t="shared" ref="C603:C606" si="495">IF(K603&gt;0,MID(K603,5, 1), 0)</f>
        <v>4</v>
      </c>
      <c r="D603" s="121">
        <f>COUNTIFS($F$33:F603,F603, $G$33:G603,G603, $C$33:C603,C603, $L$33:L603,L603)</f>
        <v>1</v>
      </c>
      <c r="E603" s="20">
        <v>1</v>
      </c>
      <c r="F603" s="20">
        <v>7</v>
      </c>
      <c r="G603" s="20">
        <v>1</v>
      </c>
      <c r="H603" s="103" t="s">
        <v>957</v>
      </c>
      <c r="I603" s="20" t="s">
        <v>1830</v>
      </c>
      <c r="J603" s="104" t="str">
        <f t="shared" si="456"/>
        <v>Item_Name_14157001</v>
      </c>
      <c r="K603" s="20">
        <v>10104001</v>
      </c>
      <c r="L603" s="107">
        <f t="shared" si="461"/>
        <v>5</v>
      </c>
      <c r="M603" s="105">
        <f>IF(D603=0, 0, _xlfn.XLOOKUP($F603,'#무게관련'!$B:$B,'#무게관련'!$C:$C)*_xlfn.XLOOKUP($L603,'#무게관련'!$F:$F,'#무게관련'!$G:$G)*100)</f>
        <v>4000</v>
      </c>
      <c r="N603" s="20">
        <v>20600</v>
      </c>
      <c r="O603" s="20">
        <v>4</v>
      </c>
      <c r="P603" s="20">
        <v>15</v>
      </c>
      <c r="Q603" s="20">
        <v>1</v>
      </c>
      <c r="R603" s="20">
        <v>100</v>
      </c>
      <c r="S603" s="20">
        <v>1</v>
      </c>
      <c r="T603" s="20" t="s">
        <v>1888</v>
      </c>
      <c r="U603" s="104" t="str">
        <f t="shared" ref="U603:U606" si="496">"item_bg_grade_0"&amp;L603</f>
        <v>item_bg_grade_05</v>
      </c>
      <c r="V603" s="20" t="s">
        <v>502</v>
      </c>
      <c r="W603" s="20" t="s">
        <v>400</v>
      </c>
      <c r="X603" s="104">
        <v>0</v>
      </c>
      <c r="Y603" s="104">
        <v>0</v>
      </c>
      <c r="Z603" s="104">
        <v>0</v>
      </c>
      <c r="AA603" s="104">
        <v>0</v>
      </c>
      <c r="AB603" s="104">
        <v>0</v>
      </c>
      <c r="AC603" s="104">
        <v>0</v>
      </c>
      <c r="AD603" s="142">
        <v>0</v>
      </c>
      <c r="AE603" s="112">
        <f t="shared" si="462"/>
        <v>50</v>
      </c>
      <c r="AF603" s="70">
        <v>4507010</v>
      </c>
      <c r="AG603" s="105" cm="1">
        <f t="array" ref="AG603">_xlfn.SWITCH(L603,3,1,
           4,1,
           5,1,
           6,1,0)</f>
        <v>1</v>
      </c>
      <c r="AH603" s="146">
        <f t="shared" si="476"/>
        <v>80101501</v>
      </c>
      <c r="AI603" s="90">
        <v>6003</v>
      </c>
      <c r="AJ603" s="90">
        <v>3008</v>
      </c>
      <c r="AK603" s="27">
        <v>5007</v>
      </c>
      <c r="AL603" s="123">
        <f>_xlfn.XLOOKUP(H603,'#각종 참고'!$B$11:$B$20,'#각종 참고'!$D$11:$D$20)</f>
        <v>0</v>
      </c>
      <c r="AM603" s="27">
        <v>1</v>
      </c>
      <c r="AN603" s="27">
        <v>1</v>
      </c>
      <c r="AO603" s="124">
        <f t="shared" si="469"/>
        <v>1</v>
      </c>
      <c r="AP603" s="27">
        <v>1</v>
      </c>
      <c r="AQ603" s="21">
        <v>14157001</v>
      </c>
      <c r="AR603" s="21" t="s">
        <v>1830</v>
      </c>
      <c r="AS603" s="68"/>
      <c r="AT603" s="68"/>
      <c r="AU603" s="68"/>
    </row>
    <row r="604" spans="1:47" x14ac:dyDescent="0.3">
      <c r="A604" s="19"/>
      <c r="B604" s="109">
        <v>14157002</v>
      </c>
      <c r="C604" s="99" t="str">
        <f t="shared" ref="C604:C605" si="497">IF(K604&gt;0,MID(K604,5, 1), 0)</f>
        <v>4</v>
      </c>
      <c r="D604" s="121">
        <f>COUNTIFS($F$33:F604,F604, $G$33:G604,G604, $C$33:C604,C604, $L$33:L604,L604)</f>
        <v>2</v>
      </c>
      <c r="E604" s="20">
        <v>1</v>
      </c>
      <c r="F604" s="20">
        <v>7</v>
      </c>
      <c r="G604" s="20">
        <v>1</v>
      </c>
      <c r="H604" s="103" t="s">
        <v>957</v>
      </c>
      <c r="I604" s="20" t="s">
        <v>2242</v>
      </c>
      <c r="J604" s="104" t="str">
        <f t="shared" si="456"/>
        <v>Item_Name_14157002</v>
      </c>
      <c r="K604" s="20">
        <v>10104001</v>
      </c>
      <c r="L604" s="107">
        <f t="shared" si="461"/>
        <v>5</v>
      </c>
      <c r="M604" s="105">
        <f>IF(D604=0, 0, _xlfn.XLOOKUP($F604,'#무게관련'!$B:$B,'#무게관련'!$C:$C)*_xlfn.XLOOKUP($L604,'#무게관련'!$F:$F,'#무게관련'!$G:$G)*100)</f>
        <v>4000</v>
      </c>
      <c r="N604" s="20">
        <v>20600</v>
      </c>
      <c r="O604" s="20">
        <v>4</v>
      </c>
      <c r="P604" s="20">
        <v>15</v>
      </c>
      <c r="Q604" s="20">
        <v>1</v>
      </c>
      <c r="R604" s="20">
        <v>100</v>
      </c>
      <c r="S604" s="20">
        <v>1</v>
      </c>
      <c r="T604" s="20" t="s">
        <v>1888</v>
      </c>
      <c r="U604" s="104" t="str">
        <f t="shared" ref="U604:U605" si="498">"item_bg_grade_0"&amp;L604</f>
        <v>item_bg_grade_05</v>
      </c>
      <c r="V604" s="20" t="s">
        <v>502</v>
      </c>
      <c r="W604" s="20" t="s">
        <v>400</v>
      </c>
      <c r="X604" s="104">
        <v>0</v>
      </c>
      <c r="Y604" s="104">
        <v>0</v>
      </c>
      <c r="Z604" s="104">
        <v>0</v>
      </c>
      <c r="AA604" s="104">
        <v>0</v>
      </c>
      <c r="AB604" s="104">
        <v>0</v>
      </c>
      <c r="AC604" s="104">
        <v>0</v>
      </c>
      <c r="AD604" s="142">
        <v>0</v>
      </c>
      <c r="AE604" s="112">
        <f t="shared" si="462"/>
        <v>50</v>
      </c>
      <c r="AF604" s="70">
        <v>4507020</v>
      </c>
      <c r="AG604" s="105" cm="1">
        <f t="array" ref="AG604">_xlfn.SWITCH(L604,3,1,
           4,1,
           5,1,
           6,1,0)</f>
        <v>1</v>
      </c>
      <c r="AH604" s="146">
        <f t="shared" si="476"/>
        <v>80101501</v>
      </c>
      <c r="AI604" s="90">
        <v>6003</v>
      </c>
      <c r="AJ604" s="90">
        <v>3008</v>
      </c>
      <c r="AK604" s="27">
        <v>5007</v>
      </c>
      <c r="AL604" s="123">
        <f>_xlfn.XLOOKUP(H604,'#각종 참고'!$B$11:$B$20,'#각종 참고'!$D$11:$D$20)</f>
        <v>0</v>
      </c>
      <c r="AM604" s="27">
        <v>1</v>
      </c>
      <c r="AN604" s="27">
        <v>1</v>
      </c>
      <c r="AO604" s="124">
        <f t="shared" si="469"/>
        <v>1</v>
      </c>
      <c r="AP604" s="27">
        <v>1</v>
      </c>
      <c r="AQ604" s="21">
        <v>14157011</v>
      </c>
      <c r="AR604" s="21" t="s">
        <v>2625</v>
      </c>
      <c r="AS604" s="68"/>
      <c r="AT604" s="68"/>
      <c r="AU604" s="68"/>
    </row>
    <row r="605" spans="1:47" x14ac:dyDescent="0.3">
      <c r="A605" s="19"/>
      <c r="B605" s="109">
        <v>14157003</v>
      </c>
      <c r="C605" s="99" t="str">
        <f t="shared" si="497"/>
        <v>4</v>
      </c>
      <c r="D605" s="121">
        <f>COUNTIFS($F$33:F605,F605, $G$33:G605,G605, $C$33:C605,C605, $L$33:L605,L605)</f>
        <v>3</v>
      </c>
      <c r="E605" s="20">
        <v>1</v>
      </c>
      <c r="F605" s="20">
        <v>7</v>
      </c>
      <c r="G605" s="20">
        <v>1</v>
      </c>
      <c r="H605" s="103" t="s">
        <v>957</v>
      </c>
      <c r="I605" s="20" t="s">
        <v>2241</v>
      </c>
      <c r="J605" s="104" t="str">
        <f t="shared" si="456"/>
        <v>Item_Name_14157003</v>
      </c>
      <c r="K605" s="20">
        <v>10104001</v>
      </c>
      <c r="L605" s="107">
        <f t="shared" si="461"/>
        <v>5</v>
      </c>
      <c r="M605" s="105">
        <f>IF(D605=0, 0, _xlfn.XLOOKUP($F605,'#무게관련'!$B:$B,'#무게관련'!$C:$C)*_xlfn.XLOOKUP($L605,'#무게관련'!$F:$F,'#무게관련'!$G:$G)*100)</f>
        <v>4000</v>
      </c>
      <c r="N605" s="20">
        <v>20600</v>
      </c>
      <c r="O605" s="20">
        <v>4</v>
      </c>
      <c r="P605" s="20">
        <v>15</v>
      </c>
      <c r="Q605" s="20">
        <v>1</v>
      </c>
      <c r="R605" s="20">
        <v>100</v>
      </c>
      <c r="S605" s="20">
        <v>1</v>
      </c>
      <c r="T605" s="20" t="s">
        <v>1888</v>
      </c>
      <c r="U605" s="104" t="str">
        <f t="shared" si="498"/>
        <v>item_bg_grade_05</v>
      </c>
      <c r="V605" s="20" t="s">
        <v>502</v>
      </c>
      <c r="W605" s="20" t="s">
        <v>400</v>
      </c>
      <c r="X605" s="104">
        <v>0</v>
      </c>
      <c r="Y605" s="104">
        <v>0</v>
      </c>
      <c r="Z605" s="104">
        <v>0</v>
      </c>
      <c r="AA605" s="104">
        <v>0</v>
      </c>
      <c r="AB605" s="104">
        <v>0</v>
      </c>
      <c r="AC605" s="104">
        <v>0</v>
      </c>
      <c r="AD605" s="142">
        <v>0</v>
      </c>
      <c r="AE605" s="112">
        <f t="shared" si="462"/>
        <v>50</v>
      </c>
      <c r="AF605" s="70">
        <v>4507030</v>
      </c>
      <c r="AG605" s="105" cm="1">
        <f t="array" ref="AG605">_xlfn.SWITCH(L605,3,1,
           4,1,
           5,1,
           6,1,0)</f>
        <v>1</v>
      </c>
      <c r="AH605" s="146">
        <f t="shared" si="476"/>
        <v>80101501</v>
      </c>
      <c r="AI605" s="90">
        <v>6003</v>
      </c>
      <c r="AJ605" s="90">
        <v>3008</v>
      </c>
      <c r="AK605" s="27">
        <v>5007</v>
      </c>
      <c r="AL605" s="123">
        <f>_xlfn.XLOOKUP(H605,'#각종 참고'!$B$11:$B$20,'#각종 참고'!$D$11:$D$20)</f>
        <v>0</v>
      </c>
      <c r="AM605" s="27">
        <v>1</v>
      </c>
      <c r="AN605" s="27">
        <v>1</v>
      </c>
      <c r="AO605" s="124">
        <f t="shared" si="469"/>
        <v>1</v>
      </c>
      <c r="AP605" s="27">
        <v>1</v>
      </c>
      <c r="AQ605" s="21">
        <v>14157021</v>
      </c>
      <c r="AR605" s="21" t="s">
        <v>2626</v>
      </c>
      <c r="AS605" s="68"/>
      <c r="AT605" s="68"/>
      <c r="AU605" s="68"/>
    </row>
    <row r="606" spans="1:47" x14ac:dyDescent="0.3">
      <c r="A606" s="19"/>
      <c r="B606" s="109">
        <v>14167001</v>
      </c>
      <c r="C606" s="99" t="str">
        <f t="shared" si="495"/>
        <v>4</v>
      </c>
      <c r="D606" s="121">
        <f>COUNTIFS($F$33:F606,F606, $G$33:G606,G606, $C$33:C606,C606, $L$33:L606,L606)</f>
        <v>1</v>
      </c>
      <c r="E606" s="20">
        <v>1</v>
      </c>
      <c r="F606" s="20">
        <v>7</v>
      </c>
      <c r="G606" s="20">
        <v>1</v>
      </c>
      <c r="H606" s="103" t="s">
        <v>957</v>
      </c>
      <c r="I606" s="20" t="s">
        <v>1832</v>
      </c>
      <c r="J606" s="104" t="str">
        <f t="shared" si="456"/>
        <v>Item_Name_14167001</v>
      </c>
      <c r="K606" s="20">
        <v>10104001</v>
      </c>
      <c r="L606" s="107">
        <f t="shared" si="461"/>
        <v>6</v>
      </c>
      <c r="M606" s="105">
        <f>IF(D606=0, 0, _xlfn.XLOOKUP($F606,'#무게관련'!$B:$B,'#무게관련'!$C:$C)*_xlfn.XLOOKUP($L606,'#무게관련'!$F:$F,'#무게관련'!$G:$G)*100)</f>
        <v>4000</v>
      </c>
      <c r="N606" s="20">
        <v>20600</v>
      </c>
      <c r="O606" s="20">
        <v>4</v>
      </c>
      <c r="P606" s="20">
        <v>15</v>
      </c>
      <c r="Q606" s="20">
        <v>1</v>
      </c>
      <c r="R606" s="20">
        <v>100</v>
      </c>
      <c r="S606" s="20">
        <v>1</v>
      </c>
      <c r="T606" s="109" t="s">
        <v>1888</v>
      </c>
      <c r="U606" s="104" t="str">
        <f t="shared" si="496"/>
        <v>item_bg_grade_06</v>
      </c>
      <c r="V606" s="20" t="s">
        <v>502</v>
      </c>
      <c r="W606" s="20" t="s">
        <v>400</v>
      </c>
      <c r="X606" s="104">
        <v>0</v>
      </c>
      <c r="Y606" s="104">
        <v>0</v>
      </c>
      <c r="Z606" s="104">
        <v>0</v>
      </c>
      <c r="AA606" s="104">
        <v>0</v>
      </c>
      <c r="AB606" s="104">
        <v>0</v>
      </c>
      <c r="AC606" s="104">
        <v>0</v>
      </c>
      <c r="AD606" s="142">
        <v>0</v>
      </c>
      <c r="AE606" s="112">
        <f t="shared" si="462"/>
        <v>70</v>
      </c>
      <c r="AF606" s="70">
        <v>4607010</v>
      </c>
      <c r="AG606" s="105" cm="1">
        <f t="array" ref="AG606">_xlfn.SWITCH(L606,3,1,
           4,1,
           5,1,
           6,1,0)</f>
        <v>1</v>
      </c>
      <c r="AH606" s="146">
        <f t="shared" si="476"/>
        <v>0</v>
      </c>
      <c r="AI606" s="90">
        <v>6004</v>
      </c>
      <c r="AJ606" s="90">
        <v>3010</v>
      </c>
      <c r="AK606" s="27">
        <v>6007</v>
      </c>
      <c r="AL606" s="123">
        <f>_xlfn.XLOOKUP(H606,'#각종 참고'!$B$11:$B$20,'#각종 참고'!$D$11:$D$20)</f>
        <v>0</v>
      </c>
      <c r="AM606" s="27">
        <v>1</v>
      </c>
      <c r="AN606" s="27">
        <v>1</v>
      </c>
      <c r="AO606" s="124">
        <f t="shared" si="469"/>
        <v>1</v>
      </c>
      <c r="AP606" s="27">
        <v>1</v>
      </c>
      <c r="AQ606" s="21">
        <v>14167001</v>
      </c>
      <c r="AR606" s="21" t="s">
        <v>1832</v>
      </c>
      <c r="AS606" s="68"/>
      <c r="AT606" s="68"/>
      <c r="AU606" s="68"/>
    </row>
    <row r="607" spans="1:47" x14ac:dyDescent="0.3">
      <c r="A607" s="19" t="s">
        <v>513</v>
      </c>
      <c r="B607" s="109">
        <v>14167002</v>
      </c>
      <c r="C607" s="99" t="str">
        <f t="shared" ref="C607:C608" si="499">IF(K607&gt;0,MID(K607,5, 1), 0)</f>
        <v>4</v>
      </c>
      <c r="D607" s="121">
        <f>COUNTIFS($F$33:F607,F607, $G$33:G607,G607, $C$33:C607,C607, $L$33:L607,L607)</f>
        <v>2</v>
      </c>
      <c r="E607" s="20">
        <v>1</v>
      </c>
      <c r="F607" s="20">
        <v>7</v>
      </c>
      <c r="G607" s="20">
        <v>1</v>
      </c>
      <c r="H607" s="103" t="s">
        <v>957</v>
      </c>
      <c r="I607" s="20" t="s">
        <v>1831</v>
      </c>
      <c r="J607" s="104" t="str">
        <f t="shared" si="456"/>
        <v>Item_Name_14167002</v>
      </c>
      <c r="K607" s="20">
        <v>10104001</v>
      </c>
      <c r="L607" s="107">
        <f t="shared" si="461"/>
        <v>6</v>
      </c>
      <c r="M607" s="105">
        <f>IF(D607=0, 0, _xlfn.XLOOKUP($F607,'#무게관련'!$B:$B,'#무게관련'!$C:$C)*_xlfn.XLOOKUP($L607,'#무게관련'!$F:$F,'#무게관련'!$G:$G)*100)</f>
        <v>4000</v>
      </c>
      <c r="N607" s="20">
        <v>20600</v>
      </c>
      <c r="O607" s="20">
        <v>4</v>
      </c>
      <c r="P607" s="20">
        <v>15</v>
      </c>
      <c r="Q607" s="20">
        <v>1</v>
      </c>
      <c r="R607" s="20">
        <v>100</v>
      </c>
      <c r="S607" s="20">
        <v>1</v>
      </c>
      <c r="T607" s="109" t="s">
        <v>1888</v>
      </c>
      <c r="U607" s="104" t="str">
        <f t="shared" ref="U607:U608" si="500">"item_bg_grade_0"&amp;L607</f>
        <v>item_bg_grade_06</v>
      </c>
      <c r="V607" s="20" t="s">
        <v>502</v>
      </c>
      <c r="W607" s="20" t="s">
        <v>400</v>
      </c>
      <c r="X607" s="104">
        <v>0</v>
      </c>
      <c r="Y607" s="104">
        <v>0</v>
      </c>
      <c r="Z607" s="104">
        <v>0</v>
      </c>
      <c r="AA607" s="104">
        <v>0</v>
      </c>
      <c r="AB607" s="104">
        <v>0</v>
      </c>
      <c r="AC607" s="104">
        <v>0</v>
      </c>
      <c r="AD607" s="142">
        <v>0</v>
      </c>
      <c r="AE607" s="112">
        <f t="shared" si="462"/>
        <v>70</v>
      </c>
      <c r="AF607" s="70">
        <v>4607010</v>
      </c>
      <c r="AG607" s="105" cm="1">
        <f t="array" ref="AG607">_xlfn.SWITCH(L607,3,1,
           4,1,
           5,1,
           6,1,0)</f>
        <v>1</v>
      </c>
      <c r="AH607" s="146">
        <f t="shared" si="476"/>
        <v>0</v>
      </c>
      <c r="AI607" s="90">
        <v>6004</v>
      </c>
      <c r="AJ607" s="90">
        <v>3010</v>
      </c>
      <c r="AK607" s="27">
        <v>6007</v>
      </c>
      <c r="AL607" s="123">
        <f>_xlfn.XLOOKUP(H607,'#각종 참고'!$B$11:$B$20,'#각종 참고'!$D$11:$D$20)</f>
        <v>0</v>
      </c>
      <c r="AM607" s="27">
        <v>1</v>
      </c>
      <c r="AN607" s="27">
        <v>1</v>
      </c>
      <c r="AO607" s="124">
        <f t="shared" si="469"/>
        <v>1</v>
      </c>
      <c r="AP607" s="27">
        <v>1</v>
      </c>
      <c r="AQ607" s="21">
        <v>14167011</v>
      </c>
      <c r="AR607" s="21" t="s">
        <v>2627</v>
      </c>
      <c r="AS607" s="68"/>
      <c r="AT607" s="68"/>
      <c r="AU607" s="68"/>
    </row>
    <row r="608" spans="1:47" x14ac:dyDescent="0.3">
      <c r="A608" s="19" t="s">
        <v>513</v>
      </c>
      <c r="B608" s="109">
        <v>14167003</v>
      </c>
      <c r="C608" s="99" t="str">
        <f t="shared" si="499"/>
        <v>4</v>
      </c>
      <c r="D608" s="121">
        <f>COUNTIFS($F$33:F608,F608, $G$33:G608,G608, $C$33:C608,C608, $L$33:L608,L608)</f>
        <v>3</v>
      </c>
      <c r="E608" s="20">
        <v>1</v>
      </c>
      <c r="F608" s="20">
        <v>7</v>
      </c>
      <c r="G608" s="20">
        <v>1</v>
      </c>
      <c r="H608" s="103" t="s">
        <v>957</v>
      </c>
      <c r="I608" s="20" t="s">
        <v>2243</v>
      </c>
      <c r="J608" s="104" t="str">
        <f t="shared" si="456"/>
        <v>Item_Name_14167003</v>
      </c>
      <c r="K608" s="20">
        <v>10104001</v>
      </c>
      <c r="L608" s="107">
        <f t="shared" si="461"/>
        <v>6</v>
      </c>
      <c r="M608" s="105">
        <f>IF(D608=0, 0, _xlfn.XLOOKUP($F608,'#무게관련'!$B:$B,'#무게관련'!$C:$C)*_xlfn.XLOOKUP($L608,'#무게관련'!$F:$F,'#무게관련'!$G:$G)*100)</f>
        <v>4000</v>
      </c>
      <c r="N608" s="20">
        <v>20600</v>
      </c>
      <c r="O608" s="20">
        <v>4</v>
      </c>
      <c r="P608" s="20">
        <v>15</v>
      </c>
      <c r="Q608" s="20">
        <v>1</v>
      </c>
      <c r="R608" s="20">
        <v>100</v>
      </c>
      <c r="S608" s="20">
        <v>1</v>
      </c>
      <c r="T608" s="109" t="s">
        <v>1888</v>
      </c>
      <c r="U608" s="104" t="str">
        <f t="shared" si="500"/>
        <v>item_bg_grade_06</v>
      </c>
      <c r="V608" s="20" t="s">
        <v>502</v>
      </c>
      <c r="W608" s="20" t="s">
        <v>400</v>
      </c>
      <c r="X608" s="104">
        <v>0</v>
      </c>
      <c r="Y608" s="104">
        <v>0</v>
      </c>
      <c r="Z608" s="104">
        <v>0</v>
      </c>
      <c r="AA608" s="104">
        <v>0</v>
      </c>
      <c r="AB608" s="104">
        <v>0</v>
      </c>
      <c r="AC608" s="104">
        <v>0</v>
      </c>
      <c r="AD608" s="142">
        <v>0</v>
      </c>
      <c r="AE608" s="112">
        <f t="shared" si="462"/>
        <v>70</v>
      </c>
      <c r="AF608" s="70">
        <v>4607010</v>
      </c>
      <c r="AG608" s="105" cm="1">
        <f t="array" ref="AG608">_xlfn.SWITCH(L608,3,1,
           4,1,
           5,1,
           6,1,0)</f>
        <v>1</v>
      </c>
      <c r="AH608" s="146">
        <f t="shared" si="476"/>
        <v>0</v>
      </c>
      <c r="AI608" s="90">
        <v>6004</v>
      </c>
      <c r="AJ608" s="90">
        <v>3010</v>
      </c>
      <c r="AK608" s="27">
        <v>6007</v>
      </c>
      <c r="AL608" s="123">
        <f>_xlfn.XLOOKUP(H608,'#각종 참고'!$B$11:$B$20,'#각종 참고'!$D$11:$D$20)</f>
        <v>0</v>
      </c>
      <c r="AM608" s="27">
        <v>1</v>
      </c>
      <c r="AN608" s="27">
        <v>1</v>
      </c>
      <c r="AO608" s="124">
        <f t="shared" si="469"/>
        <v>1</v>
      </c>
      <c r="AP608" s="27">
        <v>1</v>
      </c>
      <c r="AQ608" s="21">
        <v>14167021</v>
      </c>
      <c r="AR608" s="21" t="s">
        <v>2628</v>
      </c>
      <c r="AS608" s="68"/>
      <c r="AT608" s="68"/>
      <c r="AU608" s="68"/>
    </row>
    <row r="609" spans="1:42" x14ac:dyDescent="0.3">
      <c r="A609" s="19"/>
      <c r="B609" s="20">
        <v>10118016</v>
      </c>
      <c r="C609" s="99">
        <f t="shared" ref="C609" si="501">IF(K609&gt;0,MID(K609,5, 1), 0)</f>
        <v>0</v>
      </c>
      <c r="D609" s="121">
        <f>COUNTIFS($F$33:F609,F609, $G$33:G609,G609, $C$33:C609,C609, $L$33:L609,L609)</f>
        <v>1</v>
      </c>
      <c r="E609" s="20">
        <v>1</v>
      </c>
      <c r="F609" s="20">
        <v>8</v>
      </c>
      <c r="G609" s="20">
        <v>1</v>
      </c>
      <c r="H609" s="103" t="s">
        <v>966</v>
      </c>
      <c r="I609" s="20" t="s">
        <v>1490</v>
      </c>
      <c r="J609" s="104" t="str">
        <f t="shared" ref="J609:J642" si="502">"Item_Name_"&amp;$B609</f>
        <v>Item_Name_10118016</v>
      </c>
      <c r="K609" s="20">
        <v>0</v>
      </c>
      <c r="L609" s="20">
        <v>1</v>
      </c>
      <c r="M609" s="105">
        <f>IF(D609=0, 0, _xlfn.XLOOKUP($F609,'#무게관련'!$B:$B,'#무게관련'!$C:$C)*_xlfn.XLOOKUP($L609,'#무게관련'!$F:$F,'#무게관련'!$G:$G)*100)</f>
        <v>1000</v>
      </c>
      <c r="N609" s="20">
        <v>20900</v>
      </c>
      <c r="O609" s="20">
        <v>6</v>
      </c>
      <c r="P609" s="20">
        <v>15</v>
      </c>
      <c r="Q609" s="20">
        <v>1</v>
      </c>
      <c r="R609" s="20">
        <v>100</v>
      </c>
      <c r="S609" s="20">
        <v>1</v>
      </c>
      <c r="T609" s="20" t="s">
        <v>1889</v>
      </c>
      <c r="U609" s="104" t="s">
        <v>171</v>
      </c>
      <c r="V609" s="20" t="s">
        <v>327</v>
      </c>
      <c r="W609" s="20" t="s">
        <v>429</v>
      </c>
      <c r="X609" s="104">
        <v>0</v>
      </c>
      <c r="Y609" s="104">
        <v>0</v>
      </c>
      <c r="Z609" s="104">
        <v>0</v>
      </c>
      <c r="AA609" s="104">
        <v>0</v>
      </c>
      <c r="AB609" s="104">
        <v>0</v>
      </c>
      <c r="AC609" s="104">
        <v>0</v>
      </c>
      <c r="AD609" s="142">
        <v>0</v>
      </c>
      <c r="AE609" s="31">
        <v>10</v>
      </c>
      <c r="AF609" s="70">
        <v>5108011</v>
      </c>
      <c r="AG609" s="105" cm="1">
        <f t="array" ref="AG609">_xlfn.SWITCH(L609,3,1,
           4,1,
           5,1,
           6,1,0)</f>
        <v>0</v>
      </c>
      <c r="AH609" s="145" t="s">
        <v>1547</v>
      </c>
      <c r="AI609" s="90">
        <v>6005</v>
      </c>
      <c r="AJ609" s="90">
        <v>4001</v>
      </c>
      <c r="AK609" s="27">
        <v>0</v>
      </c>
      <c r="AL609" s="123">
        <f>_xlfn.XLOOKUP(H609,'#각종 참고'!$B$11:$B$20,'#각종 참고'!$D$11:$D$20)</f>
        <v>0</v>
      </c>
      <c r="AM609" s="27">
        <v>1</v>
      </c>
      <c r="AN609" s="27">
        <v>1</v>
      </c>
      <c r="AO609" s="124">
        <f t="shared" ref="AO609:AO619" si="503">IF(AM609=1,AM609,AL609)</f>
        <v>1</v>
      </c>
      <c r="AP609" s="27">
        <v>1</v>
      </c>
    </row>
    <row r="610" spans="1:42" x14ac:dyDescent="0.3">
      <c r="A610" s="19"/>
      <c r="B610" s="20">
        <v>10128016</v>
      </c>
      <c r="C610" s="99">
        <f t="shared" ref="C610" si="504">IF(K610&gt;0,MID(K610,5, 1), 0)</f>
        <v>0</v>
      </c>
      <c r="D610" s="121">
        <f>COUNTIFS($F$33:F610,F610, $G$33:G610,G610, $C$33:C610,C610, $L$33:L610,L610)</f>
        <v>1</v>
      </c>
      <c r="E610" s="20">
        <v>1</v>
      </c>
      <c r="F610" s="20">
        <v>8</v>
      </c>
      <c r="G610" s="20">
        <v>1</v>
      </c>
      <c r="H610" s="103" t="s">
        <v>966</v>
      </c>
      <c r="I610" s="20" t="s">
        <v>1491</v>
      </c>
      <c r="J610" s="104" t="str">
        <f t="shared" si="502"/>
        <v>Item_Name_10128016</v>
      </c>
      <c r="K610" s="20">
        <v>0</v>
      </c>
      <c r="L610" s="20">
        <v>2</v>
      </c>
      <c r="M610" s="105">
        <f>IF(D610=0, 0, _xlfn.XLOOKUP($F610,'#무게관련'!$B:$B,'#무게관련'!$C:$C)*_xlfn.XLOOKUP($L610,'#무게관련'!$F:$F,'#무게관련'!$G:$G)*100)</f>
        <v>1000</v>
      </c>
      <c r="N610" s="20">
        <v>20900</v>
      </c>
      <c r="O610" s="20">
        <v>6</v>
      </c>
      <c r="P610" s="20">
        <v>15</v>
      </c>
      <c r="Q610" s="20">
        <v>1</v>
      </c>
      <c r="R610" s="20">
        <v>100</v>
      </c>
      <c r="S610" s="20">
        <v>1</v>
      </c>
      <c r="T610" s="20" t="s">
        <v>1890</v>
      </c>
      <c r="U610" s="104" t="s">
        <v>256</v>
      </c>
      <c r="V610" s="20" t="s">
        <v>327</v>
      </c>
      <c r="W610" s="20" t="s">
        <v>429</v>
      </c>
      <c r="X610" s="104">
        <v>0</v>
      </c>
      <c r="Y610" s="104">
        <v>0</v>
      </c>
      <c r="Z610" s="104">
        <v>0</v>
      </c>
      <c r="AA610" s="104">
        <v>0</v>
      </c>
      <c r="AB610" s="104">
        <v>0</v>
      </c>
      <c r="AC610" s="104">
        <v>0</v>
      </c>
      <c r="AD610" s="142">
        <v>0</v>
      </c>
      <c r="AE610" s="31">
        <v>10</v>
      </c>
      <c r="AF610" s="70">
        <v>5208011</v>
      </c>
      <c r="AG610" s="105" cm="1">
        <f t="array" ref="AG610">_xlfn.SWITCH(L610,3,1,
           4,1,
           5,1,
           6,1,0)</f>
        <v>0</v>
      </c>
      <c r="AH610" s="145" t="s">
        <v>1548</v>
      </c>
      <c r="AI610" s="90">
        <v>6000</v>
      </c>
      <c r="AJ610" s="90">
        <v>4002</v>
      </c>
      <c r="AK610" s="27">
        <v>0</v>
      </c>
      <c r="AL610" s="123">
        <f>_xlfn.XLOOKUP(H610,'#각종 참고'!$B$11:$B$20,'#각종 참고'!$D$11:$D$20)</f>
        <v>0</v>
      </c>
      <c r="AM610" s="27">
        <v>1</v>
      </c>
      <c r="AN610" s="27">
        <v>1</v>
      </c>
      <c r="AO610" s="124">
        <f t="shared" si="503"/>
        <v>1</v>
      </c>
      <c r="AP610" s="27">
        <v>1</v>
      </c>
    </row>
    <row r="611" spans="1:42" x14ac:dyDescent="0.3">
      <c r="A611" s="19"/>
      <c r="B611" s="20">
        <v>10138016</v>
      </c>
      <c r="C611" s="99">
        <f t="shared" ref="C611:C639" si="505">IF(K611&gt;0,MID(K611,5, 1), 0)</f>
        <v>0</v>
      </c>
      <c r="D611" s="121">
        <f>COUNTIFS($F$33:F611,F611, $G$33:G611,G611, $C$33:C611,C611, $L$33:L611,L611)</f>
        <v>1</v>
      </c>
      <c r="E611" s="20">
        <v>1</v>
      </c>
      <c r="F611" s="20">
        <v>8</v>
      </c>
      <c r="G611" s="20">
        <v>1</v>
      </c>
      <c r="H611" s="103" t="s">
        <v>966</v>
      </c>
      <c r="I611" s="20" t="s">
        <v>1492</v>
      </c>
      <c r="J611" s="104" t="str">
        <f t="shared" si="502"/>
        <v>Item_Name_10138016</v>
      </c>
      <c r="K611" s="20">
        <v>0</v>
      </c>
      <c r="L611" s="20">
        <v>3</v>
      </c>
      <c r="M611" s="105">
        <f>IF(D611=0, 0, _xlfn.XLOOKUP($F611,'#무게관련'!$B:$B,'#무게관련'!$C:$C)*_xlfn.XLOOKUP($L611,'#무게관련'!$F:$F,'#무게관련'!$G:$G)*100)</f>
        <v>1000</v>
      </c>
      <c r="N611" s="20">
        <v>20900</v>
      </c>
      <c r="O611" s="20">
        <v>6</v>
      </c>
      <c r="P611" s="20">
        <v>15</v>
      </c>
      <c r="Q611" s="20">
        <v>1</v>
      </c>
      <c r="R611" s="20">
        <v>100</v>
      </c>
      <c r="S611" s="20">
        <v>1</v>
      </c>
      <c r="T611" s="20" t="s">
        <v>1891</v>
      </c>
      <c r="U611" s="104" t="s">
        <v>257</v>
      </c>
      <c r="V611" s="20" t="s">
        <v>327</v>
      </c>
      <c r="W611" s="20" t="s">
        <v>429</v>
      </c>
      <c r="X611" s="104">
        <v>0</v>
      </c>
      <c r="Y611" s="104">
        <v>0</v>
      </c>
      <c r="Z611" s="104">
        <v>0</v>
      </c>
      <c r="AA611" s="104">
        <v>0</v>
      </c>
      <c r="AB611" s="104">
        <v>0</v>
      </c>
      <c r="AC611" s="104">
        <v>0</v>
      </c>
      <c r="AD611" s="142">
        <v>0</v>
      </c>
      <c r="AE611" s="31">
        <v>10</v>
      </c>
      <c r="AF611" s="70">
        <v>5308011</v>
      </c>
      <c r="AG611" s="105" cm="1">
        <f t="array" ref="AG611">_xlfn.SWITCH(L611,3,1,
           4,1,
           5,1,
           6,1,0)</f>
        <v>1</v>
      </c>
      <c r="AH611" s="145" t="s">
        <v>1549</v>
      </c>
      <c r="AI611" s="90">
        <v>6001</v>
      </c>
      <c r="AJ611" s="90">
        <v>4003</v>
      </c>
      <c r="AK611" s="27">
        <v>0</v>
      </c>
      <c r="AL611" s="123">
        <f>_xlfn.XLOOKUP(H611,'#각종 참고'!$B$11:$B$20,'#각종 참고'!$D$11:$D$20)</f>
        <v>0</v>
      </c>
      <c r="AM611" s="27">
        <v>1</v>
      </c>
      <c r="AN611" s="27">
        <v>1</v>
      </c>
      <c r="AO611" s="124">
        <f t="shared" si="503"/>
        <v>1</v>
      </c>
      <c r="AP611" s="27">
        <v>1</v>
      </c>
    </row>
    <row r="612" spans="1:42" x14ac:dyDescent="0.3">
      <c r="A612" s="19"/>
      <c r="B612" s="20">
        <v>10118017</v>
      </c>
      <c r="C612" s="99">
        <f t="shared" si="505"/>
        <v>0</v>
      </c>
      <c r="D612" s="121">
        <f>COUNTIFS($F$33:F612,F612, $G$33:G612,G612, $C$33:C612,C612, $L$33:L612,L612)</f>
        <v>2</v>
      </c>
      <c r="E612" s="20">
        <v>1</v>
      </c>
      <c r="F612" s="20">
        <v>8</v>
      </c>
      <c r="G612" s="20">
        <v>1</v>
      </c>
      <c r="H612" s="103" t="s">
        <v>966</v>
      </c>
      <c r="I612" s="20" t="s">
        <v>1493</v>
      </c>
      <c r="J612" s="104" t="str">
        <f t="shared" si="502"/>
        <v>Item_Name_10118017</v>
      </c>
      <c r="K612" s="20">
        <v>0</v>
      </c>
      <c r="L612" s="20">
        <v>1</v>
      </c>
      <c r="M612" s="105">
        <f>IF(D612=0, 0, _xlfn.XLOOKUP($F612,'#무게관련'!$B:$B,'#무게관련'!$C:$C)*_xlfn.XLOOKUP($L612,'#무게관련'!$F:$F,'#무게관련'!$G:$G)*100)</f>
        <v>1000</v>
      </c>
      <c r="N612" s="20">
        <v>20900</v>
      </c>
      <c r="O612" s="20">
        <v>6</v>
      </c>
      <c r="P612" s="20">
        <v>15</v>
      </c>
      <c r="Q612" s="20">
        <v>1</v>
      </c>
      <c r="R612" s="20">
        <v>100</v>
      </c>
      <c r="S612" s="20">
        <v>1</v>
      </c>
      <c r="T612" s="20" t="s">
        <v>1889</v>
      </c>
      <c r="U612" s="104" t="s">
        <v>171</v>
      </c>
      <c r="V612" s="20" t="s">
        <v>327</v>
      </c>
      <c r="W612" s="20" t="s">
        <v>429</v>
      </c>
      <c r="X612" s="104">
        <v>0</v>
      </c>
      <c r="Y612" s="104">
        <v>0</v>
      </c>
      <c r="Z612" s="104">
        <v>0</v>
      </c>
      <c r="AA612" s="104">
        <v>0</v>
      </c>
      <c r="AB612" s="104">
        <v>0</v>
      </c>
      <c r="AC612" s="104">
        <v>0</v>
      </c>
      <c r="AD612" s="142">
        <v>0</v>
      </c>
      <c r="AE612" s="31">
        <v>10</v>
      </c>
      <c r="AF612" s="70">
        <v>5108012</v>
      </c>
      <c r="AG612" s="105" cm="1">
        <f t="array" ref="AG612">_xlfn.SWITCH(L612,3,1,
           4,1,
           5,1,
           6,1,0)</f>
        <v>0</v>
      </c>
      <c r="AH612" s="145" t="s">
        <v>1547</v>
      </c>
      <c r="AI612" s="90">
        <v>6005</v>
      </c>
      <c r="AJ612" s="90">
        <v>4001</v>
      </c>
      <c r="AK612" s="27">
        <v>0</v>
      </c>
      <c r="AL612" s="123">
        <f>_xlfn.XLOOKUP(H612,'#각종 참고'!$B$11:$B$20,'#각종 참고'!$D$11:$D$20)</f>
        <v>0</v>
      </c>
      <c r="AM612" s="27">
        <v>1</v>
      </c>
      <c r="AN612" s="27">
        <v>1</v>
      </c>
      <c r="AO612" s="124">
        <f t="shared" si="503"/>
        <v>1</v>
      </c>
      <c r="AP612" s="27">
        <v>1</v>
      </c>
    </row>
    <row r="613" spans="1:42" x14ac:dyDescent="0.3">
      <c r="A613" s="19"/>
      <c r="B613" s="20">
        <v>10128017</v>
      </c>
      <c r="C613" s="99">
        <f t="shared" si="505"/>
        <v>0</v>
      </c>
      <c r="D613" s="121">
        <f>COUNTIFS($F$33:F613,F613, $G$33:G613,G613, $C$33:C613,C613, $L$33:L613,L613)</f>
        <v>2</v>
      </c>
      <c r="E613" s="20">
        <v>1</v>
      </c>
      <c r="F613" s="20">
        <v>8</v>
      </c>
      <c r="G613" s="20">
        <v>1</v>
      </c>
      <c r="H613" s="103" t="s">
        <v>966</v>
      </c>
      <c r="I613" s="20" t="s">
        <v>1494</v>
      </c>
      <c r="J613" s="104" t="str">
        <f t="shared" si="502"/>
        <v>Item_Name_10128017</v>
      </c>
      <c r="K613" s="20">
        <v>0</v>
      </c>
      <c r="L613" s="20">
        <v>2</v>
      </c>
      <c r="M613" s="105">
        <f>IF(D613=0, 0, _xlfn.XLOOKUP($F613,'#무게관련'!$B:$B,'#무게관련'!$C:$C)*_xlfn.XLOOKUP($L613,'#무게관련'!$F:$F,'#무게관련'!$G:$G)*100)</f>
        <v>1000</v>
      </c>
      <c r="N613" s="20">
        <v>20900</v>
      </c>
      <c r="O613" s="20">
        <v>6</v>
      </c>
      <c r="P613" s="20">
        <v>15</v>
      </c>
      <c r="Q613" s="20">
        <v>1</v>
      </c>
      <c r="R613" s="20">
        <v>100</v>
      </c>
      <c r="S613" s="20">
        <v>1</v>
      </c>
      <c r="T613" s="20" t="s">
        <v>1890</v>
      </c>
      <c r="U613" s="104" t="s">
        <v>256</v>
      </c>
      <c r="V613" s="20" t="s">
        <v>327</v>
      </c>
      <c r="W613" s="20" t="s">
        <v>429</v>
      </c>
      <c r="X613" s="104">
        <v>0</v>
      </c>
      <c r="Y613" s="104">
        <v>0</v>
      </c>
      <c r="Z613" s="104">
        <v>0</v>
      </c>
      <c r="AA613" s="104">
        <v>0</v>
      </c>
      <c r="AB613" s="104">
        <v>0</v>
      </c>
      <c r="AC613" s="104">
        <v>0</v>
      </c>
      <c r="AD613" s="142">
        <v>0</v>
      </c>
      <c r="AE613" s="31">
        <v>10</v>
      </c>
      <c r="AF613" s="70">
        <v>5208012</v>
      </c>
      <c r="AG613" s="105" cm="1">
        <f t="array" ref="AG613">_xlfn.SWITCH(L613,3,1,
           4,1,
           5,1,
           6,1,0)</f>
        <v>0</v>
      </c>
      <c r="AH613" s="145" t="s">
        <v>1548</v>
      </c>
      <c r="AI613" s="90">
        <v>6000</v>
      </c>
      <c r="AJ613" s="90">
        <v>4002</v>
      </c>
      <c r="AK613" s="27">
        <v>0</v>
      </c>
      <c r="AL613" s="123">
        <f>_xlfn.XLOOKUP(H613,'#각종 참고'!$B$11:$B$20,'#각종 참고'!$D$11:$D$20)</f>
        <v>0</v>
      </c>
      <c r="AM613" s="27">
        <v>1</v>
      </c>
      <c r="AN613" s="27">
        <v>1</v>
      </c>
      <c r="AO613" s="124">
        <f t="shared" si="503"/>
        <v>1</v>
      </c>
      <c r="AP613" s="27">
        <v>1</v>
      </c>
    </row>
    <row r="614" spans="1:42" x14ac:dyDescent="0.3">
      <c r="A614" s="19"/>
      <c r="B614" s="20">
        <v>10138017</v>
      </c>
      <c r="C614" s="99">
        <f t="shared" ref="C614:C619" si="506">IF(K614&gt;0,MID(K614,5, 1), 0)</f>
        <v>0</v>
      </c>
      <c r="D614" s="121">
        <f>COUNTIFS($F$33:F614,F614, $G$33:G614,G614, $C$33:C614,C614, $L$33:L614,L614)</f>
        <v>2</v>
      </c>
      <c r="E614" s="20">
        <v>1</v>
      </c>
      <c r="F614" s="20">
        <v>8</v>
      </c>
      <c r="G614" s="20">
        <v>1</v>
      </c>
      <c r="H614" s="103" t="s">
        <v>966</v>
      </c>
      <c r="I614" s="20" t="s">
        <v>1495</v>
      </c>
      <c r="J614" s="104" t="str">
        <f t="shared" si="502"/>
        <v>Item_Name_10138017</v>
      </c>
      <c r="K614" s="20">
        <v>0</v>
      </c>
      <c r="L614" s="20">
        <v>3</v>
      </c>
      <c r="M614" s="105">
        <f>IF(D614=0, 0, _xlfn.XLOOKUP($F614,'#무게관련'!$B:$B,'#무게관련'!$C:$C)*_xlfn.XLOOKUP($L614,'#무게관련'!$F:$F,'#무게관련'!$G:$G)*100)</f>
        <v>1000</v>
      </c>
      <c r="N614" s="20">
        <v>20900</v>
      </c>
      <c r="O614" s="20">
        <v>6</v>
      </c>
      <c r="P614" s="20">
        <v>15</v>
      </c>
      <c r="Q614" s="20">
        <v>1</v>
      </c>
      <c r="R614" s="20">
        <v>100</v>
      </c>
      <c r="S614" s="20">
        <v>1</v>
      </c>
      <c r="T614" s="20" t="s">
        <v>1891</v>
      </c>
      <c r="U614" s="104" t="s">
        <v>257</v>
      </c>
      <c r="V614" s="20" t="s">
        <v>327</v>
      </c>
      <c r="W614" s="20" t="s">
        <v>429</v>
      </c>
      <c r="X614" s="104">
        <v>0</v>
      </c>
      <c r="Y614" s="104">
        <v>0</v>
      </c>
      <c r="Z614" s="104">
        <v>0</v>
      </c>
      <c r="AA614" s="104">
        <v>0</v>
      </c>
      <c r="AB614" s="104">
        <v>0</v>
      </c>
      <c r="AC614" s="104">
        <v>0</v>
      </c>
      <c r="AD614" s="142">
        <v>0</v>
      </c>
      <c r="AE614" s="31">
        <v>10</v>
      </c>
      <c r="AF614" s="70">
        <v>5308012</v>
      </c>
      <c r="AG614" s="105" cm="1">
        <f t="array" ref="AG614">_xlfn.SWITCH(L614,3,1,
           4,1,
           5,1,
           6,1,0)</f>
        <v>1</v>
      </c>
      <c r="AH614" s="145" t="s">
        <v>1549</v>
      </c>
      <c r="AI614" s="90">
        <v>6001</v>
      </c>
      <c r="AJ614" s="90">
        <v>4003</v>
      </c>
      <c r="AK614" s="27">
        <v>0</v>
      </c>
      <c r="AL614" s="123">
        <f>_xlfn.XLOOKUP(H614,'#각종 참고'!$B$11:$B$20,'#각종 참고'!$D$11:$D$20)</f>
        <v>0</v>
      </c>
      <c r="AM614" s="27">
        <v>1</v>
      </c>
      <c r="AN614" s="27">
        <v>1</v>
      </c>
      <c r="AO614" s="124">
        <f t="shared" si="503"/>
        <v>1</v>
      </c>
      <c r="AP614" s="27">
        <v>1</v>
      </c>
    </row>
    <row r="615" spans="1:42" x14ac:dyDescent="0.3">
      <c r="A615" s="19"/>
      <c r="B615" s="20">
        <v>10118018</v>
      </c>
      <c r="C615" s="99">
        <f t="shared" si="506"/>
        <v>0</v>
      </c>
      <c r="D615" s="121">
        <f>COUNTIFS($F$33:F615,F615, $G$33:G615,G615, $C$33:C615,C615, $L$33:L615,L615)</f>
        <v>3</v>
      </c>
      <c r="E615" s="20">
        <v>1</v>
      </c>
      <c r="F615" s="20">
        <v>8</v>
      </c>
      <c r="G615" s="20">
        <v>1</v>
      </c>
      <c r="H615" s="103" t="s">
        <v>966</v>
      </c>
      <c r="I615" s="20" t="s">
        <v>1496</v>
      </c>
      <c r="J615" s="104" t="str">
        <f t="shared" si="502"/>
        <v>Item_Name_10118018</v>
      </c>
      <c r="K615" s="20">
        <v>0</v>
      </c>
      <c r="L615" s="20">
        <v>1</v>
      </c>
      <c r="M615" s="105">
        <f>IF(D615=0, 0, _xlfn.XLOOKUP($F615,'#무게관련'!$B:$B,'#무게관련'!$C:$C)*_xlfn.XLOOKUP($L615,'#무게관련'!$F:$F,'#무게관련'!$G:$G)*100)</f>
        <v>1000</v>
      </c>
      <c r="N615" s="20">
        <v>20900</v>
      </c>
      <c r="O615" s="20">
        <v>6</v>
      </c>
      <c r="P615" s="20">
        <v>15</v>
      </c>
      <c r="Q615" s="20">
        <v>1</v>
      </c>
      <c r="R615" s="20">
        <v>100</v>
      </c>
      <c r="S615" s="20">
        <v>1</v>
      </c>
      <c r="T615" s="20" t="s">
        <v>1889</v>
      </c>
      <c r="U615" s="104" t="s">
        <v>171</v>
      </c>
      <c r="V615" s="20" t="s">
        <v>327</v>
      </c>
      <c r="W615" s="20" t="s">
        <v>429</v>
      </c>
      <c r="X615" s="104">
        <v>0</v>
      </c>
      <c r="Y615" s="104">
        <v>0</v>
      </c>
      <c r="Z615" s="104">
        <v>0</v>
      </c>
      <c r="AA615" s="104">
        <v>0</v>
      </c>
      <c r="AB615" s="104">
        <v>0</v>
      </c>
      <c r="AC615" s="104">
        <v>0</v>
      </c>
      <c r="AD615" s="142">
        <v>0</v>
      </c>
      <c r="AE615" s="31">
        <v>10</v>
      </c>
      <c r="AF615" s="70">
        <v>5108013</v>
      </c>
      <c r="AG615" s="105" cm="1">
        <f t="array" ref="AG615">_xlfn.SWITCH(L615,3,1,
           4,1,
           5,1,
           6,1,0)</f>
        <v>0</v>
      </c>
      <c r="AH615" s="145" t="s">
        <v>1547</v>
      </c>
      <c r="AI615" s="90">
        <v>6005</v>
      </c>
      <c r="AJ615" s="90">
        <v>4001</v>
      </c>
      <c r="AK615" s="27">
        <v>0</v>
      </c>
      <c r="AL615" s="123">
        <f>_xlfn.XLOOKUP(H615,'#각종 참고'!$B$11:$B$20,'#각종 참고'!$D$11:$D$20)</f>
        <v>0</v>
      </c>
      <c r="AM615" s="27">
        <v>1</v>
      </c>
      <c r="AN615" s="27">
        <v>1</v>
      </c>
      <c r="AO615" s="124">
        <f t="shared" si="503"/>
        <v>1</v>
      </c>
      <c r="AP615" s="27">
        <v>1</v>
      </c>
    </row>
    <row r="616" spans="1:42" x14ac:dyDescent="0.3">
      <c r="A616" s="19"/>
      <c r="B616" s="20">
        <v>10128018</v>
      </c>
      <c r="C616" s="99">
        <f t="shared" si="506"/>
        <v>0</v>
      </c>
      <c r="D616" s="121">
        <f>COUNTIFS($F$33:F616,F616, $G$33:G616,G616, $C$33:C616,C616, $L$33:L616,L616)</f>
        <v>3</v>
      </c>
      <c r="E616" s="20">
        <v>1</v>
      </c>
      <c r="F616" s="20">
        <v>8</v>
      </c>
      <c r="G616" s="20">
        <v>1</v>
      </c>
      <c r="H616" s="103" t="s">
        <v>966</v>
      </c>
      <c r="I616" s="20" t="s">
        <v>1497</v>
      </c>
      <c r="J616" s="104" t="str">
        <f t="shared" si="502"/>
        <v>Item_Name_10128018</v>
      </c>
      <c r="K616" s="20">
        <v>0</v>
      </c>
      <c r="L616" s="20">
        <v>2</v>
      </c>
      <c r="M616" s="105">
        <f>IF(D616=0, 0, _xlfn.XLOOKUP($F616,'#무게관련'!$B:$B,'#무게관련'!$C:$C)*_xlfn.XLOOKUP($L616,'#무게관련'!$F:$F,'#무게관련'!$G:$G)*100)</f>
        <v>1000</v>
      </c>
      <c r="N616" s="20">
        <v>20900</v>
      </c>
      <c r="O616" s="20">
        <v>6</v>
      </c>
      <c r="P616" s="20">
        <v>15</v>
      </c>
      <c r="Q616" s="20">
        <v>1</v>
      </c>
      <c r="R616" s="20">
        <v>100</v>
      </c>
      <c r="S616" s="20">
        <v>1</v>
      </c>
      <c r="T616" s="20" t="s">
        <v>1890</v>
      </c>
      <c r="U616" s="104" t="s">
        <v>256</v>
      </c>
      <c r="V616" s="20" t="s">
        <v>327</v>
      </c>
      <c r="W616" s="20" t="s">
        <v>429</v>
      </c>
      <c r="X616" s="104">
        <v>0</v>
      </c>
      <c r="Y616" s="104">
        <v>0</v>
      </c>
      <c r="Z616" s="104">
        <v>0</v>
      </c>
      <c r="AA616" s="104">
        <v>0</v>
      </c>
      <c r="AB616" s="104">
        <v>0</v>
      </c>
      <c r="AC616" s="104">
        <v>0</v>
      </c>
      <c r="AD616" s="142">
        <v>0</v>
      </c>
      <c r="AE616" s="31">
        <v>10</v>
      </c>
      <c r="AF616" s="70">
        <v>5208013</v>
      </c>
      <c r="AG616" s="105" cm="1">
        <f t="array" ref="AG616">_xlfn.SWITCH(L616,3,1,
           4,1,
           5,1,
           6,1,0)</f>
        <v>0</v>
      </c>
      <c r="AH616" s="145" t="s">
        <v>1548</v>
      </c>
      <c r="AI616" s="90">
        <v>6000</v>
      </c>
      <c r="AJ616" s="90">
        <v>4002</v>
      </c>
      <c r="AK616" s="27">
        <v>0</v>
      </c>
      <c r="AL616" s="123">
        <f>_xlfn.XLOOKUP(H616,'#각종 참고'!$B$11:$B$20,'#각종 참고'!$D$11:$D$20)</f>
        <v>0</v>
      </c>
      <c r="AM616" s="27">
        <v>1</v>
      </c>
      <c r="AN616" s="27">
        <v>1</v>
      </c>
      <c r="AO616" s="124">
        <f t="shared" si="503"/>
        <v>1</v>
      </c>
      <c r="AP616" s="27">
        <v>1</v>
      </c>
    </row>
    <row r="617" spans="1:42" x14ac:dyDescent="0.3">
      <c r="A617" s="19"/>
      <c r="B617" s="20">
        <v>10138018</v>
      </c>
      <c r="C617" s="99">
        <f t="shared" si="506"/>
        <v>0</v>
      </c>
      <c r="D617" s="121">
        <f>COUNTIFS($F$33:F617,F617, $G$33:G617,G617, $C$33:C617,C617, $L$33:L617,L617)</f>
        <v>3</v>
      </c>
      <c r="E617" s="20">
        <v>1</v>
      </c>
      <c r="F617" s="20">
        <v>8</v>
      </c>
      <c r="G617" s="20">
        <v>1</v>
      </c>
      <c r="H617" s="103" t="s">
        <v>966</v>
      </c>
      <c r="I617" s="20" t="s">
        <v>1498</v>
      </c>
      <c r="J617" s="104" t="str">
        <f t="shared" si="502"/>
        <v>Item_Name_10138018</v>
      </c>
      <c r="K617" s="20">
        <v>0</v>
      </c>
      <c r="L617" s="20">
        <v>3</v>
      </c>
      <c r="M617" s="105">
        <f>IF(D617=0, 0, _xlfn.XLOOKUP($F617,'#무게관련'!$B:$B,'#무게관련'!$C:$C)*_xlfn.XLOOKUP($L617,'#무게관련'!$F:$F,'#무게관련'!$G:$G)*100)</f>
        <v>1000</v>
      </c>
      <c r="N617" s="20">
        <v>20900</v>
      </c>
      <c r="O617" s="20">
        <v>6</v>
      </c>
      <c r="P617" s="20">
        <v>15</v>
      </c>
      <c r="Q617" s="20">
        <v>1</v>
      </c>
      <c r="R617" s="20">
        <v>100</v>
      </c>
      <c r="S617" s="20">
        <v>1</v>
      </c>
      <c r="T617" s="20" t="s">
        <v>1891</v>
      </c>
      <c r="U617" s="104" t="s">
        <v>257</v>
      </c>
      <c r="V617" s="20" t="s">
        <v>327</v>
      </c>
      <c r="W617" s="20" t="s">
        <v>429</v>
      </c>
      <c r="X617" s="104">
        <v>0</v>
      </c>
      <c r="Y617" s="104">
        <v>0</v>
      </c>
      <c r="Z617" s="104">
        <v>0</v>
      </c>
      <c r="AA617" s="104">
        <v>0</v>
      </c>
      <c r="AB617" s="104">
        <v>0</v>
      </c>
      <c r="AC617" s="104">
        <v>0</v>
      </c>
      <c r="AD617" s="142">
        <v>0</v>
      </c>
      <c r="AE617" s="31">
        <v>10</v>
      </c>
      <c r="AF617" s="70">
        <v>5308013</v>
      </c>
      <c r="AG617" s="105" cm="1">
        <f t="array" ref="AG617">_xlfn.SWITCH(L617,3,1,
           4,1,
           5,1,
           6,1,0)</f>
        <v>1</v>
      </c>
      <c r="AH617" s="145" t="s">
        <v>1549</v>
      </c>
      <c r="AI617" s="90">
        <v>6001</v>
      </c>
      <c r="AJ617" s="90">
        <v>4003</v>
      </c>
      <c r="AK617" s="27">
        <v>0</v>
      </c>
      <c r="AL617" s="123">
        <f>_xlfn.XLOOKUP(H617,'#각종 참고'!$B$11:$B$20,'#각종 참고'!$D$11:$D$20)</f>
        <v>0</v>
      </c>
      <c r="AM617" s="27">
        <v>1</v>
      </c>
      <c r="AN617" s="27">
        <v>1</v>
      </c>
      <c r="AO617" s="124">
        <f t="shared" si="503"/>
        <v>1</v>
      </c>
      <c r="AP617" s="27">
        <v>1</v>
      </c>
    </row>
    <row r="618" spans="1:42" x14ac:dyDescent="0.3">
      <c r="A618" s="19"/>
      <c r="B618" s="20">
        <v>10118019</v>
      </c>
      <c r="C618" s="99">
        <f t="shared" si="506"/>
        <v>0</v>
      </c>
      <c r="D618" s="121">
        <f>COUNTIFS($F$33:F618,F618, $G$33:G618,G618, $C$33:C618,C618, $L$33:L618,L618)</f>
        <v>4</v>
      </c>
      <c r="E618" s="20">
        <v>1</v>
      </c>
      <c r="F618" s="20">
        <v>8</v>
      </c>
      <c r="G618" s="20">
        <v>1</v>
      </c>
      <c r="H618" s="103" t="s">
        <v>966</v>
      </c>
      <c r="I618" s="20" t="s">
        <v>1499</v>
      </c>
      <c r="J618" s="104" t="str">
        <f t="shared" si="502"/>
        <v>Item_Name_10118019</v>
      </c>
      <c r="K618" s="20">
        <v>0</v>
      </c>
      <c r="L618" s="20">
        <v>1</v>
      </c>
      <c r="M618" s="105">
        <f>IF(D618=0, 0, _xlfn.XLOOKUP($F618,'#무게관련'!$B:$B,'#무게관련'!$C:$C)*_xlfn.XLOOKUP($L618,'#무게관련'!$F:$F,'#무게관련'!$G:$G)*100)</f>
        <v>1000</v>
      </c>
      <c r="N618" s="20">
        <v>20900</v>
      </c>
      <c r="O618" s="20">
        <v>6</v>
      </c>
      <c r="P618" s="20">
        <v>15</v>
      </c>
      <c r="Q618" s="20">
        <v>1</v>
      </c>
      <c r="R618" s="20">
        <v>100</v>
      </c>
      <c r="S618" s="20">
        <v>1</v>
      </c>
      <c r="T618" s="20" t="s">
        <v>1889</v>
      </c>
      <c r="U618" s="104" t="s">
        <v>171</v>
      </c>
      <c r="V618" s="20" t="s">
        <v>327</v>
      </c>
      <c r="W618" s="20" t="s">
        <v>429</v>
      </c>
      <c r="X618" s="104">
        <v>0</v>
      </c>
      <c r="Y618" s="104">
        <v>0</v>
      </c>
      <c r="Z618" s="104">
        <v>0</v>
      </c>
      <c r="AA618" s="104">
        <v>0</v>
      </c>
      <c r="AB618" s="104">
        <v>0</v>
      </c>
      <c r="AC618" s="104">
        <v>0</v>
      </c>
      <c r="AD618" s="142">
        <v>0</v>
      </c>
      <c r="AE618" s="31">
        <v>10</v>
      </c>
      <c r="AF618" s="70">
        <v>5108014</v>
      </c>
      <c r="AG618" s="105" cm="1">
        <f t="array" ref="AG618">_xlfn.SWITCH(L618,3,1,
           4,1,
           5,1,
           6,1,0)</f>
        <v>0</v>
      </c>
      <c r="AH618" s="145" t="s">
        <v>1547</v>
      </c>
      <c r="AI618" s="90">
        <v>6005</v>
      </c>
      <c r="AJ618" s="90">
        <v>4001</v>
      </c>
      <c r="AK618" s="27">
        <v>0</v>
      </c>
      <c r="AL618" s="123">
        <f>_xlfn.XLOOKUP(H618,'#각종 참고'!$B$11:$B$20,'#각종 참고'!$D$11:$D$20)</f>
        <v>0</v>
      </c>
      <c r="AM618" s="27">
        <v>1</v>
      </c>
      <c r="AN618" s="27">
        <v>1</v>
      </c>
      <c r="AO618" s="124">
        <f t="shared" si="503"/>
        <v>1</v>
      </c>
      <c r="AP618" s="27">
        <v>1</v>
      </c>
    </row>
    <row r="619" spans="1:42" x14ac:dyDescent="0.3">
      <c r="A619" s="19"/>
      <c r="B619" s="20">
        <v>10128019</v>
      </c>
      <c r="C619" s="99">
        <f t="shared" si="506"/>
        <v>0</v>
      </c>
      <c r="D619" s="121">
        <f>COUNTIFS($F$33:F619,F619, $G$33:G619,G619, $C$33:C619,C619, $L$33:L619,L619)</f>
        <v>4</v>
      </c>
      <c r="E619" s="20">
        <v>1</v>
      </c>
      <c r="F619" s="20">
        <v>8</v>
      </c>
      <c r="G619" s="20">
        <v>1</v>
      </c>
      <c r="H619" s="103" t="s">
        <v>966</v>
      </c>
      <c r="I619" s="20" t="s">
        <v>1500</v>
      </c>
      <c r="J619" s="104" t="str">
        <f t="shared" si="502"/>
        <v>Item_Name_10128019</v>
      </c>
      <c r="K619" s="20">
        <v>0</v>
      </c>
      <c r="L619" s="20">
        <v>2</v>
      </c>
      <c r="M619" s="105">
        <f>IF(D619=0, 0, _xlfn.XLOOKUP($F619,'#무게관련'!$B:$B,'#무게관련'!$C:$C)*_xlfn.XLOOKUP($L619,'#무게관련'!$F:$F,'#무게관련'!$G:$G)*100)</f>
        <v>1000</v>
      </c>
      <c r="N619" s="20">
        <v>20900</v>
      </c>
      <c r="O619" s="20">
        <v>6</v>
      </c>
      <c r="P619" s="20">
        <v>15</v>
      </c>
      <c r="Q619" s="20">
        <v>1</v>
      </c>
      <c r="R619" s="20">
        <v>100</v>
      </c>
      <c r="S619" s="20">
        <v>1</v>
      </c>
      <c r="T619" s="20" t="s">
        <v>1890</v>
      </c>
      <c r="U619" s="104" t="s">
        <v>256</v>
      </c>
      <c r="V619" s="20" t="s">
        <v>327</v>
      </c>
      <c r="W619" s="20" t="s">
        <v>429</v>
      </c>
      <c r="X619" s="104">
        <v>0</v>
      </c>
      <c r="Y619" s="104">
        <v>0</v>
      </c>
      <c r="Z619" s="104">
        <v>0</v>
      </c>
      <c r="AA619" s="104">
        <v>0</v>
      </c>
      <c r="AB619" s="104">
        <v>0</v>
      </c>
      <c r="AC619" s="104">
        <v>0</v>
      </c>
      <c r="AD619" s="142">
        <v>0</v>
      </c>
      <c r="AE619" s="31">
        <v>10</v>
      </c>
      <c r="AF619" s="70">
        <v>5208014</v>
      </c>
      <c r="AG619" s="105" cm="1">
        <f t="array" ref="AG619">_xlfn.SWITCH(L619,3,1,
           4,1,
           5,1,
           6,1,0)</f>
        <v>0</v>
      </c>
      <c r="AH619" s="145" t="s">
        <v>1548</v>
      </c>
      <c r="AI619" s="90">
        <v>6000</v>
      </c>
      <c r="AJ619" s="90">
        <v>4002</v>
      </c>
      <c r="AK619" s="27">
        <v>0</v>
      </c>
      <c r="AL619" s="123">
        <f>_xlfn.XLOOKUP(H619,'#각종 참고'!$B$11:$B$20,'#각종 참고'!$D$11:$D$20)</f>
        <v>0</v>
      </c>
      <c r="AM619" s="27">
        <v>1</v>
      </c>
      <c r="AN619" s="27">
        <v>1</v>
      </c>
      <c r="AO619" s="124">
        <f t="shared" si="503"/>
        <v>1</v>
      </c>
      <c r="AP619" s="27">
        <v>1</v>
      </c>
    </row>
    <row r="620" spans="1:42" x14ac:dyDescent="0.3">
      <c r="A620" s="19"/>
      <c r="B620" s="20">
        <v>10138019</v>
      </c>
      <c r="C620" s="99">
        <f t="shared" ref="C620:C622" si="507">IF(K620&gt;0,MID(K620,5, 1), 0)</f>
        <v>0</v>
      </c>
      <c r="D620" s="121">
        <f>COUNTIFS($F$33:F620,F620, $G$33:G620,G620, $C$33:C620,C620, $L$33:L620,L620)</f>
        <v>4</v>
      </c>
      <c r="E620" s="20">
        <v>1</v>
      </c>
      <c r="F620" s="20">
        <v>8</v>
      </c>
      <c r="G620" s="20">
        <v>1</v>
      </c>
      <c r="H620" s="103" t="s">
        <v>966</v>
      </c>
      <c r="I620" s="20" t="s">
        <v>1501</v>
      </c>
      <c r="J620" s="104" t="str">
        <f t="shared" si="502"/>
        <v>Item_Name_10138019</v>
      </c>
      <c r="K620" s="20">
        <v>0</v>
      </c>
      <c r="L620" s="20">
        <v>3</v>
      </c>
      <c r="M620" s="105">
        <f>IF(D620=0, 0, _xlfn.XLOOKUP($F620,'#무게관련'!$B:$B,'#무게관련'!$C:$C)*_xlfn.XLOOKUP($L620,'#무게관련'!$F:$F,'#무게관련'!$G:$G)*100)</f>
        <v>1000</v>
      </c>
      <c r="N620" s="20">
        <v>20900</v>
      </c>
      <c r="O620" s="20">
        <v>6</v>
      </c>
      <c r="P620" s="20">
        <v>15</v>
      </c>
      <c r="Q620" s="20">
        <v>1</v>
      </c>
      <c r="R620" s="20">
        <v>100</v>
      </c>
      <c r="S620" s="20">
        <v>1</v>
      </c>
      <c r="T620" s="20" t="s">
        <v>1891</v>
      </c>
      <c r="U620" s="104" t="s">
        <v>257</v>
      </c>
      <c r="V620" s="20" t="s">
        <v>327</v>
      </c>
      <c r="W620" s="20" t="s">
        <v>429</v>
      </c>
      <c r="X620" s="104">
        <v>0</v>
      </c>
      <c r="Y620" s="104">
        <v>0</v>
      </c>
      <c r="Z620" s="104">
        <v>0</v>
      </c>
      <c r="AA620" s="104">
        <v>0</v>
      </c>
      <c r="AB620" s="104">
        <v>0</v>
      </c>
      <c r="AC620" s="104">
        <v>0</v>
      </c>
      <c r="AD620" s="142">
        <v>0</v>
      </c>
      <c r="AE620" s="31">
        <v>10</v>
      </c>
      <c r="AF620" s="70">
        <v>5308014</v>
      </c>
      <c r="AG620" s="105" cm="1">
        <f t="array" ref="AG620">_xlfn.SWITCH(L620,3,1,
           4,1,
           5,1,
           6,1,0)</f>
        <v>1</v>
      </c>
      <c r="AH620" s="145" t="s">
        <v>1549</v>
      </c>
      <c r="AI620" s="90">
        <v>6001</v>
      </c>
      <c r="AJ620" s="90">
        <v>4003</v>
      </c>
      <c r="AK620" s="27">
        <v>0</v>
      </c>
      <c r="AL620" s="123">
        <f>_xlfn.XLOOKUP(H620,'#각종 참고'!$B$11:$B$20,'#각종 참고'!$D$11:$D$20)</f>
        <v>0</v>
      </c>
      <c r="AM620" s="27">
        <v>1</v>
      </c>
      <c r="AN620" s="27">
        <v>1</v>
      </c>
      <c r="AO620" s="124">
        <f t="shared" ref="AO620:AO683" si="508">IF(AM620=1,AM620,AL620)</f>
        <v>1</v>
      </c>
      <c r="AP620" s="27">
        <v>1</v>
      </c>
    </row>
    <row r="621" spans="1:42" x14ac:dyDescent="0.3">
      <c r="A621" s="19"/>
      <c r="B621" s="20">
        <v>10118020</v>
      </c>
      <c r="C621" s="99">
        <f t="shared" si="507"/>
        <v>0</v>
      </c>
      <c r="D621" s="121">
        <f>COUNTIFS($F$33:F621,F621, $G$33:G621,G621, $C$33:C621,C621, $L$33:L621,L621)</f>
        <v>5</v>
      </c>
      <c r="E621" s="20">
        <v>1</v>
      </c>
      <c r="F621" s="20">
        <v>8</v>
      </c>
      <c r="G621" s="20">
        <v>1</v>
      </c>
      <c r="H621" s="103" t="s">
        <v>966</v>
      </c>
      <c r="I621" s="20" t="s">
        <v>1502</v>
      </c>
      <c r="J621" s="104" t="str">
        <f t="shared" si="502"/>
        <v>Item_Name_10118020</v>
      </c>
      <c r="K621" s="20">
        <v>0</v>
      </c>
      <c r="L621" s="20">
        <v>1</v>
      </c>
      <c r="M621" s="105">
        <f>IF(D621=0, 0, _xlfn.XLOOKUP($F621,'#무게관련'!$B:$B,'#무게관련'!$C:$C)*_xlfn.XLOOKUP($L621,'#무게관련'!$F:$F,'#무게관련'!$G:$G)*100)</f>
        <v>1000</v>
      </c>
      <c r="N621" s="20">
        <v>20900</v>
      </c>
      <c r="O621" s="20">
        <v>6</v>
      </c>
      <c r="P621" s="20">
        <v>15</v>
      </c>
      <c r="Q621" s="20">
        <v>1</v>
      </c>
      <c r="R621" s="20">
        <v>100</v>
      </c>
      <c r="S621" s="20">
        <v>1</v>
      </c>
      <c r="T621" s="20" t="s">
        <v>1889</v>
      </c>
      <c r="U621" s="104" t="s">
        <v>171</v>
      </c>
      <c r="V621" s="20" t="s">
        <v>327</v>
      </c>
      <c r="W621" s="20" t="s">
        <v>429</v>
      </c>
      <c r="X621" s="104">
        <v>0</v>
      </c>
      <c r="Y621" s="104">
        <v>0</v>
      </c>
      <c r="Z621" s="104">
        <v>0</v>
      </c>
      <c r="AA621" s="104">
        <v>0</v>
      </c>
      <c r="AB621" s="104">
        <v>0</v>
      </c>
      <c r="AC621" s="104">
        <v>0</v>
      </c>
      <c r="AD621" s="142">
        <v>0</v>
      </c>
      <c r="AE621" s="31">
        <v>10</v>
      </c>
      <c r="AF621" s="70">
        <v>5108015</v>
      </c>
      <c r="AG621" s="105" cm="1">
        <f t="array" ref="AG621">_xlfn.SWITCH(L621,3,1,
           4,1,
           5,1,
           6,1,0)</f>
        <v>0</v>
      </c>
      <c r="AH621" s="145" t="s">
        <v>1547</v>
      </c>
      <c r="AI621" s="90">
        <v>6005</v>
      </c>
      <c r="AJ621" s="90">
        <v>4001</v>
      </c>
      <c r="AK621" s="27">
        <v>0</v>
      </c>
      <c r="AL621" s="123">
        <f>_xlfn.XLOOKUP(H621,'#각종 참고'!$B$11:$B$20,'#각종 참고'!$D$11:$D$20)</f>
        <v>0</v>
      </c>
      <c r="AM621" s="27">
        <v>1</v>
      </c>
      <c r="AN621" s="27">
        <v>1</v>
      </c>
      <c r="AO621" s="124">
        <f t="shared" si="508"/>
        <v>1</v>
      </c>
      <c r="AP621" s="27">
        <v>1</v>
      </c>
    </row>
    <row r="622" spans="1:42" x14ac:dyDescent="0.3">
      <c r="A622" s="19"/>
      <c r="B622" s="20">
        <v>10128020</v>
      </c>
      <c r="C622" s="99">
        <f t="shared" si="507"/>
        <v>0</v>
      </c>
      <c r="D622" s="121">
        <f>COUNTIFS($F$33:F622,F622, $G$33:G622,G622, $C$33:C622,C622, $L$33:L622,L622)</f>
        <v>5</v>
      </c>
      <c r="E622" s="20">
        <v>1</v>
      </c>
      <c r="F622" s="20">
        <v>8</v>
      </c>
      <c r="G622" s="20">
        <v>1</v>
      </c>
      <c r="H622" s="103" t="s">
        <v>966</v>
      </c>
      <c r="I622" s="20" t="s">
        <v>1503</v>
      </c>
      <c r="J622" s="104" t="str">
        <f t="shared" si="502"/>
        <v>Item_Name_10128020</v>
      </c>
      <c r="K622" s="20">
        <v>0</v>
      </c>
      <c r="L622" s="20">
        <v>2</v>
      </c>
      <c r="M622" s="105">
        <f>IF(D622=0, 0, _xlfn.XLOOKUP($F622,'#무게관련'!$B:$B,'#무게관련'!$C:$C)*_xlfn.XLOOKUP($L622,'#무게관련'!$F:$F,'#무게관련'!$G:$G)*100)</f>
        <v>1000</v>
      </c>
      <c r="N622" s="20">
        <v>20900</v>
      </c>
      <c r="O622" s="20">
        <v>6</v>
      </c>
      <c r="P622" s="20">
        <v>15</v>
      </c>
      <c r="Q622" s="20">
        <v>1</v>
      </c>
      <c r="R622" s="20">
        <v>100</v>
      </c>
      <c r="S622" s="20">
        <v>1</v>
      </c>
      <c r="T622" s="20" t="s">
        <v>1890</v>
      </c>
      <c r="U622" s="104" t="s">
        <v>256</v>
      </c>
      <c r="V622" s="20" t="s">
        <v>327</v>
      </c>
      <c r="W622" s="20" t="s">
        <v>429</v>
      </c>
      <c r="X622" s="104">
        <v>0</v>
      </c>
      <c r="Y622" s="104">
        <v>0</v>
      </c>
      <c r="Z622" s="104">
        <v>0</v>
      </c>
      <c r="AA622" s="104">
        <v>0</v>
      </c>
      <c r="AB622" s="104">
        <v>0</v>
      </c>
      <c r="AC622" s="104">
        <v>0</v>
      </c>
      <c r="AD622" s="142">
        <v>0</v>
      </c>
      <c r="AE622" s="31">
        <v>10</v>
      </c>
      <c r="AF622" s="70">
        <v>5208015</v>
      </c>
      <c r="AG622" s="105" cm="1">
        <f t="array" ref="AG622">_xlfn.SWITCH(L622,3,1,
           4,1,
           5,1,
           6,1,0)</f>
        <v>0</v>
      </c>
      <c r="AH622" s="145" t="s">
        <v>1548</v>
      </c>
      <c r="AI622" s="90">
        <v>6000</v>
      </c>
      <c r="AJ622" s="90">
        <v>4002</v>
      </c>
      <c r="AK622" s="27">
        <v>0</v>
      </c>
      <c r="AL622" s="123">
        <f>_xlfn.XLOOKUP(H622,'#각종 참고'!$B$11:$B$20,'#각종 참고'!$D$11:$D$20)</f>
        <v>0</v>
      </c>
      <c r="AM622" s="27">
        <v>1</v>
      </c>
      <c r="AN622" s="27">
        <v>1</v>
      </c>
      <c r="AO622" s="124">
        <f t="shared" si="508"/>
        <v>1</v>
      </c>
      <c r="AP622" s="27">
        <v>1</v>
      </c>
    </row>
    <row r="623" spans="1:42" x14ac:dyDescent="0.3">
      <c r="A623" s="19"/>
      <c r="B623" s="20">
        <v>10138020</v>
      </c>
      <c r="C623" s="99">
        <f t="shared" ref="C623:C637" si="509">IF(K623&gt;0,MID(K623,5, 1), 0)</f>
        <v>0</v>
      </c>
      <c r="D623" s="121">
        <f>COUNTIFS($F$33:F623,F623, $G$33:G623,G623, $C$33:C623,C623, $L$33:L623,L623)</f>
        <v>5</v>
      </c>
      <c r="E623" s="20">
        <v>1</v>
      </c>
      <c r="F623" s="20">
        <v>8</v>
      </c>
      <c r="G623" s="20">
        <v>1</v>
      </c>
      <c r="H623" s="103" t="s">
        <v>966</v>
      </c>
      <c r="I623" s="20" t="s">
        <v>1504</v>
      </c>
      <c r="J623" s="104" t="str">
        <f t="shared" si="502"/>
        <v>Item_Name_10138020</v>
      </c>
      <c r="K623" s="20">
        <v>0</v>
      </c>
      <c r="L623" s="20">
        <v>3</v>
      </c>
      <c r="M623" s="105">
        <f>IF(D623=0, 0, _xlfn.XLOOKUP($F623,'#무게관련'!$B:$B,'#무게관련'!$C:$C)*_xlfn.XLOOKUP($L623,'#무게관련'!$F:$F,'#무게관련'!$G:$G)*100)</f>
        <v>1000</v>
      </c>
      <c r="N623" s="20">
        <v>20900</v>
      </c>
      <c r="O623" s="20">
        <v>6</v>
      </c>
      <c r="P623" s="20">
        <v>15</v>
      </c>
      <c r="Q623" s="20">
        <v>1</v>
      </c>
      <c r="R623" s="20">
        <v>100</v>
      </c>
      <c r="S623" s="20">
        <v>1</v>
      </c>
      <c r="T623" s="20" t="s">
        <v>1891</v>
      </c>
      <c r="U623" s="104" t="s">
        <v>257</v>
      </c>
      <c r="V623" s="20" t="s">
        <v>327</v>
      </c>
      <c r="W623" s="20" t="s">
        <v>429</v>
      </c>
      <c r="X623" s="104">
        <v>0</v>
      </c>
      <c r="Y623" s="104">
        <v>0</v>
      </c>
      <c r="Z623" s="104">
        <v>0</v>
      </c>
      <c r="AA623" s="104">
        <v>0</v>
      </c>
      <c r="AB623" s="104">
        <v>0</v>
      </c>
      <c r="AC623" s="104">
        <v>0</v>
      </c>
      <c r="AD623" s="142">
        <v>0</v>
      </c>
      <c r="AE623" s="31">
        <v>10</v>
      </c>
      <c r="AF623" s="70">
        <v>5308015</v>
      </c>
      <c r="AG623" s="105" cm="1">
        <f t="array" ref="AG623">_xlfn.SWITCH(L623,3,1,
           4,1,
           5,1,
           6,1,0)</f>
        <v>1</v>
      </c>
      <c r="AH623" s="145" t="s">
        <v>1549</v>
      </c>
      <c r="AI623" s="90">
        <v>6001</v>
      </c>
      <c r="AJ623" s="90">
        <v>4003</v>
      </c>
      <c r="AK623" s="27">
        <v>0</v>
      </c>
      <c r="AL623" s="123">
        <f>_xlfn.XLOOKUP(H623,'#각종 참고'!$B$11:$B$20,'#각종 참고'!$D$11:$D$20)</f>
        <v>0</v>
      </c>
      <c r="AM623" s="27">
        <v>1</v>
      </c>
      <c r="AN623" s="27">
        <v>1</v>
      </c>
      <c r="AO623" s="124">
        <f t="shared" si="508"/>
        <v>1</v>
      </c>
      <c r="AP623" s="27">
        <v>1</v>
      </c>
    </row>
    <row r="624" spans="1:42" x14ac:dyDescent="0.3">
      <c r="A624" s="19"/>
      <c r="B624" s="20">
        <v>10118021</v>
      </c>
      <c r="C624" s="99">
        <f t="shared" si="509"/>
        <v>0</v>
      </c>
      <c r="D624" s="121">
        <f>COUNTIFS($F$33:F624,F624, $G$33:G624,G624, $C$33:C624,C624, $L$33:L624,L624)</f>
        <v>6</v>
      </c>
      <c r="E624" s="20">
        <v>1</v>
      </c>
      <c r="F624" s="20">
        <v>8</v>
      </c>
      <c r="G624" s="20">
        <v>1</v>
      </c>
      <c r="H624" s="103" t="s">
        <v>966</v>
      </c>
      <c r="I624" s="20" t="s">
        <v>1505</v>
      </c>
      <c r="J624" s="104" t="str">
        <f t="shared" si="502"/>
        <v>Item_Name_10118021</v>
      </c>
      <c r="K624" s="20">
        <v>0</v>
      </c>
      <c r="L624" s="20">
        <v>1</v>
      </c>
      <c r="M624" s="105">
        <f>IF(D624=0, 0, _xlfn.XLOOKUP($F624,'#무게관련'!$B:$B,'#무게관련'!$C:$C)*_xlfn.XLOOKUP($L624,'#무게관련'!$F:$F,'#무게관련'!$G:$G)*100)</f>
        <v>1000</v>
      </c>
      <c r="N624" s="20">
        <v>20900</v>
      </c>
      <c r="O624" s="20">
        <v>6</v>
      </c>
      <c r="P624" s="20">
        <v>15</v>
      </c>
      <c r="Q624" s="20">
        <v>1</v>
      </c>
      <c r="R624" s="20">
        <v>100</v>
      </c>
      <c r="S624" s="20">
        <v>1</v>
      </c>
      <c r="T624" s="20" t="s">
        <v>1889</v>
      </c>
      <c r="U624" s="104" t="s">
        <v>171</v>
      </c>
      <c r="V624" s="20" t="s">
        <v>327</v>
      </c>
      <c r="W624" s="20" t="s">
        <v>429</v>
      </c>
      <c r="X624" s="104">
        <v>0</v>
      </c>
      <c r="Y624" s="104">
        <v>0</v>
      </c>
      <c r="Z624" s="104">
        <v>0</v>
      </c>
      <c r="AA624" s="104">
        <v>0</v>
      </c>
      <c r="AB624" s="104">
        <v>0</v>
      </c>
      <c r="AC624" s="104">
        <v>0</v>
      </c>
      <c r="AD624" s="142">
        <v>0</v>
      </c>
      <c r="AE624" s="31">
        <v>10</v>
      </c>
      <c r="AF624" s="70">
        <v>5108011</v>
      </c>
      <c r="AG624" s="105" cm="1">
        <f t="array" ref="AG624">_xlfn.SWITCH(L624,3,1,
           4,1,
           5,1,
           6,1,0)</f>
        <v>0</v>
      </c>
      <c r="AH624" s="145" t="s">
        <v>1547</v>
      </c>
      <c r="AI624" s="90">
        <v>6005</v>
      </c>
      <c r="AJ624" s="90">
        <v>4001</v>
      </c>
      <c r="AK624" s="27">
        <v>0</v>
      </c>
      <c r="AL624" s="123">
        <f>_xlfn.XLOOKUP(H624,'#각종 참고'!$B$11:$B$20,'#각종 참고'!$D$11:$D$20)</f>
        <v>0</v>
      </c>
      <c r="AM624" s="27">
        <v>1</v>
      </c>
      <c r="AN624" s="27">
        <v>1</v>
      </c>
      <c r="AO624" s="124">
        <f t="shared" si="508"/>
        <v>1</v>
      </c>
      <c r="AP624" s="27">
        <v>1</v>
      </c>
    </row>
    <row r="625" spans="1:42" x14ac:dyDescent="0.3">
      <c r="A625" s="19"/>
      <c r="B625" s="20">
        <v>10128021</v>
      </c>
      <c r="C625" s="99">
        <f t="shared" si="509"/>
        <v>0</v>
      </c>
      <c r="D625" s="121">
        <f>COUNTIFS($F$33:F625,F625, $G$33:G625,G625, $C$33:C625,C625, $L$33:L625,L625)</f>
        <v>6</v>
      </c>
      <c r="E625" s="20">
        <v>1</v>
      </c>
      <c r="F625" s="20">
        <v>8</v>
      </c>
      <c r="G625" s="20">
        <v>1</v>
      </c>
      <c r="H625" s="103" t="s">
        <v>966</v>
      </c>
      <c r="I625" s="20" t="s">
        <v>1506</v>
      </c>
      <c r="J625" s="104" t="str">
        <f t="shared" si="502"/>
        <v>Item_Name_10128021</v>
      </c>
      <c r="K625" s="20">
        <v>0</v>
      </c>
      <c r="L625" s="20">
        <v>2</v>
      </c>
      <c r="M625" s="105">
        <f>IF(D625=0, 0, _xlfn.XLOOKUP($F625,'#무게관련'!$B:$B,'#무게관련'!$C:$C)*_xlfn.XLOOKUP($L625,'#무게관련'!$F:$F,'#무게관련'!$G:$G)*100)</f>
        <v>1000</v>
      </c>
      <c r="N625" s="20">
        <v>20900</v>
      </c>
      <c r="O625" s="20">
        <v>6</v>
      </c>
      <c r="P625" s="20">
        <v>15</v>
      </c>
      <c r="Q625" s="20">
        <v>1</v>
      </c>
      <c r="R625" s="20">
        <v>100</v>
      </c>
      <c r="S625" s="20">
        <v>1</v>
      </c>
      <c r="T625" s="20" t="s">
        <v>1890</v>
      </c>
      <c r="U625" s="104" t="s">
        <v>256</v>
      </c>
      <c r="V625" s="20" t="s">
        <v>327</v>
      </c>
      <c r="W625" s="20" t="s">
        <v>429</v>
      </c>
      <c r="X625" s="104">
        <v>0</v>
      </c>
      <c r="Y625" s="104">
        <v>0</v>
      </c>
      <c r="Z625" s="104">
        <v>0</v>
      </c>
      <c r="AA625" s="104">
        <v>0</v>
      </c>
      <c r="AB625" s="104">
        <v>0</v>
      </c>
      <c r="AC625" s="104">
        <v>0</v>
      </c>
      <c r="AD625" s="142">
        <v>0</v>
      </c>
      <c r="AE625" s="31">
        <v>10</v>
      </c>
      <c r="AF625" s="70">
        <v>5208011</v>
      </c>
      <c r="AG625" s="105" cm="1">
        <f t="array" ref="AG625">_xlfn.SWITCH(L625,3,1,
           4,1,
           5,1,
           6,1,0)</f>
        <v>0</v>
      </c>
      <c r="AH625" s="145" t="s">
        <v>1548</v>
      </c>
      <c r="AI625" s="90">
        <v>6000</v>
      </c>
      <c r="AJ625" s="90">
        <v>4002</v>
      </c>
      <c r="AK625" s="27">
        <v>0</v>
      </c>
      <c r="AL625" s="123">
        <f>_xlfn.XLOOKUP(H625,'#각종 참고'!$B$11:$B$20,'#각종 참고'!$D$11:$D$20)</f>
        <v>0</v>
      </c>
      <c r="AM625" s="27">
        <v>1</v>
      </c>
      <c r="AN625" s="27">
        <v>1</v>
      </c>
      <c r="AO625" s="124">
        <f t="shared" si="508"/>
        <v>1</v>
      </c>
      <c r="AP625" s="27">
        <v>1</v>
      </c>
    </row>
    <row r="626" spans="1:42" x14ac:dyDescent="0.3">
      <c r="A626" s="19"/>
      <c r="B626" s="20">
        <v>10138021</v>
      </c>
      <c r="C626" s="99">
        <f t="shared" si="509"/>
        <v>0</v>
      </c>
      <c r="D626" s="121">
        <f>COUNTIFS($F$33:F626,F626, $G$33:G626,G626, $C$33:C626,C626, $L$33:L626,L626)</f>
        <v>6</v>
      </c>
      <c r="E626" s="20">
        <v>1</v>
      </c>
      <c r="F626" s="20">
        <v>8</v>
      </c>
      <c r="G626" s="20">
        <v>1</v>
      </c>
      <c r="H626" s="103" t="s">
        <v>966</v>
      </c>
      <c r="I626" s="20" t="s">
        <v>1507</v>
      </c>
      <c r="J626" s="104" t="str">
        <f t="shared" si="502"/>
        <v>Item_Name_10138021</v>
      </c>
      <c r="K626" s="20">
        <v>0</v>
      </c>
      <c r="L626" s="20">
        <v>3</v>
      </c>
      <c r="M626" s="105">
        <f>IF(D626=0, 0, _xlfn.XLOOKUP($F626,'#무게관련'!$B:$B,'#무게관련'!$C:$C)*_xlfn.XLOOKUP($L626,'#무게관련'!$F:$F,'#무게관련'!$G:$G)*100)</f>
        <v>1000</v>
      </c>
      <c r="N626" s="20">
        <v>20900</v>
      </c>
      <c r="O626" s="20">
        <v>6</v>
      </c>
      <c r="P626" s="20">
        <v>15</v>
      </c>
      <c r="Q626" s="20">
        <v>1</v>
      </c>
      <c r="R626" s="20">
        <v>100</v>
      </c>
      <c r="S626" s="20">
        <v>1</v>
      </c>
      <c r="T626" s="20" t="s">
        <v>1891</v>
      </c>
      <c r="U626" s="104" t="s">
        <v>257</v>
      </c>
      <c r="V626" s="20" t="s">
        <v>327</v>
      </c>
      <c r="W626" s="20" t="s">
        <v>429</v>
      </c>
      <c r="X626" s="104">
        <v>0</v>
      </c>
      <c r="Y626" s="104">
        <v>0</v>
      </c>
      <c r="Z626" s="104">
        <v>0</v>
      </c>
      <c r="AA626" s="104">
        <v>0</v>
      </c>
      <c r="AB626" s="104">
        <v>0</v>
      </c>
      <c r="AC626" s="104">
        <v>0</v>
      </c>
      <c r="AD626" s="142">
        <v>0</v>
      </c>
      <c r="AE626" s="31">
        <v>10</v>
      </c>
      <c r="AF626" s="70">
        <v>5308011</v>
      </c>
      <c r="AG626" s="105" cm="1">
        <f t="array" ref="AG626">_xlfn.SWITCH(L626,3,1,
           4,1,
           5,1,
           6,1,0)</f>
        <v>1</v>
      </c>
      <c r="AH626" s="145" t="s">
        <v>1549</v>
      </c>
      <c r="AI626" s="90">
        <v>6001</v>
      </c>
      <c r="AJ626" s="90">
        <v>4003</v>
      </c>
      <c r="AK626" s="27">
        <v>0</v>
      </c>
      <c r="AL626" s="123">
        <f>_xlfn.XLOOKUP(H626,'#각종 참고'!$B$11:$B$20,'#각종 참고'!$D$11:$D$20)</f>
        <v>0</v>
      </c>
      <c r="AM626" s="27">
        <v>1</v>
      </c>
      <c r="AN626" s="27">
        <v>1</v>
      </c>
      <c r="AO626" s="124">
        <f t="shared" si="508"/>
        <v>1</v>
      </c>
      <c r="AP626" s="27">
        <v>1</v>
      </c>
    </row>
    <row r="627" spans="1:42" x14ac:dyDescent="0.3">
      <c r="A627" s="19"/>
      <c r="B627" s="20">
        <v>10118022</v>
      </c>
      <c r="C627" s="99">
        <f t="shared" si="509"/>
        <v>0</v>
      </c>
      <c r="D627" s="121">
        <f>COUNTIFS($F$33:F627,F627, $G$33:G627,G627, $C$33:C627,C627, $L$33:L627,L627)</f>
        <v>7</v>
      </c>
      <c r="E627" s="20">
        <v>1</v>
      </c>
      <c r="F627" s="20">
        <v>8</v>
      </c>
      <c r="G627" s="20">
        <v>1</v>
      </c>
      <c r="H627" s="103" t="s">
        <v>966</v>
      </c>
      <c r="I627" s="20" t="s">
        <v>1508</v>
      </c>
      <c r="J627" s="104" t="str">
        <f t="shared" si="502"/>
        <v>Item_Name_10118022</v>
      </c>
      <c r="K627" s="20">
        <v>0</v>
      </c>
      <c r="L627" s="20">
        <v>1</v>
      </c>
      <c r="M627" s="105">
        <f>IF(D627=0, 0, _xlfn.XLOOKUP($F627,'#무게관련'!$B:$B,'#무게관련'!$C:$C)*_xlfn.XLOOKUP($L627,'#무게관련'!$F:$F,'#무게관련'!$G:$G)*100)</f>
        <v>1000</v>
      </c>
      <c r="N627" s="20">
        <v>20900</v>
      </c>
      <c r="O627" s="20">
        <v>6</v>
      </c>
      <c r="P627" s="20">
        <v>15</v>
      </c>
      <c r="Q627" s="20">
        <v>1</v>
      </c>
      <c r="R627" s="20">
        <v>100</v>
      </c>
      <c r="S627" s="20">
        <v>1</v>
      </c>
      <c r="T627" s="20" t="s">
        <v>1889</v>
      </c>
      <c r="U627" s="104" t="s">
        <v>171</v>
      </c>
      <c r="V627" s="20" t="s">
        <v>327</v>
      </c>
      <c r="W627" s="20" t="s">
        <v>429</v>
      </c>
      <c r="X627" s="104">
        <v>0</v>
      </c>
      <c r="Y627" s="104">
        <v>0</v>
      </c>
      <c r="Z627" s="104">
        <v>0</v>
      </c>
      <c r="AA627" s="104">
        <v>0</v>
      </c>
      <c r="AB627" s="104">
        <v>0</v>
      </c>
      <c r="AC627" s="104">
        <v>0</v>
      </c>
      <c r="AD627" s="142">
        <v>0</v>
      </c>
      <c r="AE627" s="31">
        <v>10</v>
      </c>
      <c r="AF627" s="70">
        <v>5108012</v>
      </c>
      <c r="AG627" s="105" cm="1">
        <f t="array" ref="AG627">_xlfn.SWITCH(L627,3,1,
           4,1,
           5,1,
           6,1,0)</f>
        <v>0</v>
      </c>
      <c r="AH627" s="145" t="s">
        <v>1547</v>
      </c>
      <c r="AI627" s="90">
        <v>6005</v>
      </c>
      <c r="AJ627" s="90">
        <v>4001</v>
      </c>
      <c r="AK627" s="27">
        <v>0</v>
      </c>
      <c r="AL627" s="123">
        <f>_xlfn.XLOOKUP(H627,'#각종 참고'!$B$11:$B$20,'#각종 참고'!$D$11:$D$20)</f>
        <v>0</v>
      </c>
      <c r="AM627" s="27">
        <v>1</v>
      </c>
      <c r="AN627" s="27">
        <v>1</v>
      </c>
      <c r="AO627" s="124">
        <f t="shared" si="508"/>
        <v>1</v>
      </c>
      <c r="AP627" s="27">
        <v>1</v>
      </c>
    </row>
    <row r="628" spans="1:42" x14ac:dyDescent="0.3">
      <c r="A628" s="19"/>
      <c r="B628" s="20">
        <v>10128022</v>
      </c>
      <c r="C628" s="99">
        <f t="shared" si="509"/>
        <v>0</v>
      </c>
      <c r="D628" s="121">
        <f>COUNTIFS($F$33:F628,F628, $G$33:G628,G628, $C$33:C628,C628, $L$33:L628,L628)</f>
        <v>7</v>
      </c>
      <c r="E628" s="20">
        <v>1</v>
      </c>
      <c r="F628" s="20">
        <v>8</v>
      </c>
      <c r="G628" s="20">
        <v>1</v>
      </c>
      <c r="H628" s="103" t="s">
        <v>966</v>
      </c>
      <c r="I628" s="20" t="s">
        <v>1509</v>
      </c>
      <c r="J628" s="104" t="str">
        <f t="shared" si="502"/>
        <v>Item_Name_10128022</v>
      </c>
      <c r="K628" s="20">
        <v>0</v>
      </c>
      <c r="L628" s="20">
        <v>2</v>
      </c>
      <c r="M628" s="105">
        <f>IF(D628=0, 0, _xlfn.XLOOKUP($F628,'#무게관련'!$B:$B,'#무게관련'!$C:$C)*_xlfn.XLOOKUP($L628,'#무게관련'!$F:$F,'#무게관련'!$G:$G)*100)</f>
        <v>1000</v>
      </c>
      <c r="N628" s="20">
        <v>20900</v>
      </c>
      <c r="O628" s="20">
        <v>6</v>
      </c>
      <c r="P628" s="20">
        <v>15</v>
      </c>
      <c r="Q628" s="20">
        <v>1</v>
      </c>
      <c r="R628" s="20">
        <v>100</v>
      </c>
      <c r="S628" s="20">
        <v>1</v>
      </c>
      <c r="T628" s="20" t="s">
        <v>1890</v>
      </c>
      <c r="U628" s="104" t="s">
        <v>256</v>
      </c>
      <c r="V628" s="20" t="s">
        <v>327</v>
      </c>
      <c r="W628" s="20" t="s">
        <v>429</v>
      </c>
      <c r="X628" s="104">
        <v>0</v>
      </c>
      <c r="Y628" s="104">
        <v>0</v>
      </c>
      <c r="Z628" s="104">
        <v>0</v>
      </c>
      <c r="AA628" s="104">
        <v>0</v>
      </c>
      <c r="AB628" s="104">
        <v>0</v>
      </c>
      <c r="AC628" s="104">
        <v>0</v>
      </c>
      <c r="AD628" s="142">
        <v>0</v>
      </c>
      <c r="AE628" s="31">
        <v>10</v>
      </c>
      <c r="AF628" s="70">
        <v>5208012</v>
      </c>
      <c r="AG628" s="105" cm="1">
        <f t="array" ref="AG628">_xlfn.SWITCH(L628,3,1,
           4,1,
           5,1,
           6,1,0)</f>
        <v>0</v>
      </c>
      <c r="AH628" s="145" t="s">
        <v>1548</v>
      </c>
      <c r="AI628" s="90">
        <v>6000</v>
      </c>
      <c r="AJ628" s="90">
        <v>4002</v>
      </c>
      <c r="AK628" s="27">
        <v>0</v>
      </c>
      <c r="AL628" s="123">
        <f>_xlfn.XLOOKUP(H628,'#각종 참고'!$B$11:$B$20,'#각종 참고'!$D$11:$D$20)</f>
        <v>0</v>
      </c>
      <c r="AM628" s="27">
        <v>1</v>
      </c>
      <c r="AN628" s="27">
        <v>1</v>
      </c>
      <c r="AO628" s="124">
        <f t="shared" si="508"/>
        <v>1</v>
      </c>
      <c r="AP628" s="27">
        <v>1</v>
      </c>
    </row>
    <row r="629" spans="1:42" x14ac:dyDescent="0.3">
      <c r="A629" s="19"/>
      <c r="B629" s="20">
        <v>10138022</v>
      </c>
      <c r="C629" s="99">
        <f t="shared" si="509"/>
        <v>0</v>
      </c>
      <c r="D629" s="121">
        <f>COUNTIFS($F$33:F629,F629, $G$33:G629,G629, $C$33:C629,C629, $L$33:L629,L629)</f>
        <v>7</v>
      </c>
      <c r="E629" s="20">
        <v>1</v>
      </c>
      <c r="F629" s="20">
        <v>8</v>
      </c>
      <c r="G629" s="20">
        <v>1</v>
      </c>
      <c r="H629" s="103" t="s">
        <v>966</v>
      </c>
      <c r="I629" s="20" t="s">
        <v>1510</v>
      </c>
      <c r="J629" s="104" t="str">
        <f t="shared" si="502"/>
        <v>Item_Name_10138022</v>
      </c>
      <c r="K629" s="20">
        <v>0</v>
      </c>
      <c r="L629" s="20">
        <v>3</v>
      </c>
      <c r="M629" s="105">
        <f>IF(D629=0, 0, _xlfn.XLOOKUP($F629,'#무게관련'!$B:$B,'#무게관련'!$C:$C)*_xlfn.XLOOKUP($L629,'#무게관련'!$F:$F,'#무게관련'!$G:$G)*100)</f>
        <v>1000</v>
      </c>
      <c r="N629" s="20">
        <v>20900</v>
      </c>
      <c r="O629" s="20">
        <v>6</v>
      </c>
      <c r="P629" s="20">
        <v>15</v>
      </c>
      <c r="Q629" s="20">
        <v>1</v>
      </c>
      <c r="R629" s="20">
        <v>100</v>
      </c>
      <c r="S629" s="20">
        <v>1</v>
      </c>
      <c r="T629" s="20" t="s">
        <v>1891</v>
      </c>
      <c r="U629" s="104" t="s">
        <v>257</v>
      </c>
      <c r="V629" s="20" t="s">
        <v>327</v>
      </c>
      <c r="W629" s="20" t="s">
        <v>429</v>
      </c>
      <c r="X629" s="104">
        <v>0</v>
      </c>
      <c r="Y629" s="104">
        <v>0</v>
      </c>
      <c r="Z629" s="104">
        <v>0</v>
      </c>
      <c r="AA629" s="104">
        <v>0</v>
      </c>
      <c r="AB629" s="104">
        <v>0</v>
      </c>
      <c r="AC629" s="104">
        <v>0</v>
      </c>
      <c r="AD629" s="142">
        <v>0</v>
      </c>
      <c r="AE629" s="31">
        <v>10</v>
      </c>
      <c r="AF629" s="70">
        <v>5308012</v>
      </c>
      <c r="AG629" s="105" cm="1">
        <f t="array" ref="AG629">_xlfn.SWITCH(L629,3,1,
           4,1,
           5,1,
           6,1,0)</f>
        <v>1</v>
      </c>
      <c r="AH629" s="145" t="s">
        <v>1549</v>
      </c>
      <c r="AI629" s="90">
        <v>6001</v>
      </c>
      <c r="AJ629" s="90">
        <v>4003</v>
      </c>
      <c r="AK629" s="27">
        <v>0</v>
      </c>
      <c r="AL629" s="123">
        <f>_xlfn.XLOOKUP(H629,'#각종 참고'!$B$11:$B$20,'#각종 참고'!$D$11:$D$20)</f>
        <v>0</v>
      </c>
      <c r="AM629" s="27">
        <v>1</v>
      </c>
      <c r="AN629" s="27">
        <v>1</v>
      </c>
      <c r="AO629" s="124">
        <f t="shared" si="508"/>
        <v>1</v>
      </c>
      <c r="AP629" s="27">
        <v>1</v>
      </c>
    </row>
    <row r="630" spans="1:42" x14ac:dyDescent="0.3">
      <c r="A630" s="19"/>
      <c r="B630" s="20">
        <v>10118023</v>
      </c>
      <c r="C630" s="99">
        <f t="shared" si="509"/>
        <v>0</v>
      </c>
      <c r="D630" s="121">
        <f>COUNTIFS($F$33:F630,F630, $G$33:G630,G630, $C$33:C630,C630, $L$33:L630,L630)</f>
        <v>8</v>
      </c>
      <c r="E630" s="20">
        <v>1</v>
      </c>
      <c r="F630" s="20">
        <v>8</v>
      </c>
      <c r="G630" s="20">
        <v>1</v>
      </c>
      <c r="H630" s="103" t="s">
        <v>966</v>
      </c>
      <c r="I630" s="20" t="s">
        <v>1511</v>
      </c>
      <c r="J630" s="104" t="str">
        <f t="shared" si="502"/>
        <v>Item_Name_10118023</v>
      </c>
      <c r="K630" s="20">
        <v>0</v>
      </c>
      <c r="L630" s="20">
        <v>1</v>
      </c>
      <c r="M630" s="105">
        <f>IF(D630=0, 0, _xlfn.XLOOKUP($F630,'#무게관련'!$B:$B,'#무게관련'!$C:$C)*_xlfn.XLOOKUP($L630,'#무게관련'!$F:$F,'#무게관련'!$G:$G)*100)</f>
        <v>1000</v>
      </c>
      <c r="N630" s="20">
        <v>20900</v>
      </c>
      <c r="O630" s="20">
        <v>6</v>
      </c>
      <c r="P630" s="20">
        <v>15</v>
      </c>
      <c r="Q630" s="20">
        <v>1</v>
      </c>
      <c r="R630" s="20">
        <v>100</v>
      </c>
      <c r="S630" s="20">
        <v>1</v>
      </c>
      <c r="T630" s="20" t="s">
        <v>1889</v>
      </c>
      <c r="U630" s="104" t="s">
        <v>171</v>
      </c>
      <c r="V630" s="20" t="s">
        <v>327</v>
      </c>
      <c r="W630" s="20" t="s">
        <v>429</v>
      </c>
      <c r="X630" s="104">
        <v>0</v>
      </c>
      <c r="Y630" s="104">
        <v>0</v>
      </c>
      <c r="Z630" s="104">
        <v>0</v>
      </c>
      <c r="AA630" s="104">
        <v>0</v>
      </c>
      <c r="AB630" s="104">
        <v>0</v>
      </c>
      <c r="AC630" s="104">
        <v>0</v>
      </c>
      <c r="AD630" s="142">
        <v>0</v>
      </c>
      <c r="AE630" s="31">
        <v>10</v>
      </c>
      <c r="AF630" s="70">
        <v>5108013</v>
      </c>
      <c r="AG630" s="105" cm="1">
        <f t="array" ref="AG630">_xlfn.SWITCH(L630,3,1,
           4,1,
           5,1,
           6,1,0)</f>
        <v>0</v>
      </c>
      <c r="AH630" s="145" t="s">
        <v>1547</v>
      </c>
      <c r="AI630" s="90">
        <v>6005</v>
      </c>
      <c r="AJ630" s="90">
        <v>4001</v>
      </c>
      <c r="AK630" s="27">
        <v>0</v>
      </c>
      <c r="AL630" s="123">
        <f>_xlfn.XLOOKUP(H630,'#각종 참고'!$B$11:$B$20,'#각종 참고'!$D$11:$D$20)</f>
        <v>0</v>
      </c>
      <c r="AM630" s="27">
        <v>1</v>
      </c>
      <c r="AN630" s="27">
        <v>1</v>
      </c>
      <c r="AO630" s="124">
        <f t="shared" si="508"/>
        <v>1</v>
      </c>
      <c r="AP630" s="27">
        <v>1</v>
      </c>
    </row>
    <row r="631" spans="1:42" x14ac:dyDescent="0.3">
      <c r="A631" s="19"/>
      <c r="B631" s="20">
        <v>10128023</v>
      </c>
      <c r="C631" s="99">
        <f t="shared" si="509"/>
        <v>0</v>
      </c>
      <c r="D631" s="121">
        <f>COUNTIFS($F$33:F631,F631, $G$33:G631,G631, $C$33:C631,C631, $L$33:L631,L631)</f>
        <v>8</v>
      </c>
      <c r="E631" s="20">
        <v>1</v>
      </c>
      <c r="F631" s="20">
        <v>8</v>
      </c>
      <c r="G631" s="20">
        <v>1</v>
      </c>
      <c r="H631" s="103" t="s">
        <v>966</v>
      </c>
      <c r="I631" s="20" t="s">
        <v>1512</v>
      </c>
      <c r="J631" s="104" t="str">
        <f t="shared" si="502"/>
        <v>Item_Name_10128023</v>
      </c>
      <c r="K631" s="20">
        <v>0</v>
      </c>
      <c r="L631" s="20">
        <v>2</v>
      </c>
      <c r="M631" s="105">
        <f>IF(D631=0, 0, _xlfn.XLOOKUP($F631,'#무게관련'!$B:$B,'#무게관련'!$C:$C)*_xlfn.XLOOKUP($L631,'#무게관련'!$F:$F,'#무게관련'!$G:$G)*100)</f>
        <v>1000</v>
      </c>
      <c r="N631" s="20">
        <v>20900</v>
      </c>
      <c r="O631" s="20">
        <v>6</v>
      </c>
      <c r="P631" s="20">
        <v>15</v>
      </c>
      <c r="Q631" s="20">
        <v>1</v>
      </c>
      <c r="R631" s="20">
        <v>100</v>
      </c>
      <c r="S631" s="20">
        <v>1</v>
      </c>
      <c r="T631" s="20" t="s">
        <v>1890</v>
      </c>
      <c r="U631" s="104" t="s">
        <v>256</v>
      </c>
      <c r="V631" s="20" t="s">
        <v>327</v>
      </c>
      <c r="W631" s="20" t="s">
        <v>429</v>
      </c>
      <c r="X631" s="104">
        <v>0</v>
      </c>
      <c r="Y631" s="104">
        <v>0</v>
      </c>
      <c r="Z631" s="104">
        <v>0</v>
      </c>
      <c r="AA631" s="104">
        <v>0</v>
      </c>
      <c r="AB631" s="104">
        <v>0</v>
      </c>
      <c r="AC631" s="104">
        <v>0</v>
      </c>
      <c r="AD631" s="142">
        <v>0</v>
      </c>
      <c r="AE631" s="31">
        <v>10</v>
      </c>
      <c r="AF631" s="70">
        <v>5208013</v>
      </c>
      <c r="AG631" s="105" cm="1">
        <f t="array" ref="AG631">_xlfn.SWITCH(L631,3,1,
           4,1,
           5,1,
           6,1,0)</f>
        <v>0</v>
      </c>
      <c r="AH631" s="145" t="s">
        <v>1548</v>
      </c>
      <c r="AI631" s="90">
        <v>6000</v>
      </c>
      <c r="AJ631" s="90">
        <v>4002</v>
      </c>
      <c r="AK631" s="27">
        <v>0</v>
      </c>
      <c r="AL631" s="123">
        <f>_xlfn.XLOOKUP(H631,'#각종 참고'!$B$11:$B$20,'#각종 참고'!$D$11:$D$20)</f>
        <v>0</v>
      </c>
      <c r="AM631" s="27">
        <v>1</v>
      </c>
      <c r="AN631" s="27">
        <v>1</v>
      </c>
      <c r="AO631" s="124">
        <f t="shared" si="508"/>
        <v>1</v>
      </c>
      <c r="AP631" s="27">
        <v>1</v>
      </c>
    </row>
    <row r="632" spans="1:42" x14ac:dyDescent="0.3">
      <c r="A632" s="19"/>
      <c r="B632" s="20">
        <v>10138023</v>
      </c>
      <c r="C632" s="99">
        <f t="shared" si="509"/>
        <v>0</v>
      </c>
      <c r="D632" s="121">
        <f>COUNTIFS($F$33:F632,F632, $G$33:G632,G632, $C$33:C632,C632, $L$33:L632,L632)</f>
        <v>8</v>
      </c>
      <c r="E632" s="20">
        <v>1</v>
      </c>
      <c r="F632" s="20">
        <v>8</v>
      </c>
      <c r="G632" s="20">
        <v>1</v>
      </c>
      <c r="H632" s="103" t="s">
        <v>966</v>
      </c>
      <c r="I632" s="20" t="s">
        <v>1513</v>
      </c>
      <c r="J632" s="104" t="str">
        <f t="shared" si="502"/>
        <v>Item_Name_10138023</v>
      </c>
      <c r="K632" s="20">
        <v>0</v>
      </c>
      <c r="L632" s="20">
        <v>3</v>
      </c>
      <c r="M632" s="105">
        <f>IF(D632=0, 0, _xlfn.XLOOKUP($F632,'#무게관련'!$B:$B,'#무게관련'!$C:$C)*_xlfn.XLOOKUP($L632,'#무게관련'!$F:$F,'#무게관련'!$G:$G)*100)</f>
        <v>1000</v>
      </c>
      <c r="N632" s="20">
        <v>20900</v>
      </c>
      <c r="O632" s="20">
        <v>6</v>
      </c>
      <c r="P632" s="20">
        <v>15</v>
      </c>
      <c r="Q632" s="20">
        <v>1</v>
      </c>
      <c r="R632" s="20">
        <v>100</v>
      </c>
      <c r="S632" s="20">
        <v>1</v>
      </c>
      <c r="T632" s="20" t="s">
        <v>1891</v>
      </c>
      <c r="U632" s="104" t="s">
        <v>257</v>
      </c>
      <c r="V632" s="20" t="s">
        <v>327</v>
      </c>
      <c r="W632" s="20" t="s">
        <v>429</v>
      </c>
      <c r="X632" s="104">
        <v>0</v>
      </c>
      <c r="Y632" s="104">
        <v>0</v>
      </c>
      <c r="Z632" s="104">
        <v>0</v>
      </c>
      <c r="AA632" s="104">
        <v>0</v>
      </c>
      <c r="AB632" s="104">
        <v>0</v>
      </c>
      <c r="AC632" s="104">
        <v>0</v>
      </c>
      <c r="AD632" s="142">
        <v>0</v>
      </c>
      <c r="AE632" s="31">
        <v>10</v>
      </c>
      <c r="AF632" s="70">
        <v>5308013</v>
      </c>
      <c r="AG632" s="105" cm="1">
        <f t="array" ref="AG632">_xlfn.SWITCH(L632,3,1,
           4,1,
           5,1,
           6,1,0)</f>
        <v>1</v>
      </c>
      <c r="AH632" s="145" t="s">
        <v>1549</v>
      </c>
      <c r="AI632" s="90">
        <v>6001</v>
      </c>
      <c r="AJ632" s="90">
        <v>4003</v>
      </c>
      <c r="AK632" s="27">
        <v>0</v>
      </c>
      <c r="AL632" s="123">
        <f>_xlfn.XLOOKUP(H632,'#각종 참고'!$B$11:$B$20,'#각종 참고'!$D$11:$D$20)</f>
        <v>0</v>
      </c>
      <c r="AM632" s="27">
        <v>1</v>
      </c>
      <c r="AN632" s="27">
        <v>1</v>
      </c>
      <c r="AO632" s="124">
        <f t="shared" si="508"/>
        <v>1</v>
      </c>
      <c r="AP632" s="27">
        <v>1</v>
      </c>
    </row>
    <row r="633" spans="1:42" x14ac:dyDescent="0.3">
      <c r="A633" s="19"/>
      <c r="B633" s="20">
        <v>10118024</v>
      </c>
      <c r="C633" s="99">
        <f t="shared" si="509"/>
        <v>0</v>
      </c>
      <c r="D633" s="121">
        <f>COUNTIFS($F$33:F633,F633, $G$33:G633,G633, $C$33:C633,C633, $L$33:L633,L633)</f>
        <v>9</v>
      </c>
      <c r="E633" s="20">
        <v>1</v>
      </c>
      <c r="F633" s="20">
        <v>8</v>
      </c>
      <c r="G633" s="20">
        <v>1</v>
      </c>
      <c r="H633" s="103" t="s">
        <v>966</v>
      </c>
      <c r="I633" s="20" t="s">
        <v>1514</v>
      </c>
      <c r="J633" s="104" t="str">
        <f t="shared" si="502"/>
        <v>Item_Name_10118024</v>
      </c>
      <c r="K633" s="20">
        <v>0</v>
      </c>
      <c r="L633" s="20">
        <v>1</v>
      </c>
      <c r="M633" s="105">
        <f>IF(D633=0, 0, _xlfn.XLOOKUP($F633,'#무게관련'!$B:$B,'#무게관련'!$C:$C)*_xlfn.XLOOKUP($L633,'#무게관련'!$F:$F,'#무게관련'!$G:$G)*100)</f>
        <v>1000</v>
      </c>
      <c r="N633" s="20">
        <v>20900</v>
      </c>
      <c r="O633" s="20">
        <v>6</v>
      </c>
      <c r="P633" s="20">
        <v>15</v>
      </c>
      <c r="Q633" s="20">
        <v>1</v>
      </c>
      <c r="R633" s="20">
        <v>100</v>
      </c>
      <c r="S633" s="20">
        <v>1</v>
      </c>
      <c r="T633" s="20" t="s">
        <v>1889</v>
      </c>
      <c r="U633" s="104" t="s">
        <v>171</v>
      </c>
      <c r="V633" s="20" t="s">
        <v>327</v>
      </c>
      <c r="W633" s="20" t="s">
        <v>429</v>
      </c>
      <c r="X633" s="104">
        <v>0</v>
      </c>
      <c r="Y633" s="104">
        <v>0</v>
      </c>
      <c r="Z633" s="104">
        <v>0</v>
      </c>
      <c r="AA633" s="104">
        <v>0</v>
      </c>
      <c r="AB633" s="104">
        <v>0</v>
      </c>
      <c r="AC633" s="104">
        <v>0</v>
      </c>
      <c r="AD633" s="142">
        <v>0</v>
      </c>
      <c r="AE633" s="31">
        <v>10</v>
      </c>
      <c r="AF633" s="70">
        <v>5108014</v>
      </c>
      <c r="AG633" s="105" cm="1">
        <f t="array" ref="AG633">_xlfn.SWITCH(L633,3,1,
           4,1,
           5,1,
           6,1,0)</f>
        <v>0</v>
      </c>
      <c r="AH633" s="145" t="s">
        <v>1547</v>
      </c>
      <c r="AI633" s="90">
        <v>6005</v>
      </c>
      <c r="AJ633" s="90">
        <v>4001</v>
      </c>
      <c r="AK633" s="27">
        <v>0</v>
      </c>
      <c r="AL633" s="123">
        <f>_xlfn.XLOOKUP(H633,'#각종 참고'!$B$11:$B$20,'#각종 참고'!$D$11:$D$20)</f>
        <v>0</v>
      </c>
      <c r="AM633" s="27">
        <v>1</v>
      </c>
      <c r="AN633" s="27">
        <v>1</v>
      </c>
      <c r="AO633" s="124">
        <f t="shared" si="508"/>
        <v>1</v>
      </c>
      <c r="AP633" s="27">
        <v>1</v>
      </c>
    </row>
    <row r="634" spans="1:42" x14ac:dyDescent="0.3">
      <c r="A634" s="19"/>
      <c r="B634" s="20">
        <v>10128024</v>
      </c>
      <c r="C634" s="99">
        <f t="shared" si="509"/>
        <v>0</v>
      </c>
      <c r="D634" s="121">
        <f>COUNTIFS($F$33:F634,F634, $G$33:G634,G634, $C$33:C634,C634, $L$33:L634,L634)</f>
        <v>9</v>
      </c>
      <c r="E634" s="20">
        <v>1</v>
      </c>
      <c r="F634" s="20">
        <v>8</v>
      </c>
      <c r="G634" s="20">
        <v>1</v>
      </c>
      <c r="H634" s="103" t="s">
        <v>966</v>
      </c>
      <c r="I634" s="20" t="s">
        <v>1515</v>
      </c>
      <c r="J634" s="104" t="str">
        <f t="shared" si="502"/>
        <v>Item_Name_10128024</v>
      </c>
      <c r="K634" s="20">
        <v>0</v>
      </c>
      <c r="L634" s="20">
        <v>2</v>
      </c>
      <c r="M634" s="105">
        <f>IF(D634=0, 0, _xlfn.XLOOKUP($F634,'#무게관련'!$B:$B,'#무게관련'!$C:$C)*_xlfn.XLOOKUP($L634,'#무게관련'!$F:$F,'#무게관련'!$G:$G)*100)</f>
        <v>1000</v>
      </c>
      <c r="N634" s="20">
        <v>20900</v>
      </c>
      <c r="O634" s="20">
        <v>6</v>
      </c>
      <c r="P634" s="20">
        <v>15</v>
      </c>
      <c r="Q634" s="20">
        <v>1</v>
      </c>
      <c r="R634" s="20">
        <v>100</v>
      </c>
      <c r="S634" s="20">
        <v>1</v>
      </c>
      <c r="T634" s="20" t="s">
        <v>1890</v>
      </c>
      <c r="U634" s="104" t="s">
        <v>256</v>
      </c>
      <c r="V634" s="20" t="s">
        <v>327</v>
      </c>
      <c r="W634" s="20" t="s">
        <v>429</v>
      </c>
      <c r="X634" s="104">
        <v>0</v>
      </c>
      <c r="Y634" s="104">
        <v>0</v>
      </c>
      <c r="Z634" s="104">
        <v>0</v>
      </c>
      <c r="AA634" s="104">
        <v>0</v>
      </c>
      <c r="AB634" s="104">
        <v>0</v>
      </c>
      <c r="AC634" s="104">
        <v>0</v>
      </c>
      <c r="AD634" s="142">
        <v>0</v>
      </c>
      <c r="AE634" s="31">
        <v>10</v>
      </c>
      <c r="AF634" s="70">
        <v>5208014</v>
      </c>
      <c r="AG634" s="105" cm="1">
        <f t="array" ref="AG634">_xlfn.SWITCH(L634,3,1,
           4,1,
           5,1,
           6,1,0)</f>
        <v>0</v>
      </c>
      <c r="AH634" s="145" t="s">
        <v>1548</v>
      </c>
      <c r="AI634" s="90">
        <v>6000</v>
      </c>
      <c r="AJ634" s="90">
        <v>4002</v>
      </c>
      <c r="AK634" s="27">
        <v>0</v>
      </c>
      <c r="AL634" s="123">
        <f>_xlfn.XLOOKUP(H634,'#각종 참고'!$B$11:$B$20,'#각종 참고'!$D$11:$D$20)</f>
        <v>0</v>
      </c>
      <c r="AM634" s="27">
        <v>1</v>
      </c>
      <c r="AN634" s="27">
        <v>1</v>
      </c>
      <c r="AO634" s="124">
        <f t="shared" si="508"/>
        <v>1</v>
      </c>
      <c r="AP634" s="27">
        <v>1</v>
      </c>
    </row>
    <row r="635" spans="1:42" x14ac:dyDescent="0.3">
      <c r="A635" s="19"/>
      <c r="B635" s="20">
        <v>10138024</v>
      </c>
      <c r="C635" s="99">
        <f t="shared" si="509"/>
        <v>0</v>
      </c>
      <c r="D635" s="121">
        <f>COUNTIFS($F$33:F635,F635, $G$33:G635,G635, $C$33:C635,C635, $L$33:L635,L635)</f>
        <v>9</v>
      </c>
      <c r="E635" s="20">
        <v>1</v>
      </c>
      <c r="F635" s="20">
        <v>8</v>
      </c>
      <c r="G635" s="20">
        <v>1</v>
      </c>
      <c r="H635" s="103" t="s">
        <v>966</v>
      </c>
      <c r="I635" s="20" t="s">
        <v>1516</v>
      </c>
      <c r="J635" s="104" t="str">
        <f t="shared" si="502"/>
        <v>Item_Name_10138024</v>
      </c>
      <c r="K635" s="20">
        <v>0</v>
      </c>
      <c r="L635" s="20">
        <v>3</v>
      </c>
      <c r="M635" s="105">
        <f>IF(D635=0, 0, _xlfn.XLOOKUP($F635,'#무게관련'!$B:$B,'#무게관련'!$C:$C)*_xlfn.XLOOKUP($L635,'#무게관련'!$F:$F,'#무게관련'!$G:$G)*100)</f>
        <v>1000</v>
      </c>
      <c r="N635" s="20">
        <v>20900</v>
      </c>
      <c r="O635" s="20">
        <v>6</v>
      </c>
      <c r="P635" s="20">
        <v>15</v>
      </c>
      <c r="Q635" s="20">
        <v>1</v>
      </c>
      <c r="R635" s="20">
        <v>100</v>
      </c>
      <c r="S635" s="20">
        <v>1</v>
      </c>
      <c r="T635" s="20" t="s">
        <v>1891</v>
      </c>
      <c r="U635" s="104" t="s">
        <v>257</v>
      </c>
      <c r="V635" s="20" t="s">
        <v>327</v>
      </c>
      <c r="W635" s="20" t="s">
        <v>429</v>
      </c>
      <c r="X635" s="104">
        <v>0</v>
      </c>
      <c r="Y635" s="104">
        <v>0</v>
      </c>
      <c r="Z635" s="104">
        <v>0</v>
      </c>
      <c r="AA635" s="104">
        <v>0</v>
      </c>
      <c r="AB635" s="104">
        <v>0</v>
      </c>
      <c r="AC635" s="104">
        <v>0</v>
      </c>
      <c r="AD635" s="142">
        <v>0</v>
      </c>
      <c r="AE635" s="31">
        <v>10</v>
      </c>
      <c r="AF635" s="70">
        <v>5308014</v>
      </c>
      <c r="AG635" s="105" cm="1">
        <f t="array" ref="AG635">_xlfn.SWITCH(L635,3,1,
           4,1,
           5,1,
           6,1,0)</f>
        <v>1</v>
      </c>
      <c r="AH635" s="145" t="s">
        <v>1549</v>
      </c>
      <c r="AI635" s="90">
        <v>6001</v>
      </c>
      <c r="AJ635" s="90">
        <v>4003</v>
      </c>
      <c r="AK635" s="27">
        <v>0</v>
      </c>
      <c r="AL635" s="123">
        <f>_xlfn.XLOOKUP(H635,'#각종 참고'!$B$11:$B$20,'#각종 참고'!$D$11:$D$20)</f>
        <v>0</v>
      </c>
      <c r="AM635" s="27">
        <v>1</v>
      </c>
      <c r="AN635" s="27">
        <v>1</v>
      </c>
      <c r="AO635" s="124">
        <f t="shared" si="508"/>
        <v>1</v>
      </c>
      <c r="AP635" s="27">
        <v>1</v>
      </c>
    </row>
    <row r="636" spans="1:42" x14ac:dyDescent="0.3">
      <c r="A636" s="19"/>
      <c r="B636" s="20">
        <v>10118025</v>
      </c>
      <c r="C636" s="99">
        <f t="shared" si="509"/>
        <v>0</v>
      </c>
      <c r="D636" s="121">
        <f>COUNTIFS($F$33:F636,F636, $G$33:G636,G636, $C$33:C636,C636, $L$33:L636,L636)</f>
        <v>10</v>
      </c>
      <c r="E636" s="20">
        <v>1</v>
      </c>
      <c r="F636" s="20">
        <v>8</v>
      </c>
      <c r="G636" s="20">
        <v>1</v>
      </c>
      <c r="H636" s="103" t="s">
        <v>966</v>
      </c>
      <c r="I636" s="20" t="s">
        <v>1517</v>
      </c>
      <c r="J636" s="104" t="str">
        <f t="shared" si="502"/>
        <v>Item_Name_10118025</v>
      </c>
      <c r="K636" s="20">
        <v>0</v>
      </c>
      <c r="L636" s="20">
        <v>1</v>
      </c>
      <c r="M636" s="105">
        <f>IF(D636=0, 0, _xlfn.XLOOKUP($F636,'#무게관련'!$B:$B,'#무게관련'!$C:$C)*_xlfn.XLOOKUP($L636,'#무게관련'!$F:$F,'#무게관련'!$G:$G)*100)</f>
        <v>1000</v>
      </c>
      <c r="N636" s="20">
        <v>20900</v>
      </c>
      <c r="O636" s="20">
        <v>6</v>
      </c>
      <c r="P636" s="20">
        <v>15</v>
      </c>
      <c r="Q636" s="20">
        <v>1</v>
      </c>
      <c r="R636" s="20">
        <v>100</v>
      </c>
      <c r="S636" s="20">
        <v>1</v>
      </c>
      <c r="T636" s="20" t="s">
        <v>1889</v>
      </c>
      <c r="U636" s="104" t="s">
        <v>171</v>
      </c>
      <c r="V636" s="20" t="s">
        <v>327</v>
      </c>
      <c r="W636" s="20" t="s">
        <v>429</v>
      </c>
      <c r="X636" s="104">
        <v>0</v>
      </c>
      <c r="Y636" s="104">
        <v>0</v>
      </c>
      <c r="Z636" s="104">
        <v>0</v>
      </c>
      <c r="AA636" s="104">
        <v>0</v>
      </c>
      <c r="AB636" s="104">
        <v>0</v>
      </c>
      <c r="AC636" s="104">
        <v>0</v>
      </c>
      <c r="AD636" s="142">
        <v>0</v>
      </c>
      <c r="AE636" s="31">
        <v>10</v>
      </c>
      <c r="AF636" s="70">
        <v>5108015</v>
      </c>
      <c r="AG636" s="105" cm="1">
        <f t="array" ref="AG636">_xlfn.SWITCH(L636,3,1,
           4,1,
           5,1,
           6,1,0)</f>
        <v>0</v>
      </c>
      <c r="AH636" s="145" t="s">
        <v>1547</v>
      </c>
      <c r="AI636" s="90">
        <v>6005</v>
      </c>
      <c r="AJ636" s="90">
        <v>4001</v>
      </c>
      <c r="AK636" s="27">
        <v>0</v>
      </c>
      <c r="AL636" s="123">
        <f>_xlfn.XLOOKUP(H636,'#각종 참고'!$B$11:$B$20,'#각종 참고'!$D$11:$D$20)</f>
        <v>0</v>
      </c>
      <c r="AM636" s="27">
        <v>1</v>
      </c>
      <c r="AN636" s="27">
        <v>1</v>
      </c>
      <c r="AO636" s="124">
        <f t="shared" si="508"/>
        <v>1</v>
      </c>
      <c r="AP636" s="27">
        <v>1</v>
      </c>
    </row>
    <row r="637" spans="1:42" x14ac:dyDescent="0.3">
      <c r="A637" s="19"/>
      <c r="B637" s="20">
        <v>10128025</v>
      </c>
      <c r="C637" s="99">
        <f t="shared" si="509"/>
        <v>0</v>
      </c>
      <c r="D637" s="121">
        <f>COUNTIFS($F$33:F637,F637, $G$33:G637,G637, $C$33:C637,C637, $L$33:L637,L637)</f>
        <v>10</v>
      </c>
      <c r="E637" s="20">
        <v>1</v>
      </c>
      <c r="F637" s="20">
        <v>8</v>
      </c>
      <c r="G637" s="20">
        <v>1</v>
      </c>
      <c r="H637" s="103" t="s">
        <v>966</v>
      </c>
      <c r="I637" s="20" t="s">
        <v>1518</v>
      </c>
      <c r="J637" s="104" t="str">
        <f t="shared" si="502"/>
        <v>Item_Name_10128025</v>
      </c>
      <c r="K637" s="20">
        <v>0</v>
      </c>
      <c r="L637" s="20">
        <v>2</v>
      </c>
      <c r="M637" s="105">
        <f>IF(D637=0, 0, _xlfn.XLOOKUP($F637,'#무게관련'!$B:$B,'#무게관련'!$C:$C)*_xlfn.XLOOKUP($L637,'#무게관련'!$F:$F,'#무게관련'!$G:$G)*100)</f>
        <v>1000</v>
      </c>
      <c r="N637" s="20">
        <v>20900</v>
      </c>
      <c r="O637" s="20">
        <v>6</v>
      </c>
      <c r="P637" s="20">
        <v>15</v>
      </c>
      <c r="Q637" s="20">
        <v>1</v>
      </c>
      <c r="R637" s="20">
        <v>100</v>
      </c>
      <c r="S637" s="20">
        <v>1</v>
      </c>
      <c r="T637" s="20" t="s">
        <v>1890</v>
      </c>
      <c r="U637" s="104" t="s">
        <v>256</v>
      </c>
      <c r="V637" s="20" t="s">
        <v>327</v>
      </c>
      <c r="W637" s="20" t="s">
        <v>429</v>
      </c>
      <c r="X637" s="104">
        <v>0</v>
      </c>
      <c r="Y637" s="104">
        <v>0</v>
      </c>
      <c r="Z637" s="104">
        <v>0</v>
      </c>
      <c r="AA637" s="104">
        <v>0</v>
      </c>
      <c r="AB637" s="104">
        <v>0</v>
      </c>
      <c r="AC637" s="104">
        <v>0</v>
      </c>
      <c r="AD637" s="142">
        <v>0</v>
      </c>
      <c r="AE637" s="31">
        <v>10</v>
      </c>
      <c r="AF637" s="70">
        <v>5208015</v>
      </c>
      <c r="AG637" s="105" cm="1">
        <f t="array" ref="AG637">_xlfn.SWITCH(L637,3,1,
           4,1,
           5,1,
           6,1,0)</f>
        <v>0</v>
      </c>
      <c r="AH637" s="145" t="s">
        <v>1548</v>
      </c>
      <c r="AI637" s="90">
        <v>6000</v>
      </c>
      <c r="AJ637" s="90">
        <v>4002</v>
      </c>
      <c r="AK637" s="27">
        <v>0</v>
      </c>
      <c r="AL637" s="123">
        <f>_xlfn.XLOOKUP(H637,'#각종 참고'!$B$11:$B$20,'#각종 참고'!$D$11:$D$20)</f>
        <v>0</v>
      </c>
      <c r="AM637" s="27">
        <v>1</v>
      </c>
      <c r="AN637" s="27">
        <v>1</v>
      </c>
      <c r="AO637" s="124">
        <f t="shared" si="508"/>
        <v>1</v>
      </c>
      <c r="AP637" s="27">
        <v>1</v>
      </c>
    </row>
    <row r="638" spans="1:42" x14ac:dyDescent="0.3">
      <c r="A638" s="19"/>
      <c r="B638" s="20">
        <v>10138025</v>
      </c>
      <c r="C638" s="99">
        <f t="shared" ref="C638" si="510">IF(K638&gt;0,MID(K638,5, 1), 0)</f>
        <v>0</v>
      </c>
      <c r="D638" s="121">
        <f>COUNTIFS($F$33:F638,F638, $G$33:G638,G638, $C$33:C638,C638, $L$33:L638,L638)</f>
        <v>10</v>
      </c>
      <c r="E638" s="20">
        <v>1</v>
      </c>
      <c r="F638" s="20">
        <v>8</v>
      </c>
      <c r="G638" s="20">
        <v>1</v>
      </c>
      <c r="H638" s="103" t="s">
        <v>966</v>
      </c>
      <c r="I638" s="20" t="s">
        <v>1519</v>
      </c>
      <c r="J638" s="104" t="str">
        <f t="shared" si="502"/>
        <v>Item_Name_10138025</v>
      </c>
      <c r="K638" s="20">
        <v>0</v>
      </c>
      <c r="L638" s="20">
        <v>3</v>
      </c>
      <c r="M638" s="105">
        <f>IF(D638=0, 0, _xlfn.XLOOKUP($F638,'#무게관련'!$B:$B,'#무게관련'!$C:$C)*_xlfn.XLOOKUP($L638,'#무게관련'!$F:$F,'#무게관련'!$G:$G)*100)</f>
        <v>1000</v>
      </c>
      <c r="N638" s="20">
        <v>20900</v>
      </c>
      <c r="O638" s="20">
        <v>6</v>
      </c>
      <c r="P638" s="20">
        <v>15</v>
      </c>
      <c r="Q638" s="20">
        <v>1</v>
      </c>
      <c r="R638" s="20">
        <v>100</v>
      </c>
      <c r="S638" s="20">
        <v>1</v>
      </c>
      <c r="T638" s="20" t="s">
        <v>1891</v>
      </c>
      <c r="U638" s="104" t="s">
        <v>257</v>
      </c>
      <c r="V638" s="20" t="s">
        <v>327</v>
      </c>
      <c r="W638" s="20" t="s">
        <v>429</v>
      </c>
      <c r="X638" s="104">
        <v>0</v>
      </c>
      <c r="Y638" s="104">
        <v>0</v>
      </c>
      <c r="Z638" s="104">
        <v>0</v>
      </c>
      <c r="AA638" s="104">
        <v>0</v>
      </c>
      <c r="AB638" s="104">
        <v>0</v>
      </c>
      <c r="AC638" s="104">
        <v>0</v>
      </c>
      <c r="AD638" s="142">
        <v>0</v>
      </c>
      <c r="AE638" s="31">
        <v>10</v>
      </c>
      <c r="AF638" s="70">
        <v>5308015</v>
      </c>
      <c r="AG638" s="105" cm="1">
        <f t="array" ref="AG638">_xlfn.SWITCH(L638,3,1,
           4,1,
           5,1,
           6,1,0)</f>
        <v>1</v>
      </c>
      <c r="AH638" s="145" t="s">
        <v>1549</v>
      </c>
      <c r="AI638" s="90">
        <v>6001</v>
      </c>
      <c r="AJ638" s="90">
        <v>4003</v>
      </c>
      <c r="AK638" s="27">
        <v>0</v>
      </c>
      <c r="AL638" s="123">
        <f>_xlfn.XLOOKUP(H638,'#각종 참고'!$B$11:$B$20,'#각종 참고'!$D$11:$D$20)</f>
        <v>0</v>
      </c>
      <c r="AM638" s="27">
        <v>1</v>
      </c>
      <c r="AN638" s="27">
        <v>1</v>
      </c>
      <c r="AO638" s="124">
        <f t="shared" si="508"/>
        <v>1</v>
      </c>
      <c r="AP638" s="27">
        <v>1</v>
      </c>
    </row>
    <row r="639" spans="1:42" x14ac:dyDescent="0.3">
      <c r="A639" s="19"/>
      <c r="B639" s="20">
        <v>10119017</v>
      </c>
      <c r="C639" s="99">
        <f t="shared" si="505"/>
        <v>0</v>
      </c>
      <c r="D639" s="121">
        <f>COUNTIFS($F$33:F639,F639, $G$33:G639,G639, $C$33:C639,C639, $L$33:L639,L639)</f>
        <v>1</v>
      </c>
      <c r="E639" s="20">
        <v>1</v>
      </c>
      <c r="F639" s="20">
        <v>9</v>
      </c>
      <c r="G639" s="20">
        <v>1</v>
      </c>
      <c r="H639" s="103" t="s">
        <v>967</v>
      </c>
      <c r="I639" s="20" t="s">
        <v>1484</v>
      </c>
      <c r="J639" s="104" t="str">
        <f t="shared" si="502"/>
        <v>Item_Name_10119017</v>
      </c>
      <c r="K639" s="20">
        <v>0</v>
      </c>
      <c r="L639" s="20">
        <v>1</v>
      </c>
      <c r="M639" s="105">
        <f>IF(D639=0, 0, _xlfn.XLOOKUP($F639,'#무게관련'!$B:$B,'#무게관련'!$C:$C)*_xlfn.XLOOKUP($L639,'#무게관련'!$F:$F,'#무게관련'!$G:$G)*100)</f>
        <v>1000</v>
      </c>
      <c r="N639" s="20">
        <v>20900</v>
      </c>
      <c r="O639" s="20">
        <v>5</v>
      </c>
      <c r="P639" s="20">
        <v>15</v>
      </c>
      <c r="Q639" s="20">
        <v>1</v>
      </c>
      <c r="R639" s="20">
        <v>100</v>
      </c>
      <c r="S639" s="20">
        <v>1</v>
      </c>
      <c r="T639" s="20" t="s">
        <v>1892</v>
      </c>
      <c r="U639" s="104" t="s">
        <v>171</v>
      </c>
      <c r="V639" s="20" t="s">
        <v>328</v>
      </c>
      <c r="W639" s="20" t="s">
        <v>429</v>
      </c>
      <c r="X639" s="104">
        <v>0</v>
      </c>
      <c r="Y639" s="104">
        <v>0</v>
      </c>
      <c r="Z639" s="104">
        <v>0</v>
      </c>
      <c r="AA639" s="104">
        <v>0</v>
      </c>
      <c r="AB639" s="104">
        <v>0</v>
      </c>
      <c r="AC639" s="104">
        <v>0</v>
      </c>
      <c r="AD639" s="142">
        <v>0</v>
      </c>
      <c r="AE639" s="31">
        <v>10</v>
      </c>
      <c r="AF639" s="70">
        <v>5109011</v>
      </c>
      <c r="AG639" s="105" cm="1">
        <f t="array" ref="AG639">_xlfn.SWITCH(L639,3,1,
           4,1,
           5,1,
           6,1,0)</f>
        <v>0</v>
      </c>
      <c r="AH639" s="145" t="s">
        <v>1547</v>
      </c>
      <c r="AI639" s="90">
        <v>6005</v>
      </c>
      <c r="AJ639" s="90">
        <v>4001</v>
      </c>
      <c r="AK639" s="27">
        <v>0</v>
      </c>
      <c r="AL639" s="123">
        <f>_xlfn.XLOOKUP(H639,'#각종 참고'!$B$11:$B$20,'#각종 참고'!$D$11:$D$20)</f>
        <v>0</v>
      </c>
      <c r="AM639" s="27">
        <v>1</v>
      </c>
      <c r="AN639" s="27">
        <v>1</v>
      </c>
      <c r="AO639" s="124">
        <f t="shared" si="508"/>
        <v>1</v>
      </c>
      <c r="AP639" s="27">
        <v>1</v>
      </c>
    </row>
    <row r="640" spans="1:42" x14ac:dyDescent="0.3">
      <c r="A640" s="19"/>
      <c r="B640" s="20">
        <v>10129016</v>
      </c>
      <c r="C640" s="99">
        <f t="shared" ref="C640" si="511">IF(K640&gt;0,MID(K640,5, 1), 0)</f>
        <v>0</v>
      </c>
      <c r="D640" s="121">
        <f>COUNTIFS($F$33:F640,F640, $G$33:G640,G640, $C$33:C640,C640, $L$33:L640,L640)</f>
        <v>1</v>
      </c>
      <c r="E640" s="20">
        <v>1</v>
      </c>
      <c r="F640" s="20">
        <v>9</v>
      </c>
      <c r="G640" s="20">
        <v>1</v>
      </c>
      <c r="H640" s="103" t="s">
        <v>967</v>
      </c>
      <c r="I640" s="20" t="s">
        <v>1485</v>
      </c>
      <c r="J640" s="104" t="str">
        <f t="shared" si="502"/>
        <v>Item_Name_10129016</v>
      </c>
      <c r="K640" s="20">
        <v>0</v>
      </c>
      <c r="L640" s="20">
        <v>2</v>
      </c>
      <c r="M640" s="105">
        <f>IF(D640=0, 0, _xlfn.XLOOKUP($F640,'#무게관련'!$B:$B,'#무게관련'!$C:$C)*_xlfn.XLOOKUP($L640,'#무게관련'!$F:$F,'#무게관련'!$G:$G)*100)</f>
        <v>1000</v>
      </c>
      <c r="N640" s="20">
        <v>20900</v>
      </c>
      <c r="O640" s="20">
        <v>5</v>
      </c>
      <c r="P640" s="20">
        <v>15</v>
      </c>
      <c r="Q640" s="20">
        <v>1</v>
      </c>
      <c r="R640" s="20">
        <v>100</v>
      </c>
      <c r="S640" s="20">
        <v>1</v>
      </c>
      <c r="T640" s="20" t="s">
        <v>1893</v>
      </c>
      <c r="U640" s="104" t="s">
        <v>256</v>
      </c>
      <c r="V640" s="20" t="s">
        <v>328</v>
      </c>
      <c r="W640" s="20" t="s">
        <v>429</v>
      </c>
      <c r="X640" s="104">
        <v>0</v>
      </c>
      <c r="Y640" s="104">
        <v>0</v>
      </c>
      <c r="Z640" s="104">
        <v>0</v>
      </c>
      <c r="AA640" s="104">
        <v>0</v>
      </c>
      <c r="AB640" s="104">
        <v>0</v>
      </c>
      <c r="AC640" s="104">
        <v>0</v>
      </c>
      <c r="AD640" s="142">
        <v>0</v>
      </c>
      <c r="AE640" s="31">
        <v>10</v>
      </c>
      <c r="AF640" s="70">
        <v>5209011</v>
      </c>
      <c r="AG640" s="105" cm="1">
        <f t="array" ref="AG640">_xlfn.SWITCH(L640,3,1,
           4,1,
           5,1,
           6,1,0)</f>
        <v>0</v>
      </c>
      <c r="AH640" s="145" t="s">
        <v>1548</v>
      </c>
      <c r="AI640" s="90">
        <v>6000</v>
      </c>
      <c r="AJ640" s="90">
        <v>4002</v>
      </c>
      <c r="AK640" s="27">
        <v>0</v>
      </c>
      <c r="AL640" s="123">
        <f>_xlfn.XLOOKUP(H640,'#각종 참고'!$B$11:$B$20,'#각종 참고'!$D$11:$D$20)</f>
        <v>0</v>
      </c>
      <c r="AM640" s="27">
        <v>1</v>
      </c>
      <c r="AN640" s="27">
        <v>1</v>
      </c>
      <c r="AO640" s="124">
        <f t="shared" si="508"/>
        <v>1</v>
      </c>
      <c r="AP640" s="27">
        <v>1</v>
      </c>
    </row>
    <row r="641" spans="1:42" x14ac:dyDescent="0.3">
      <c r="A641" s="19"/>
      <c r="B641" s="20">
        <v>10139016</v>
      </c>
      <c r="C641" s="99">
        <f t="shared" ref="C641:C643" si="512">IF(K641&gt;0,MID(K641,5, 1), 0)</f>
        <v>0</v>
      </c>
      <c r="D641" s="121">
        <f>COUNTIFS($F$33:F641,F641, $G$33:G641,G641, $C$33:C641,C641, $L$33:L641,L641)</f>
        <v>1</v>
      </c>
      <c r="E641" s="20">
        <v>1</v>
      </c>
      <c r="F641" s="20">
        <v>9</v>
      </c>
      <c r="G641" s="20">
        <v>1</v>
      </c>
      <c r="H641" s="103" t="s">
        <v>967</v>
      </c>
      <c r="I641" s="20" t="s">
        <v>1486</v>
      </c>
      <c r="J641" s="104" t="str">
        <f t="shared" si="502"/>
        <v>Item_Name_10139016</v>
      </c>
      <c r="K641" s="20">
        <v>0</v>
      </c>
      <c r="L641" s="20">
        <v>3</v>
      </c>
      <c r="M641" s="105">
        <f>IF(D641=0, 0, _xlfn.XLOOKUP($F641,'#무게관련'!$B:$B,'#무게관련'!$C:$C)*_xlfn.XLOOKUP($L641,'#무게관련'!$F:$F,'#무게관련'!$G:$G)*100)</f>
        <v>1000</v>
      </c>
      <c r="N641" s="20">
        <v>20900</v>
      </c>
      <c r="O641" s="20">
        <v>5</v>
      </c>
      <c r="P641" s="20">
        <v>15</v>
      </c>
      <c r="Q641" s="20">
        <v>1</v>
      </c>
      <c r="R641" s="20">
        <v>100</v>
      </c>
      <c r="S641" s="20">
        <v>1</v>
      </c>
      <c r="T641" s="20" t="s">
        <v>1894</v>
      </c>
      <c r="U641" s="104" t="s">
        <v>257</v>
      </c>
      <c r="V641" s="20" t="s">
        <v>328</v>
      </c>
      <c r="W641" s="20" t="s">
        <v>429</v>
      </c>
      <c r="X641" s="104">
        <v>0</v>
      </c>
      <c r="Y641" s="104">
        <v>0</v>
      </c>
      <c r="Z641" s="104">
        <v>0</v>
      </c>
      <c r="AA641" s="104">
        <v>0</v>
      </c>
      <c r="AB641" s="104">
        <v>0</v>
      </c>
      <c r="AC641" s="104">
        <v>0</v>
      </c>
      <c r="AD641" s="142">
        <v>0</v>
      </c>
      <c r="AE641" s="31">
        <v>10</v>
      </c>
      <c r="AF641" s="70">
        <v>5309011</v>
      </c>
      <c r="AG641" s="105" cm="1">
        <f t="array" ref="AG641">_xlfn.SWITCH(L641,3,1,
           4,1,
           5,1,
           6,1,0)</f>
        <v>1</v>
      </c>
      <c r="AH641" s="145" t="s">
        <v>1549</v>
      </c>
      <c r="AI641" s="90">
        <v>6001</v>
      </c>
      <c r="AJ641" s="90">
        <v>4003</v>
      </c>
      <c r="AK641" s="27">
        <v>0</v>
      </c>
      <c r="AL641" s="123">
        <f>_xlfn.XLOOKUP(H641,'#각종 참고'!$B$11:$B$20,'#각종 참고'!$D$11:$D$20)</f>
        <v>0</v>
      </c>
      <c r="AM641" s="27">
        <v>1</v>
      </c>
      <c r="AN641" s="27">
        <v>1</v>
      </c>
      <c r="AO641" s="124">
        <f t="shared" si="508"/>
        <v>1</v>
      </c>
      <c r="AP641" s="27">
        <v>1</v>
      </c>
    </row>
    <row r="642" spans="1:42" x14ac:dyDescent="0.3">
      <c r="A642" s="19"/>
      <c r="B642" s="20">
        <v>10119018</v>
      </c>
      <c r="C642" s="99">
        <f t="shared" si="512"/>
        <v>0</v>
      </c>
      <c r="D642" s="121">
        <f>COUNTIFS($F$33:F642,F642, $G$33:G642,G642, $C$33:C642,C642, $L$33:L642,L642)</f>
        <v>2</v>
      </c>
      <c r="E642" s="20">
        <v>1</v>
      </c>
      <c r="F642" s="20">
        <v>9</v>
      </c>
      <c r="G642" s="20">
        <v>1</v>
      </c>
      <c r="H642" s="103" t="s">
        <v>967</v>
      </c>
      <c r="I642" s="20" t="s">
        <v>1487</v>
      </c>
      <c r="J642" s="104" t="str">
        <f t="shared" si="502"/>
        <v>Item_Name_10119018</v>
      </c>
      <c r="K642" s="20">
        <v>0</v>
      </c>
      <c r="L642" s="20">
        <v>1</v>
      </c>
      <c r="M642" s="105">
        <f>IF(D642=0, 0, _xlfn.XLOOKUP($F642,'#무게관련'!$B:$B,'#무게관련'!$C:$C)*_xlfn.XLOOKUP($L642,'#무게관련'!$F:$F,'#무게관련'!$G:$G)*100)</f>
        <v>1000</v>
      </c>
      <c r="N642" s="20">
        <v>20900</v>
      </c>
      <c r="O642" s="20">
        <v>5</v>
      </c>
      <c r="P642" s="20">
        <v>15</v>
      </c>
      <c r="Q642" s="20">
        <v>1</v>
      </c>
      <c r="R642" s="20">
        <v>100</v>
      </c>
      <c r="S642" s="20">
        <v>1</v>
      </c>
      <c r="T642" s="20" t="s">
        <v>1892</v>
      </c>
      <c r="U642" s="104" t="s">
        <v>171</v>
      </c>
      <c r="V642" s="20" t="s">
        <v>328</v>
      </c>
      <c r="W642" s="20" t="s">
        <v>429</v>
      </c>
      <c r="X642" s="104">
        <v>0</v>
      </c>
      <c r="Y642" s="104">
        <v>0</v>
      </c>
      <c r="Z642" s="104">
        <v>0</v>
      </c>
      <c r="AA642" s="104">
        <v>0</v>
      </c>
      <c r="AB642" s="104">
        <v>0</v>
      </c>
      <c r="AC642" s="104">
        <v>0</v>
      </c>
      <c r="AD642" s="142">
        <v>0</v>
      </c>
      <c r="AE642" s="31">
        <v>10</v>
      </c>
      <c r="AF642" s="70">
        <v>5109012</v>
      </c>
      <c r="AG642" s="105" cm="1">
        <f t="array" ref="AG642">_xlfn.SWITCH(L642,3,1,
           4,1,
           5,1,
           6,1,0)</f>
        <v>0</v>
      </c>
      <c r="AH642" s="145" t="s">
        <v>1547</v>
      </c>
      <c r="AI642" s="90">
        <v>6005</v>
      </c>
      <c r="AJ642" s="90">
        <v>4001</v>
      </c>
      <c r="AK642" s="27">
        <v>0</v>
      </c>
      <c r="AL642" s="123">
        <f>_xlfn.XLOOKUP(H642,'#각종 참고'!$B$11:$B$20,'#각종 참고'!$D$11:$D$20)</f>
        <v>0</v>
      </c>
      <c r="AM642" s="27">
        <v>1</v>
      </c>
      <c r="AN642" s="27">
        <v>1</v>
      </c>
      <c r="AO642" s="124">
        <f t="shared" si="508"/>
        <v>1</v>
      </c>
      <c r="AP642" s="27">
        <v>1</v>
      </c>
    </row>
    <row r="643" spans="1:42" x14ac:dyDescent="0.3">
      <c r="A643" s="19"/>
      <c r="B643" s="20">
        <v>10129017</v>
      </c>
      <c r="C643" s="99">
        <f t="shared" si="512"/>
        <v>0</v>
      </c>
      <c r="D643" s="121">
        <f>COUNTIFS($F$33:F643,F643, $G$33:G643,G643, $C$33:C643,C643, $L$33:L643,L643)</f>
        <v>2</v>
      </c>
      <c r="E643" s="20">
        <v>1</v>
      </c>
      <c r="F643" s="20">
        <v>9</v>
      </c>
      <c r="G643" s="20">
        <v>1</v>
      </c>
      <c r="H643" s="103" t="s">
        <v>967</v>
      </c>
      <c r="I643" s="20" t="s">
        <v>1488</v>
      </c>
      <c r="J643" s="104" t="str">
        <f t="shared" ref="J643:J700" si="513">"Item_Name_"&amp;$B643</f>
        <v>Item_Name_10129017</v>
      </c>
      <c r="K643" s="20">
        <v>0</v>
      </c>
      <c r="L643" s="20">
        <v>2</v>
      </c>
      <c r="M643" s="105">
        <f>IF(D643=0, 0, _xlfn.XLOOKUP($F643,'#무게관련'!$B:$B,'#무게관련'!$C:$C)*_xlfn.XLOOKUP($L643,'#무게관련'!$F:$F,'#무게관련'!$G:$G)*100)</f>
        <v>1000</v>
      </c>
      <c r="N643" s="20">
        <v>20900</v>
      </c>
      <c r="O643" s="20">
        <v>5</v>
      </c>
      <c r="P643" s="20">
        <v>15</v>
      </c>
      <c r="Q643" s="20">
        <v>1</v>
      </c>
      <c r="R643" s="20">
        <v>100</v>
      </c>
      <c r="S643" s="20">
        <v>1</v>
      </c>
      <c r="T643" s="20" t="s">
        <v>1893</v>
      </c>
      <c r="U643" s="104" t="s">
        <v>256</v>
      </c>
      <c r="V643" s="20" t="s">
        <v>328</v>
      </c>
      <c r="W643" s="20" t="s">
        <v>429</v>
      </c>
      <c r="X643" s="104">
        <v>0</v>
      </c>
      <c r="Y643" s="104">
        <v>0</v>
      </c>
      <c r="Z643" s="104">
        <v>0</v>
      </c>
      <c r="AA643" s="104">
        <v>0</v>
      </c>
      <c r="AB643" s="104">
        <v>0</v>
      </c>
      <c r="AC643" s="104">
        <v>0</v>
      </c>
      <c r="AD643" s="142">
        <v>0</v>
      </c>
      <c r="AE643" s="31">
        <v>10</v>
      </c>
      <c r="AF643" s="70">
        <v>5209012</v>
      </c>
      <c r="AG643" s="105" cm="1">
        <f t="array" ref="AG643">_xlfn.SWITCH(L643,3,1,
           4,1,
           5,1,
           6,1,0)</f>
        <v>0</v>
      </c>
      <c r="AH643" s="145" t="s">
        <v>1548</v>
      </c>
      <c r="AI643" s="90">
        <v>6000</v>
      </c>
      <c r="AJ643" s="90">
        <v>4002</v>
      </c>
      <c r="AK643" s="27">
        <v>0</v>
      </c>
      <c r="AL643" s="123">
        <f>_xlfn.XLOOKUP(H643,'#각종 참고'!$B$11:$B$20,'#각종 참고'!$D$11:$D$20)</f>
        <v>0</v>
      </c>
      <c r="AM643" s="27">
        <v>1</v>
      </c>
      <c r="AN643" s="27">
        <v>1</v>
      </c>
      <c r="AO643" s="124">
        <f t="shared" si="508"/>
        <v>1</v>
      </c>
      <c r="AP643" s="27">
        <v>1</v>
      </c>
    </row>
    <row r="644" spans="1:42" x14ac:dyDescent="0.3">
      <c r="A644" s="19"/>
      <c r="B644" s="20">
        <v>10139017</v>
      </c>
      <c r="C644" s="99">
        <f t="shared" ref="C644:C649" si="514">IF(K644&gt;0,MID(K644,5, 1), 0)</f>
        <v>0</v>
      </c>
      <c r="D644" s="121">
        <f>COUNTIFS($F$33:F644,F644, $G$33:G644,G644, $C$33:C644,C644, $L$33:L644,L644)</f>
        <v>2</v>
      </c>
      <c r="E644" s="20">
        <v>1</v>
      </c>
      <c r="F644" s="20">
        <v>9</v>
      </c>
      <c r="G644" s="20">
        <v>1</v>
      </c>
      <c r="H644" s="103" t="s">
        <v>967</v>
      </c>
      <c r="I644" s="20" t="s">
        <v>1489</v>
      </c>
      <c r="J644" s="104" t="str">
        <f t="shared" si="513"/>
        <v>Item_Name_10139017</v>
      </c>
      <c r="K644" s="20">
        <v>0</v>
      </c>
      <c r="L644" s="20">
        <v>3</v>
      </c>
      <c r="M644" s="105">
        <f>IF(D644=0, 0, _xlfn.XLOOKUP($F644,'#무게관련'!$B:$B,'#무게관련'!$C:$C)*_xlfn.XLOOKUP($L644,'#무게관련'!$F:$F,'#무게관련'!$G:$G)*100)</f>
        <v>1000</v>
      </c>
      <c r="N644" s="20">
        <v>20900</v>
      </c>
      <c r="O644" s="20">
        <v>5</v>
      </c>
      <c r="P644" s="20">
        <v>15</v>
      </c>
      <c r="Q644" s="20">
        <v>1</v>
      </c>
      <c r="R644" s="20">
        <v>100</v>
      </c>
      <c r="S644" s="20">
        <v>1</v>
      </c>
      <c r="T644" s="20" t="s">
        <v>1894</v>
      </c>
      <c r="U644" s="104" t="s">
        <v>257</v>
      </c>
      <c r="V644" s="20" t="s">
        <v>328</v>
      </c>
      <c r="W644" s="20" t="s">
        <v>429</v>
      </c>
      <c r="X644" s="104">
        <v>0</v>
      </c>
      <c r="Y644" s="104">
        <v>0</v>
      </c>
      <c r="Z644" s="104">
        <v>0</v>
      </c>
      <c r="AA644" s="104">
        <v>0</v>
      </c>
      <c r="AB644" s="104">
        <v>0</v>
      </c>
      <c r="AC644" s="104">
        <v>0</v>
      </c>
      <c r="AD644" s="142">
        <v>0</v>
      </c>
      <c r="AE644" s="31">
        <v>10</v>
      </c>
      <c r="AF644" s="70">
        <v>5309012</v>
      </c>
      <c r="AG644" s="105" cm="1">
        <f t="array" ref="AG644">_xlfn.SWITCH(L644,3,1,
           4,1,
           5,1,
           6,1,0)</f>
        <v>1</v>
      </c>
      <c r="AH644" s="145" t="s">
        <v>1549</v>
      </c>
      <c r="AI644" s="90">
        <v>6001</v>
      </c>
      <c r="AJ644" s="90">
        <v>4003</v>
      </c>
      <c r="AK644" s="27">
        <v>0</v>
      </c>
      <c r="AL644" s="123">
        <f>_xlfn.XLOOKUP(H644,'#각종 참고'!$B$11:$B$20,'#각종 참고'!$D$11:$D$20)</f>
        <v>0</v>
      </c>
      <c r="AM644" s="27">
        <v>1</v>
      </c>
      <c r="AN644" s="27">
        <v>1</v>
      </c>
      <c r="AO644" s="124">
        <f t="shared" si="508"/>
        <v>1</v>
      </c>
      <c r="AP644" s="27">
        <v>1</v>
      </c>
    </row>
    <row r="645" spans="1:42" x14ac:dyDescent="0.3">
      <c r="A645" s="19"/>
      <c r="B645" s="20">
        <v>10119019</v>
      </c>
      <c r="C645" s="99">
        <f t="shared" si="514"/>
        <v>0</v>
      </c>
      <c r="D645" s="121">
        <f>COUNTIFS($F$33:F645,F645, $G$33:G645,G645, $C$33:C645,C645, $L$33:L645,L645)</f>
        <v>3</v>
      </c>
      <c r="E645" s="20">
        <v>1</v>
      </c>
      <c r="F645" s="20">
        <v>9</v>
      </c>
      <c r="G645" s="20">
        <v>1</v>
      </c>
      <c r="H645" s="103" t="s">
        <v>967</v>
      </c>
      <c r="I645" s="20" t="s">
        <v>1520</v>
      </c>
      <c r="J645" s="104" t="str">
        <f t="shared" si="513"/>
        <v>Item_Name_10119019</v>
      </c>
      <c r="K645" s="20">
        <v>0</v>
      </c>
      <c r="L645" s="20">
        <v>1</v>
      </c>
      <c r="M645" s="105">
        <f>IF(D645=0, 0, _xlfn.XLOOKUP($F645,'#무게관련'!$B:$B,'#무게관련'!$C:$C)*_xlfn.XLOOKUP($L645,'#무게관련'!$F:$F,'#무게관련'!$G:$G)*100)</f>
        <v>1000</v>
      </c>
      <c r="N645" s="20">
        <v>20900</v>
      </c>
      <c r="O645" s="20">
        <v>5</v>
      </c>
      <c r="P645" s="20">
        <v>15</v>
      </c>
      <c r="Q645" s="20">
        <v>1</v>
      </c>
      <c r="R645" s="20">
        <v>100</v>
      </c>
      <c r="S645" s="20">
        <v>1</v>
      </c>
      <c r="T645" s="20" t="s">
        <v>1892</v>
      </c>
      <c r="U645" s="104" t="s">
        <v>171</v>
      </c>
      <c r="V645" s="20" t="s">
        <v>328</v>
      </c>
      <c r="W645" s="20" t="s">
        <v>429</v>
      </c>
      <c r="X645" s="104">
        <v>0</v>
      </c>
      <c r="Y645" s="104">
        <v>0</v>
      </c>
      <c r="Z645" s="104">
        <v>0</v>
      </c>
      <c r="AA645" s="104">
        <v>0</v>
      </c>
      <c r="AB645" s="104">
        <v>0</v>
      </c>
      <c r="AC645" s="104">
        <v>0</v>
      </c>
      <c r="AD645" s="142">
        <v>0</v>
      </c>
      <c r="AE645" s="31">
        <v>10</v>
      </c>
      <c r="AF645" s="70">
        <v>5109013</v>
      </c>
      <c r="AG645" s="105" cm="1">
        <f t="array" ref="AG645">_xlfn.SWITCH(L645,3,1,
           4,1,
           5,1,
           6,1,0)</f>
        <v>0</v>
      </c>
      <c r="AH645" s="145" t="s">
        <v>1547</v>
      </c>
      <c r="AI645" s="90">
        <v>6005</v>
      </c>
      <c r="AJ645" s="90">
        <v>4001</v>
      </c>
      <c r="AK645" s="27">
        <v>0</v>
      </c>
      <c r="AL645" s="123">
        <f>_xlfn.XLOOKUP(H645,'#각종 참고'!$B$11:$B$20,'#각종 참고'!$D$11:$D$20)</f>
        <v>0</v>
      </c>
      <c r="AM645" s="27">
        <v>1</v>
      </c>
      <c r="AN645" s="27">
        <v>1</v>
      </c>
      <c r="AO645" s="124">
        <f t="shared" si="508"/>
        <v>1</v>
      </c>
      <c r="AP645" s="27">
        <v>1</v>
      </c>
    </row>
    <row r="646" spans="1:42" x14ac:dyDescent="0.3">
      <c r="A646" s="19"/>
      <c r="B646" s="20">
        <v>10129018</v>
      </c>
      <c r="C646" s="99">
        <f t="shared" si="514"/>
        <v>0</v>
      </c>
      <c r="D646" s="121">
        <f>COUNTIFS($F$33:F646,F646, $G$33:G646,G646, $C$33:C646,C646, $L$33:L646,L646)</f>
        <v>3</v>
      </c>
      <c r="E646" s="20">
        <v>1</v>
      </c>
      <c r="F646" s="20">
        <v>9</v>
      </c>
      <c r="G646" s="20">
        <v>1</v>
      </c>
      <c r="H646" s="103" t="s">
        <v>967</v>
      </c>
      <c r="I646" s="20" t="s">
        <v>1521</v>
      </c>
      <c r="J646" s="104" t="str">
        <f t="shared" si="513"/>
        <v>Item_Name_10129018</v>
      </c>
      <c r="K646" s="20">
        <v>0</v>
      </c>
      <c r="L646" s="20">
        <v>2</v>
      </c>
      <c r="M646" s="105">
        <f>IF(D646=0, 0, _xlfn.XLOOKUP($F646,'#무게관련'!$B:$B,'#무게관련'!$C:$C)*_xlfn.XLOOKUP($L646,'#무게관련'!$F:$F,'#무게관련'!$G:$G)*100)</f>
        <v>1000</v>
      </c>
      <c r="N646" s="20">
        <v>20900</v>
      </c>
      <c r="O646" s="20">
        <v>5</v>
      </c>
      <c r="P646" s="20">
        <v>15</v>
      </c>
      <c r="Q646" s="20">
        <v>1</v>
      </c>
      <c r="R646" s="20">
        <v>100</v>
      </c>
      <c r="S646" s="20">
        <v>1</v>
      </c>
      <c r="T646" s="20" t="s">
        <v>1893</v>
      </c>
      <c r="U646" s="104" t="s">
        <v>256</v>
      </c>
      <c r="V646" s="20" t="s">
        <v>328</v>
      </c>
      <c r="W646" s="20" t="s">
        <v>429</v>
      </c>
      <c r="X646" s="104">
        <v>0</v>
      </c>
      <c r="Y646" s="104">
        <v>0</v>
      </c>
      <c r="Z646" s="104">
        <v>0</v>
      </c>
      <c r="AA646" s="104">
        <v>0</v>
      </c>
      <c r="AB646" s="104">
        <v>0</v>
      </c>
      <c r="AC646" s="104">
        <v>0</v>
      </c>
      <c r="AD646" s="142">
        <v>0</v>
      </c>
      <c r="AE646" s="31">
        <v>10</v>
      </c>
      <c r="AF646" s="70">
        <v>5209013</v>
      </c>
      <c r="AG646" s="105" cm="1">
        <f t="array" ref="AG646">_xlfn.SWITCH(L646,3,1,
           4,1,
           5,1,
           6,1,0)</f>
        <v>0</v>
      </c>
      <c r="AH646" s="145" t="s">
        <v>1548</v>
      </c>
      <c r="AI646" s="90">
        <v>6000</v>
      </c>
      <c r="AJ646" s="90">
        <v>4002</v>
      </c>
      <c r="AK646" s="27">
        <v>0</v>
      </c>
      <c r="AL646" s="123">
        <f>_xlfn.XLOOKUP(H646,'#각종 참고'!$B$11:$B$20,'#각종 참고'!$D$11:$D$20)</f>
        <v>0</v>
      </c>
      <c r="AM646" s="27">
        <v>1</v>
      </c>
      <c r="AN646" s="27">
        <v>1</v>
      </c>
      <c r="AO646" s="124">
        <f t="shared" si="508"/>
        <v>1</v>
      </c>
      <c r="AP646" s="27">
        <v>1</v>
      </c>
    </row>
    <row r="647" spans="1:42" x14ac:dyDescent="0.3">
      <c r="A647" s="19"/>
      <c r="B647" s="20">
        <v>10139018</v>
      </c>
      <c r="C647" s="99">
        <f t="shared" si="514"/>
        <v>0</v>
      </c>
      <c r="D647" s="121">
        <f>COUNTIFS($F$33:F647,F647, $G$33:G647,G647, $C$33:C647,C647, $L$33:L647,L647)</f>
        <v>3</v>
      </c>
      <c r="E647" s="20">
        <v>1</v>
      </c>
      <c r="F647" s="20">
        <v>9</v>
      </c>
      <c r="G647" s="20">
        <v>1</v>
      </c>
      <c r="H647" s="103" t="s">
        <v>967</v>
      </c>
      <c r="I647" s="20" t="s">
        <v>1522</v>
      </c>
      <c r="J647" s="104" t="str">
        <f t="shared" si="513"/>
        <v>Item_Name_10139018</v>
      </c>
      <c r="K647" s="20">
        <v>0</v>
      </c>
      <c r="L647" s="20">
        <v>3</v>
      </c>
      <c r="M647" s="105">
        <f>IF(D647=0, 0, _xlfn.XLOOKUP($F647,'#무게관련'!$B:$B,'#무게관련'!$C:$C)*_xlfn.XLOOKUP($L647,'#무게관련'!$F:$F,'#무게관련'!$G:$G)*100)</f>
        <v>1000</v>
      </c>
      <c r="N647" s="20">
        <v>20900</v>
      </c>
      <c r="O647" s="20">
        <v>5</v>
      </c>
      <c r="P647" s="20">
        <v>15</v>
      </c>
      <c r="Q647" s="20">
        <v>1</v>
      </c>
      <c r="R647" s="20">
        <v>100</v>
      </c>
      <c r="S647" s="20">
        <v>1</v>
      </c>
      <c r="T647" s="20" t="s">
        <v>1894</v>
      </c>
      <c r="U647" s="104" t="s">
        <v>257</v>
      </c>
      <c r="V647" s="20" t="s">
        <v>328</v>
      </c>
      <c r="W647" s="20" t="s">
        <v>429</v>
      </c>
      <c r="X647" s="104">
        <v>0</v>
      </c>
      <c r="Y647" s="104">
        <v>0</v>
      </c>
      <c r="Z647" s="104">
        <v>0</v>
      </c>
      <c r="AA647" s="104">
        <v>0</v>
      </c>
      <c r="AB647" s="104">
        <v>0</v>
      </c>
      <c r="AC647" s="104">
        <v>0</v>
      </c>
      <c r="AD647" s="142">
        <v>0</v>
      </c>
      <c r="AE647" s="31">
        <v>10</v>
      </c>
      <c r="AF647" s="70">
        <v>5309013</v>
      </c>
      <c r="AG647" s="105" cm="1">
        <f t="array" ref="AG647">_xlfn.SWITCH(L647,3,1,
           4,1,
           5,1,
           6,1,0)</f>
        <v>1</v>
      </c>
      <c r="AH647" s="145" t="s">
        <v>1549</v>
      </c>
      <c r="AI647" s="90">
        <v>6001</v>
      </c>
      <c r="AJ647" s="90">
        <v>4003</v>
      </c>
      <c r="AK647" s="27">
        <v>0</v>
      </c>
      <c r="AL647" s="123">
        <f>_xlfn.XLOOKUP(H647,'#각종 참고'!$B$11:$B$20,'#각종 참고'!$D$11:$D$20)</f>
        <v>0</v>
      </c>
      <c r="AM647" s="27">
        <v>1</v>
      </c>
      <c r="AN647" s="27">
        <v>1</v>
      </c>
      <c r="AO647" s="124">
        <f t="shared" si="508"/>
        <v>1</v>
      </c>
      <c r="AP647" s="27">
        <v>1</v>
      </c>
    </row>
    <row r="648" spans="1:42" x14ac:dyDescent="0.3">
      <c r="A648" s="19"/>
      <c r="B648" s="20">
        <v>10119020</v>
      </c>
      <c r="C648" s="99">
        <f t="shared" si="514"/>
        <v>0</v>
      </c>
      <c r="D648" s="121">
        <f>COUNTIFS($F$33:F648,F648, $G$33:G648,G648, $C$33:C648,C648, $L$33:L648,L648)</f>
        <v>4</v>
      </c>
      <c r="E648" s="20">
        <v>1</v>
      </c>
      <c r="F648" s="20">
        <v>9</v>
      </c>
      <c r="G648" s="20">
        <v>1</v>
      </c>
      <c r="H648" s="103" t="s">
        <v>967</v>
      </c>
      <c r="I648" s="20" t="s">
        <v>1523</v>
      </c>
      <c r="J648" s="104" t="str">
        <f t="shared" si="513"/>
        <v>Item_Name_10119020</v>
      </c>
      <c r="K648" s="20">
        <v>0</v>
      </c>
      <c r="L648" s="20">
        <v>1</v>
      </c>
      <c r="M648" s="105">
        <f>IF(D648=0, 0, _xlfn.XLOOKUP($F648,'#무게관련'!$B:$B,'#무게관련'!$C:$C)*_xlfn.XLOOKUP($L648,'#무게관련'!$F:$F,'#무게관련'!$G:$G)*100)</f>
        <v>1000</v>
      </c>
      <c r="N648" s="20">
        <v>20900</v>
      </c>
      <c r="O648" s="20">
        <v>5</v>
      </c>
      <c r="P648" s="20">
        <v>15</v>
      </c>
      <c r="Q648" s="20">
        <v>1</v>
      </c>
      <c r="R648" s="20">
        <v>100</v>
      </c>
      <c r="S648" s="20">
        <v>1</v>
      </c>
      <c r="T648" s="20" t="s">
        <v>1892</v>
      </c>
      <c r="U648" s="104" t="s">
        <v>171</v>
      </c>
      <c r="V648" s="20" t="s">
        <v>328</v>
      </c>
      <c r="W648" s="20" t="s">
        <v>429</v>
      </c>
      <c r="X648" s="104">
        <v>0</v>
      </c>
      <c r="Y648" s="104">
        <v>0</v>
      </c>
      <c r="Z648" s="104">
        <v>0</v>
      </c>
      <c r="AA648" s="104">
        <v>0</v>
      </c>
      <c r="AB648" s="104">
        <v>0</v>
      </c>
      <c r="AC648" s="104">
        <v>0</v>
      </c>
      <c r="AD648" s="142">
        <v>0</v>
      </c>
      <c r="AE648" s="31">
        <v>10</v>
      </c>
      <c r="AF648" s="70">
        <v>5109014</v>
      </c>
      <c r="AG648" s="105" cm="1">
        <f t="array" ref="AG648">_xlfn.SWITCH(L648,3,1,
           4,1,
           5,1,
           6,1,0)</f>
        <v>0</v>
      </c>
      <c r="AH648" s="145" t="s">
        <v>1547</v>
      </c>
      <c r="AI648" s="90">
        <v>6005</v>
      </c>
      <c r="AJ648" s="90">
        <v>4001</v>
      </c>
      <c r="AK648" s="27">
        <v>0</v>
      </c>
      <c r="AL648" s="123">
        <f>_xlfn.XLOOKUP(H648,'#각종 참고'!$B$11:$B$20,'#각종 참고'!$D$11:$D$20)</f>
        <v>0</v>
      </c>
      <c r="AM648" s="27">
        <v>1</v>
      </c>
      <c r="AN648" s="27">
        <v>1</v>
      </c>
      <c r="AO648" s="124">
        <f t="shared" si="508"/>
        <v>1</v>
      </c>
      <c r="AP648" s="27">
        <v>1</v>
      </c>
    </row>
    <row r="649" spans="1:42" x14ac:dyDescent="0.3">
      <c r="A649" s="19"/>
      <c r="B649" s="20">
        <v>10129019</v>
      </c>
      <c r="C649" s="99">
        <f t="shared" si="514"/>
        <v>0</v>
      </c>
      <c r="D649" s="121">
        <f>COUNTIFS($F$33:F649,F649, $G$33:G649,G649, $C$33:C649,C649, $L$33:L649,L649)</f>
        <v>4</v>
      </c>
      <c r="E649" s="20">
        <v>1</v>
      </c>
      <c r="F649" s="20">
        <v>9</v>
      </c>
      <c r="G649" s="20">
        <v>1</v>
      </c>
      <c r="H649" s="103" t="s">
        <v>967</v>
      </c>
      <c r="I649" s="20" t="s">
        <v>1524</v>
      </c>
      <c r="J649" s="104" t="str">
        <f t="shared" si="513"/>
        <v>Item_Name_10129019</v>
      </c>
      <c r="K649" s="20">
        <v>0</v>
      </c>
      <c r="L649" s="20">
        <v>2</v>
      </c>
      <c r="M649" s="105">
        <f>IF(D649=0, 0, _xlfn.XLOOKUP($F649,'#무게관련'!$B:$B,'#무게관련'!$C:$C)*_xlfn.XLOOKUP($L649,'#무게관련'!$F:$F,'#무게관련'!$G:$G)*100)</f>
        <v>1000</v>
      </c>
      <c r="N649" s="20">
        <v>20900</v>
      </c>
      <c r="O649" s="20">
        <v>5</v>
      </c>
      <c r="P649" s="20">
        <v>15</v>
      </c>
      <c r="Q649" s="20">
        <v>1</v>
      </c>
      <c r="R649" s="20">
        <v>100</v>
      </c>
      <c r="S649" s="20">
        <v>1</v>
      </c>
      <c r="T649" s="20" t="s">
        <v>1893</v>
      </c>
      <c r="U649" s="104" t="s">
        <v>256</v>
      </c>
      <c r="V649" s="20" t="s">
        <v>328</v>
      </c>
      <c r="W649" s="20" t="s">
        <v>429</v>
      </c>
      <c r="X649" s="104">
        <v>0</v>
      </c>
      <c r="Y649" s="104">
        <v>0</v>
      </c>
      <c r="Z649" s="104">
        <v>0</v>
      </c>
      <c r="AA649" s="104">
        <v>0</v>
      </c>
      <c r="AB649" s="104">
        <v>0</v>
      </c>
      <c r="AC649" s="104">
        <v>0</v>
      </c>
      <c r="AD649" s="142">
        <v>0</v>
      </c>
      <c r="AE649" s="31">
        <v>10</v>
      </c>
      <c r="AF649" s="70">
        <v>5209014</v>
      </c>
      <c r="AG649" s="105" cm="1">
        <f t="array" ref="AG649">_xlfn.SWITCH(L649,3,1,
           4,1,
           5,1,
           6,1,0)</f>
        <v>0</v>
      </c>
      <c r="AH649" s="145" t="s">
        <v>1548</v>
      </c>
      <c r="AI649" s="90">
        <v>6000</v>
      </c>
      <c r="AJ649" s="90">
        <v>4002</v>
      </c>
      <c r="AK649" s="27">
        <v>0</v>
      </c>
      <c r="AL649" s="123">
        <f>_xlfn.XLOOKUP(H649,'#각종 참고'!$B$11:$B$20,'#각종 참고'!$D$11:$D$20)</f>
        <v>0</v>
      </c>
      <c r="AM649" s="27">
        <v>1</v>
      </c>
      <c r="AN649" s="27">
        <v>1</v>
      </c>
      <c r="AO649" s="124">
        <f t="shared" si="508"/>
        <v>1</v>
      </c>
      <c r="AP649" s="27">
        <v>1</v>
      </c>
    </row>
    <row r="650" spans="1:42" x14ac:dyDescent="0.3">
      <c r="A650" s="19"/>
      <c r="B650" s="20">
        <v>10139019</v>
      </c>
      <c r="C650" s="99">
        <f t="shared" ref="C650:C661" si="515">IF(K650&gt;0,MID(K650,5, 1), 0)</f>
        <v>0</v>
      </c>
      <c r="D650" s="121">
        <f>COUNTIFS($F$33:F650,F650, $G$33:G650,G650, $C$33:C650,C650, $L$33:L650,L650)</f>
        <v>4</v>
      </c>
      <c r="E650" s="20">
        <v>1</v>
      </c>
      <c r="F650" s="20">
        <v>9</v>
      </c>
      <c r="G650" s="20">
        <v>1</v>
      </c>
      <c r="H650" s="103" t="s">
        <v>967</v>
      </c>
      <c r="I650" s="20" t="s">
        <v>1525</v>
      </c>
      <c r="J650" s="104" t="str">
        <f t="shared" si="513"/>
        <v>Item_Name_10139019</v>
      </c>
      <c r="K650" s="20">
        <v>0</v>
      </c>
      <c r="L650" s="20">
        <v>3</v>
      </c>
      <c r="M650" s="105">
        <f>IF(D650=0, 0, _xlfn.XLOOKUP($F650,'#무게관련'!$B:$B,'#무게관련'!$C:$C)*_xlfn.XLOOKUP($L650,'#무게관련'!$F:$F,'#무게관련'!$G:$G)*100)</f>
        <v>1000</v>
      </c>
      <c r="N650" s="20">
        <v>20900</v>
      </c>
      <c r="O650" s="20">
        <v>5</v>
      </c>
      <c r="P650" s="20">
        <v>15</v>
      </c>
      <c r="Q650" s="20">
        <v>1</v>
      </c>
      <c r="R650" s="20">
        <v>100</v>
      </c>
      <c r="S650" s="20">
        <v>1</v>
      </c>
      <c r="T650" s="20" t="s">
        <v>1894</v>
      </c>
      <c r="U650" s="104" t="s">
        <v>257</v>
      </c>
      <c r="V650" s="20" t="s">
        <v>328</v>
      </c>
      <c r="W650" s="20" t="s">
        <v>429</v>
      </c>
      <c r="X650" s="104">
        <v>0</v>
      </c>
      <c r="Y650" s="104">
        <v>0</v>
      </c>
      <c r="Z650" s="104">
        <v>0</v>
      </c>
      <c r="AA650" s="104">
        <v>0</v>
      </c>
      <c r="AB650" s="104">
        <v>0</v>
      </c>
      <c r="AC650" s="104">
        <v>0</v>
      </c>
      <c r="AD650" s="142">
        <v>0</v>
      </c>
      <c r="AE650" s="31">
        <v>10</v>
      </c>
      <c r="AF650" s="70">
        <v>5309014</v>
      </c>
      <c r="AG650" s="105" cm="1">
        <f t="array" ref="AG650">_xlfn.SWITCH(L650,3,1,
           4,1,
           5,1,
           6,1,0)</f>
        <v>1</v>
      </c>
      <c r="AH650" s="145" t="s">
        <v>1549</v>
      </c>
      <c r="AI650" s="90">
        <v>6001</v>
      </c>
      <c r="AJ650" s="90">
        <v>4003</v>
      </c>
      <c r="AK650" s="27">
        <v>0</v>
      </c>
      <c r="AL650" s="123">
        <f>_xlfn.XLOOKUP(H650,'#각종 참고'!$B$11:$B$20,'#각종 참고'!$D$11:$D$20)</f>
        <v>0</v>
      </c>
      <c r="AM650" s="27">
        <v>1</v>
      </c>
      <c r="AN650" s="27">
        <v>1</v>
      </c>
      <c r="AO650" s="124">
        <f t="shared" si="508"/>
        <v>1</v>
      </c>
      <c r="AP650" s="27">
        <v>1</v>
      </c>
    </row>
    <row r="651" spans="1:42" x14ac:dyDescent="0.3">
      <c r="A651" s="19"/>
      <c r="B651" s="20">
        <v>10119021</v>
      </c>
      <c r="C651" s="99">
        <f t="shared" si="515"/>
        <v>0</v>
      </c>
      <c r="D651" s="121">
        <f>COUNTIFS($F$33:F651,F651, $G$33:G651,G651, $C$33:C651,C651, $L$33:L651,L651)</f>
        <v>5</v>
      </c>
      <c r="E651" s="20">
        <v>1</v>
      </c>
      <c r="F651" s="20">
        <v>9</v>
      </c>
      <c r="G651" s="20">
        <v>1</v>
      </c>
      <c r="H651" s="103" t="s">
        <v>967</v>
      </c>
      <c r="I651" s="20" t="s">
        <v>1526</v>
      </c>
      <c r="J651" s="104" t="str">
        <f t="shared" si="513"/>
        <v>Item_Name_10119021</v>
      </c>
      <c r="K651" s="20">
        <v>0</v>
      </c>
      <c r="L651" s="20">
        <v>1</v>
      </c>
      <c r="M651" s="105">
        <f>IF(D651=0, 0, _xlfn.XLOOKUP($F651,'#무게관련'!$B:$B,'#무게관련'!$C:$C)*_xlfn.XLOOKUP($L651,'#무게관련'!$F:$F,'#무게관련'!$G:$G)*100)</f>
        <v>1000</v>
      </c>
      <c r="N651" s="20">
        <v>20900</v>
      </c>
      <c r="O651" s="20">
        <v>5</v>
      </c>
      <c r="P651" s="20">
        <v>15</v>
      </c>
      <c r="Q651" s="20">
        <v>1</v>
      </c>
      <c r="R651" s="20">
        <v>100</v>
      </c>
      <c r="S651" s="20">
        <v>1</v>
      </c>
      <c r="T651" s="20" t="s">
        <v>1892</v>
      </c>
      <c r="U651" s="104" t="s">
        <v>171</v>
      </c>
      <c r="V651" s="20" t="s">
        <v>328</v>
      </c>
      <c r="W651" s="20" t="s">
        <v>429</v>
      </c>
      <c r="X651" s="104">
        <v>0</v>
      </c>
      <c r="Y651" s="104">
        <v>0</v>
      </c>
      <c r="Z651" s="104">
        <v>0</v>
      </c>
      <c r="AA651" s="104">
        <v>0</v>
      </c>
      <c r="AB651" s="104">
        <v>0</v>
      </c>
      <c r="AC651" s="104">
        <v>0</v>
      </c>
      <c r="AD651" s="142">
        <v>0</v>
      </c>
      <c r="AE651" s="31">
        <v>10</v>
      </c>
      <c r="AF651" s="70">
        <v>5109015</v>
      </c>
      <c r="AG651" s="105" cm="1">
        <f t="array" ref="AG651">_xlfn.SWITCH(L651,3,1,
           4,1,
           5,1,
           6,1,0)</f>
        <v>0</v>
      </c>
      <c r="AH651" s="145" t="s">
        <v>1547</v>
      </c>
      <c r="AI651" s="90">
        <v>6005</v>
      </c>
      <c r="AJ651" s="90">
        <v>4001</v>
      </c>
      <c r="AK651" s="27">
        <v>0</v>
      </c>
      <c r="AL651" s="123">
        <f>_xlfn.XLOOKUP(H651,'#각종 참고'!$B$11:$B$20,'#각종 참고'!$D$11:$D$20)</f>
        <v>0</v>
      </c>
      <c r="AM651" s="27">
        <v>1</v>
      </c>
      <c r="AN651" s="27">
        <v>1</v>
      </c>
      <c r="AO651" s="124">
        <f t="shared" si="508"/>
        <v>1</v>
      </c>
      <c r="AP651" s="27">
        <v>1</v>
      </c>
    </row>
    <row r="652" spans="1:42" x14ac:dyDescent="0.3">
      <c r="A652" s="19"/>
      <c r="B652" s="20">
        <v>10129020</v>
      </c>
      <c r="C652" s="99">
        <f t="shared" si="515"/>
        <v>0</v>
      </c>
      <c r="D652" s="121">
        <f>COUNTIFS($F$33:F652,F652, $G$33:G652,G652, $C$33:C652,C652, $L$33:L652,L652)</f>
        <v>5</v>
      </c>
      <c r="E652" s="20">
        <v>1</v>
      </c>
      <c r="F652" s="20">
        <v>9</v>
      </c>
      <c r="G652" s="20">
        <v>1</v>
      </c>
      <c r="H652" s="103" t="s">
        <v>967</v>
      </c>
      <c r="I652" s="20" t="s">
        <v>1527</v>
      </c>
      <c r="J652" s="104" t="str">
        <f t="shared" si="513"/>
        <v>Item_Name_10129020</v>
      </c>
      <c r="K652" s="20">
        <v>0</v>
      </c>
      <c r="L652" s="20">
        <v>2</v>
      </c>
      <c r="M652" s="105">
        <f>IF(D652=0, 0, _xlfn.XLOOKUP($F652,'#무게관련'!$B:$B,'#무게관련'!$C:$C)*_xlfn.XLOOKUP($L652,'#무게관련'!$F:$F,'#무게관련'!$G:$G)*100)</f>
        <v>1000</v>
      </c>
      <c r="N652" s="20">
        <v>20900</v>
      </c>
      <c r="O652" s="20">
        <v>5</v>
      </c>
      <c r="P652" s="20">
        <v>15</v>
      </c>
      <c r="Q652" s="20">
        <v>1</v>
      </c>
      <c r="R652" s="20">
        <v>100</v>
      </c>
      <c r="S652" s="20">
        <v>1</v>
      </c>
      <c r="T652" s="20" t="s">
        <v>1893</v>
      </c>
      <c r="U652" s="104" t="s">
        <v>256</v>
      </c>
      <c r="V652" s="20" t="s">
        <v>328</v>
      </c>
      <c r="W652" s="20" t="s">
        <v>429</v>
      </c>
      <c r="X652" s="104">
        <v>0</v>
      </c>
      <c r="Y652" s="104">
        <v>0</v>
      </c>
      <c r="Z652" s="104">
        <v>0</v>
      </c>
      <c r="AA652" s="104">
        <v>0</v>
      </c>
      <c r="AB652" s="104">
        <v>0</v>
      </c>
      <c r="AC652" s="104">
        <v>0</v>
      </c>
      <c r="AD652" s="142">
        <v>0</v>
      </c>
      <c r="AE652" s="31">
        <v>10</v>
      </c>
      <c r="AF652" s="70">
        <v>5209015</v>
      </c>
      <c r="AG652" s="105" cm="1">
        <f t="array" ref="AG652">_xlfn.SWITCH(L652,3,1,
           4,1,
           5,1,
           6,1,0)</f>
        <v>0</v>
      </c>
      <c r="AH652" s="145" t="s">
        <v>1548</v>
      </c>
      <c r="AI652" s="90">
        <v>6000</v>
      </c>
      <c r="AJ652" s="90">
        <v>4002</v>
      </c>
      <c r="AK652" s="27">
        <v>0</v>
      </c>
      <c r="AL652" s="123">
        <f>_xlfn.XLOOKUP(H652,'#각종 참고'!$B$11:$B$20,'#각종 참고'!$D$11:$D$20)</f>
        <v>0</v>
      </c>
      <c r="AM652" s="27">
        <v>1</v>
      </c>
      <c r="AN652" s="27">
        <v>1</v>
      </c>
      <c r="AO652" s="124">
        <f t="shared" si="508"/>
        <v>1</v>
      </c>
      <c r="AP652" s="27">
        <v>1</v>
      </c>
    </row>
    <row r="653" spans="1:42" x14ac:dyDescent="0.3">
      <c r="A653" s="19"/>
      <c r="B653" s="20">
        <v>10139020</v>
      </c>
      <c r="C653" s="99">
        <f t="shared" si="515"/>
        <v>0</v>
      </c>
      <c r="D653" s="121">
        <f>COUNTIFS($F$33:F653,F653, $G$33:G653,G653, $C$33:C653,C653, $L$33:L653,L653)</f>
        <v>5</v>
      </c>
      <c r="E653" s="20">
        <v>1</v>
      </c>
      <c r="F653" s="20">
        <v>9</v>
      </c>
      <c r="G653" s="20">
        <v>1</v>
      </c>
      <c r="H653" s="103" t="s">
        <v>967</v>
      </c>
      <c r="I653" s="20" t="s">
        <v>1528</v>
      </c>
      <c r="J653" s="104" t="str">
        <f t="shared" si="513"/>
        <v>Item_Name_10139020</v>
      </c>
      <c r="K653" s="20">
        <v>0</v>
      </c>
      <c r="L653" s="20">
        <v>3</v>
      </c>
      <c r="M653" s="105">
        <f>IF(D653=0, 0, _xlfn.XLOOKUP($F653,'#무게관련'!$B:$B,'#무게관련'!$C:$C)*_xlfn.XLOOKUP($L653,'#무게관련'!$F:$F,'#무게관련'!$G:$G)*100)</f>
        <v>1000</v>
      </c>
      <c r="N653" s="20">
        <v>20900</v>
      </c>
      <c r="O653" s="20">
        <v>5</v>
      </c>
      <c r="P653" s="20">
        <v>15</v>
      </c>
      <c r="Q653" s="20">
        <v>1</v>
      </c>
      <c r="R653" s="20">
        <v>100</v>
      </c>
      <c r="S653" s="20">
        <v>1</v>
      </c>
      <c r="T653" s="20" t="s">
        <v>1894</v>
      </c>
      <c r="U653" s="104" t="s">
        <v>257</v>
      </c>
      <c r="V653" s="20" t="s">
        <v>328</v>
      </c>
      <c r="W653" s="20" t="s">
        <v>429</v>
      </c>
      <c r="X653" s="104">
        <v>0</v>
      </c>
      <c r="Y653" s="104">
        <v>0</v>
      </c>
      <c r="Z653" s="104">
        <v>0</v>
      </c>
      <c r="AA653" s="104">
        <v>0</v>
      </c>
      <c r="AB653" s="104">
        <v>0</v>
      </c>
      <c r="AC653" s="104">
        <v>0</v>
      </c>
      <c r="AD653" s="142">
        <v>0</v>
      </c>
      <c r="AE653" s="31">
        <v>10</v>
      </c>
      <c r="AF653" s="70">
        <v>5309015</v>
      </c>
      <c r="AG653" s="105" cm="1">
        <f t="array" ref="AG653">_xlfn.SWITCH(L653,3,1,
           4,1,
           5,1,
           6,1,0)</f>
        <v>1</v>
      </c>
      <c r="AH653" s="145" t="s">
        <v>1549</v>
      </c>
      <c r="AI653" s="90">
        <v>6001</v>
      </c>
      <c r="AJ653" s="90">
        <v>4003</v>
      </c>
      <c r="AK653" s="27">
        <v>0</v>
      </c>
      <c r="AL653" s="123">
        <f>_xlfn.XLOOKUP(H653,'#각종 참고'!$B$11:$B$20,'#각종 참고'!$D$11:$D$20)</f>
        <v>0</v>
      </c>
      <c r="AM653" s="27">
        <v>1</v>
      </c>
      <c r="AN653" s="27">
        <v>1</v>
      </c>
      <c r="AO653" s="124">
        <f t="shared" si="508"/>
        <v>1</v>
      </c>
      <c r="AP653" s="27">
        <v>1</v>
      </c>
    </row>
    <row r="654" spans="1:42" x14ac:dyDescent="0.3">
      <c r="A654" s="19"/>
      <c r="B654" s="20">
        <v>10119022</v>
      </c>
      <c r="C654" s="99">
        <f t="shared" si="515"/>
        <v>0</v>
      </c>
      <c r="D654" s="121">
        <f>COUNTIFS($F$33:F654,F654, $G$33:G654,G654, $C$33:C654,C654, $L$33:L654,L654)</f>
        <v>6</v>
      </c>
      <c r="E654" s="20">
        <v>1</v>
      </c>
      <c r="F654" s="20">
        <v>9</v>
      </c>
      <c r="G654" s="20">
        <v>1</v>
      </c>
      <c r="H654" s="103" t="s">
        <v>967</v>
      </c>
      <c r="I654" s="20" t="s">
        <v>1529</v>
      </c>
      <c r="J654" s="104" t="str">
        <f t="shared" si="513"/>
        <v>Item_Name_10119022</v>
      </c>
      <c r="K654" s="20">
        <v>0</v>
      </c>
      <c r="L654" s="20">
        <v>1</v>
      </c>
      <c r="M654" s="105">
        <f>IF(D654=0, 0, _xlfn.XLOOKUP($F654,'#무게관련'!$B:$B,'#무게관련'!$C:$C)*_xlfn.XLOOKUP($L654,'#무게관련'!$F:$F,'#무게관련'!$G:$G)*100)</f>
        <v>1000</v>
      </c>
      <c r="N654" s="20">
        <v>20900</v>
      </c>
      <c r="O654" s="20">
        <v>5</v>
      </c>
      <c r="P654" s="20">
        <v>15</v>
      </c>
      <c r="Q654" s="20">
        <v>1</v>
      </c>
      <c r="R654" s="20">
        <v>100</v>
      </c>
      <c r="S654" s="20">
        <v>1</v>
      </c>
      <c r="T654" s="20" t="s">
        <v>1892</v>
      </c>
      <c r="U654" s="104" t="s">
        <v>171</v>
      </c>
      <c r="V654" s="20" t="s">
        <v>328</v>
      </c>
      <c r="W654" s="20" t="s">
        <v>429</v>
      </c>
      <c r="X654" s="104">
        <v>0</v>
      </c>
      <c r="Y654" s="104">
        <v>0</v>
      </c>
      <c r="Z654" s="104">
        <v>0</v>
      </c>
      <c r="AA654" s="104">
        <v>0</v>
      </c>
      <c r="AB654" s="104">
        <v>0</v>
      </c>
      <c r="AC654" s="104">
        <v>0</v>
      </c>
      <c r="AD654" s="142">
        <v>0</v>
      </c>
      <c r="AE654" s="31">
        <v>10</v>
      </c>
      <c r="AF654" s="70">
        <v>5109011</v>
      </c>
      <c r="AG654" s="105" cm="1">
        <f t="array" ref="AG654">_xlfn.SWITCH(L654,3,1,
           4,1,
           5,1,
           6,1,0)</f>
        <v>0</v>
      </c>
      <c r="AH654" s="145" t="s">
        <v>1547</v>
      </c>
      <c r="AI654" s="90">
        <v>6005</v>
      </c>
      <c r="AJ654" s="90">
        <v>4001</v>
      </c>
      <c r="AK654" s="27">
        <v>0</v>
      </c>
      <c r="AL654" s="123">
        <f>_xlfn.XLOOKUP(H654,'#각종 참고'!$B$11:$B$20,'#각종 참고'!$D$11:$D$20)</f>
        <v>0</v>
      </c>
      <c r="AM654" s="27">
        <v>1</v>
      </c>
      <c r="AN654" s="27">
        <v>1</v>
      </c>
      <c r="AO654" s="124">
        <f t="shared" si="508"/>
        <v>1</v>
      </c>
      <c r="AP654" s="27">
        <v>1</v>
      </c>
    </row>
    <row r="655" spans="1:42" x14ac:dyDescent="0.3">
      <c r="A655" s="19"/>
      <c r="B655" s="20">
        <v>10129021</v>
      </c>
      <c r="C655" s="99">
        <f t="shared" si="515"/>
        <v>0</v>
      </c>
      <c r="D655" s="121">
        <f>COUNTIFS($F$33:F655,F655, $G$33:G655,G655, $C$33:C655,C655, $L$33:L655,L655)</f>
        <v>6</v>
      </c>
      <c r="E655" s="20">
        <v>1</v>
      </c>
      <c r="F655" s="20">
        <v>9</v>
      </c>
      <c r="G655" s="20">
        <v>1</v>
      </c>
      <c r="H655" s="103" t="s">
        <v>967</v>
      </c>
      <c r="I655" s="20" t="s">
        <v>1530</v>
      </c>
      <c r="J655" s="104" t="str">
        <f t="shared" si="513"/>
        <v>Item_Name_10129021</v>
      </c>
      <c r="K655" s="20">
        <v>0</v>
      </c>
      <c r="L655" s="20">
        <v>2</v>
      </c>
      <c r="M655" s="105">
        <f>IF(D655=0, 0, _xlfn.XLOOKUP($F655,'#무게관련'!$B:$B,'#무게관련'!$C:$C)*_xlfn.XLOOKUP($L655,'#무게관련'!$F:$F,'#무게관련'!$G:$G)*100)</f>
        <v>1000</v>
      </c>
      <c r="N655" s="20">
        <v>20900</v>
      </c>
      <c r="O655" s="20">
        <v>5</v>
      </c>
      <c r="P655" s="20">
        <v>15</v>
      </c>
      <c r="Q655" s="20">
        <v>1</v>
      </c>
      <c r="R655" s="20">
        <v>100</v>
      </c>
      <c r="S655" s="20">
        <v>1</v>
      </c>
      <c r="T655" s="20" t="s">
        <v>1893</v>
      </c>
      <c r="U655" s="104" t="s">
        <v>256</v>
      </c>
      <c r="V655" s="20" t="s">
        <v>328</v>
      </c>
      <c r="W655" s="20" t="s">
        <v>429</v>
      </c>
      <c r="X655" s="104">
        <v>0</v>
      </c>
      <c r="Y655" s="104">
        <v>0</v>
      </c>
      <c r="Z655" s="104">
        <v>0</v>
      </c>
      <c r="AA655" s="104">
        <v>0</v>
      </c>
      <c r="AB655" s="104">
        <v>0</v>
      </c>
      <c r="AC655" s="104">
        <v>0</v>
      </c>
      <c r="AD655" s="142">
        <v>0</v>
      </c>
      <c r="AE655" s="31">
        <v>10</v>
      </c>
      <c r="AF655" s="70">
        <v>5209011</v>
      </c>
      <c r="AG655" s="105" cm="1">
        <f t="array" ref="AG655">_xlfn.SWITCH(L655,3,1,
           4,1,
           5,1,
           6,1,0)</f>
        <v>0</v>
      </c>
      <c r="AH655" s="145" t="s">
        <v>1548</v>
      </c>
      <c r="AI655" s="90">
        <v>6000</v>
      </c>
      <c r="AJ655" s="90">
        <v>4002</v>
      </c>
      <c r="AK655" s="27">
        <v>0</v>
      </c>
      <c r="AL655" s="123">
        <f>_xlfn.XLOOKUP(H655,'#각종 참고'!$B$11:$B$20,'#각종 참고'!$D$11:$D$20)</f>
        <v>0</v>
      </c>
      <c r="AM655" s="27">
        <v>1</v>
      </c>
      <c r="AN655" s="27">
        <v>1</v>
      </c>
      <c r="AO655" s="124">
        <f t="shared" si="508"/>
        <v>1</v>
      </c>
      <c r="AP655" s="27">
        <v>1</v>
      </c>
    </row>
    <row r="656" spans="1:42" x14ac:dyDescent="0.3">
      <c r="A656" s="19"/>
      <c r="B656" s="20">
        <v>10139021</v>
      </c>
      <c r="C656" s="99">
        <f t="shared" si="515"/>
        <v>0</v>
      </c>
      <c r="D656" s="121">
        <f>COUNTIFS($F$33:F656,F656, $G$33:G656,G656, $C$33:C656,C656, $L$33:L656,L656)</f>
        <v>6</v>
      </c>
      <c r="E656" s="20">
        <v>1</v>
      </c>
      <c r="F656" s="20">
        <v>9</v>
      </c>
      <c r="G656" s="20">
        <v>1</v>
      </c>
      <c r="H656" s="103" t="s">
        <v>967</v>
      </c>
      <c r="I656" s="20" t="s">
        <v>1531</v>
      </c>
      <c r="J656" s="104" t="str">
        <f t="shared" si="513"/>
        <v>Item_Name_10139021</v>
      </c>
      <c r="K656" s="20">
        <v>0</v>
      </c>
      <c r="L656" s="20">
        <v>3</v>
      </c>
      <c r="M656" s="105">
        <f>IF(D656=0, 0, _xlfn.XLOOKUP($F656,'#무게관련'!$B:$B,'#무게관련'!$C:$C)*_xlfn.XLOOKUP($L656,'#무게관련'!$F:$F,'#무게관련'!$G:$G)*100)</f>
        <v>1000</v>
      </c>
      <c r="N656" s="20">
        <v>20900</v>
      </c>
      <c r="O656" s="20">
        <v>5</v>
      </c>
      <c r="P656" s="20">
        <v>15</v>
      </c>
      <c r="Q656" s="20">
        <v>1</v>
      </c>
      <c r="R656" s="20">
        <v>100</v>
      </c>
      <c r="S656" s="20">
        <v>1</v>
      </c>
      <c r="T656" s="20" t="s">
        <v>1894</v>
      </c>
      <c r="U656" s="104" t="s">
        <v>257</v>
      </c>
      <c r="V656" s="20" t="s">
        <v>328</v>
      </c>
      <c r="W656" s="20" t="s">
        <v>429</v>
      </c>
      <c r="X656" s="104">
        <v>0</v>
      </c>
      <c r="Y656" s="104">
        <v>0</v>
      </c>
      <c r="Z656" s="104">
        <v>0</v>
      </c>
      <c r="AA656" s="104">
        <v>0</v>
      </c>
      <c r="AB656" s="104">
        <v>0</v>
      </c>
      <c r="AC656" s="104">
        <v>0</v>
      </c>
      <c r="AD656" s="142">
        <v>0</v>
      </c>
      <c r="AE656" s="31">
        <v>10</v>
      </c>
      <c r="AF656" s="70">
        <v>5309011</v>
      </c>
      <c r="AG656" s="105" cm="1">
        <f t="array" ref="AG656">_xlfn.SWITCH(L656,3,1,
           4,1,
           5,1,
           6,1,0)</f>
        <v>1</v>
      </c>
      <c r="AH656" s="145" t="s">
        <v>1549</v>
      </c>
      <c r="AI656" s="90">
        <v>6001</v>
      </c>
      <c r="AJ656" s="90">
        <v>4003</v>
      </c>
      <c r="AK656" s="27">
        <v>0</v>
      </c>
      <c r="AL656" s="123">
        <f>_xlfn.XLOOKUP(H656,'#각종 참고'!$B$11:$B$20,'#각종 참고'!$D$11:$D$20)</f>
        <v>0</v>
      </c>
      <c r="AM656" s="27">
        <v>1</v>
      </c>
      <c r="AN656" s="27">
        <v>1</v>
      </c>
      <c r="AO656" s="124">
        <f t="shared" si="508"/>
        <v>1</v>
      </c>
      <c r="AP656" s="27">
        <v>1</v>
      </c>
    </row>
    <row r="657" spans="1:43" x14ac:dyDescent="0.3">
      <c r="A657" s="19"/>
      <c r="B657" s="20">
        <v>10119023</v>
      </c>
      <c r="C657" s="99">
        <f t="shared" si="515"/>
        <v>0</v>
      </c>
      <c r="D657" s="121">
        <f>COUNTIFS($F$33:F657,F657, $G$33:G657,G657, $C$33:C657,C657, $L$33:L657,L657)</f>
        <v>7</v>
      </c>
      <c r="E657" s="20">
        <v>1</v>
      </c>
      <c r="F657" s="20">
        <v>9</v>
      </c>
      <c r="G657" s="20">
        <v>1</v>
      </c>
      <c r="H657" s="103" t="s">
        <v>967</v>
      </c>
      <c r="I657" s="20" t="s">
        <v>1532</v>
      </c>
      <c r="J657" s="104" t="str">
        <f t="shared" si="513"/>
        <v>Item_Name_10119023</v>
      </c>
      <c r="K657" s="20">
        <v>0</v>
      </c>
      <c r="L657" s="20">
        <v>1</v>
      </c>
      <c r="M657" s="105">
        <f>IF(D657=0, 0, _xlfn.XLOOKUP($F657,'#무게관련'!$B:$B,'#무게관련'!$C:$C)*_xlfn.XLOOKUP($L657,'#무게관련'!$F:$F,'#무게관련'!$G:$G)*100)</f>
        <v>1000</v>
      </c>
      <c r="N657" s="20">
        <v>20900</v>
      </c>
      <c r="O657" s="20">
        <v>5</v>
      </c>
      <c r="P657" s="20">
        <v>15</v>
      </c>
      <c r="Q657" s="20">
        <v>1</v>
      </c>
      <c r="R657" s="20">
        <v>100</v>
      </c>
      <c r="S657" s="20">
        <v>1</v>
      </c>
      <c r="T657" s="20" t="s">
        <v>1892</v>
      </c>
      <c r="U657" s="104" t="s">
        <v>171</v>
      </c>
      <c r="V657" s="20" t="s">
        <v>328</v>
      </c>
      <c r="W657" s="20" t="s">
        <v>429</v>
      </c>
      <c r="X657" s="104">
        <v>0</v>
      </c>
      <c r="Y657" s="104">
        <v>0</v>
      </c>
      <c r="Z657" s="104">
        <v>0</v>
      </c>
      <c r="AA657" s="104">
        <v>0</v>
      </c>
      <c r="AB657" s="104">
        <v>0</v>
      </c>
      <c r="AC657" s="104">
        <v>0</v>
      </c>
      <c r="AD657" s="142">
        <v>0</v>
      </c>
      <c r="AE657" s="31">
        <v>10</v>
      </c>
      <c r="AF657" s="70">
        <v>5109012</v>
      </c>
      <c r="AG657" s="105" cm="1">
        <f t="array" ref="AG657">_xlfn.SWITCH(L657,3,1,
           4,1,
           5,1,
           6,1,0)</f>
        <v>0</v>
      </c>
      <c r="AH657" s="145" t="s">
        <v>1547</v>
      </c>
      <c r="AI657" s="90">
        <v>6005</v>
      </c>
      <c r="AJ657" s="90">
        <v>4001</v>
      </c>
      <c r="AK657" s="27">
        <v>0</v>
      </c>
      <c r="AL657" s="123">
        <f>_xlfn.XLOOKUP(H657,'#각종 참고'!$B$11:$B$20,'#각종 참고'!$D$11:$D$20)</f>
        <v>0</v>
      </c>
      <c r="AM657" s="27">
        <v>1</v>
      </c>
      <c r="AN657" s="27">
        <v>1</v>
      </c>
      <c r="AO657" s="124">
        <f t="shared" si="508"/>
        <v>1</v>
      </c>
      <c r="AP657" s="27">
        <v>1</v>
      </c>
    </row>
    <row r="658" spans="1:43" x14ac:dyDescent="0.3">
      <c r="A658" s="19"/>
      <c r="B658" s="20">
        <v>10129022</v>
      </c>
      <c r="C658" s="99">
        <f t="shared" si="515"/>
        <v>0</v>
      </c>
      <c r="D658" s="121">
        <f>COUNTIFS($F$33:F658,F658, $G$33:G658,G658, $C$33:C658,C658, $L$33:L658,L658)</f>
        <v>7</v>
      </c>
      <c r="E658" s="20">
        <v>1</v>
      </c>
      <c r="F658" s="20">
        <v>9</v>
      </c>
      <c r="G658" s="20">
        <v>1</v>
      </c>
      <c r="H658" s="103" t="s">
        <v>967</v>
      </c>
      <c r="I658" s="20" t="s">
        <v>1533</v>
      </c>
      <c r="J658" s="104" t="str">
        <f t="shared" si="513"/>
        <v>Item_Name_10129022</v>
      </c>
      <c r="K658" s="20">
        <v>0</v>
      </c>
      <c r="L658" s="20">
        <v>2</v>
      </c>
      <c r="M658" s="105">
        <f>IF(D658=0, 0, _xlfn.XLOOKUP($F658,'#무게관련'!$B:$B,'#무게관련'!$C:$C)*_xlfn.XLOOKUP($L658,'#무게관련'!$F:$F,'#무게관련'!$G:$G)*100)</f>
        <v>1000</v>
      </c>
      <c r="N658" s="20">
        <v>20900</v>
      </c>
      <c r="O658" s="20">
        <v>5</v>
      </c>
      <c r="P658" s="20">
        <v>15</v>
      </c>
      <c r="Q658" s="20">
        <v>1</v>
      </c>
      <c r="R658" s="20">
        <v>100</v>
      </c>
      <c r="S658" s="20">
        <v>1</v>
      </c>
      <c r="T658" s="20" t="s">
        <v>1893</v>
      </c>
      <c r="U658" s="104" t="s">
        <v>256</v>
      </c>
      <c r="V658" s="20" t="s">
        <v>328</v>
      </c>
      <c r="W658" s="20" t="s">
        <v>429</v>
      </c>
      <c r="X658" s="104">
        <v>0</v>
      </c>
      <c r="Y658" s="104">
        <v>0</v>
      </c>
      <c r="Z658" s="104">
        <v>0</v>
      </c>
      <c r="AA658" s="104">
        <v>0</v>
      </c>
      <c r="AB658" s="104">
        <v>0</v>
      </c>
      <c r="AC658" s="104">
        <v>0</v>
      </c>
      <c r="AD658" s="142">
        <v>0</v>
      </c>
      <c r="AE658" s="31">
        <v>10</v>
      </c>
      <c r="AF658" s="70">
        <v>5209012</v>
      </c>
      <c r="AG658" s="105" cm="1">
        <f t="array" ref="AG658">_xlfn.SWITCH(L658,3,1,
           4,1,
           5,1,
           6,1,0)</f>
        <v>0</v>
      </c>
      <c r="AH658" s="145" t="s">
        <v>1548</v>
      </c>
      <c r="AI658" s="90">
        <v>6000</v>
      </c>
      <c r="AJ658" s="90">
        <v>4002</v>
      </c>
      <c r="AK658" s="27">
        <v>0</v>
      </c>
      <c r="AL658" s="123">
        <f>_xlfn.XLOOKUP(H658,'#각종 참고'!$B$11:$B$20,'#각종 참고'!$D$11:$D$20)</f>
        <v>0</v>
      </c>
      <c r="AM658" s="27">
        <v>1</v>
      </c>
      <c r="AN658" s="27">
        <v>1</v>
      </c>
      <c r="AO658" s="124">
        <f t="shared" si="508"/>
        <v>1</v>
      </c>
      <c r="AP658" s="27">
        <v>1</v>
      </c>
    </row>
    <row r="659" spans="1:43" x14ac:dyDescent="0.3">
      <c r="A659" s="19"/>
      <c r="B659" s="20">
        <v>10139022</v>
      </c>
      <c r="C659" s="99">
        <f t="shared" si="515"/>
        <v>0</v>
      </c>
      <c r="D659" s="121">
        <f>COUNTIFS($F$33:F659,F659, $G$33:G659,G659, $C$33:C659,C659, $L$33:L659,L659)</f>
        <v>7</v>
      </c>
      <c r="E659" s="20">
        <v>1</v>
      </c>
      <c r="F659" s="20">
        <v>9</v>
      </c>
      <c r="G659" s="20">
        <v>1</v>
      </c>
      <c r="H659" s="103" t="s">
        <v>967</v>
      </c>
      <c r="I659" s="20" t="s">
        <v>1534</v>
      </c>
      <c r="J659" s="104" t="str">
        <f t="shared" si="513"/>
        <v>Item_Name_10139022</v>
      </c>
      <c r="K659" s="20">
        <v>0</v>
      </c>
      <c r="L659" s="20">
        <v>3</v>
      </c>
      <c r="M659" s="105">
        <f>IF(D659=0, 0, _xlfn.XLOOKUP($F659,'#무게관련'!$B:$B,'#무게관련'!$C:$C)*_xlfn.XLOOKUP($L659,'#무게관련'!$F:$F,'#무게관련'!$G:$G)*100)</f>
        <v>1000</v>
      </c>
      <c r="N659" s="20">
        <v>20900</v>
      </c>
      <c r="O659" s="20">
        <v>5</v>
      </c>
      <c r="P659" s="20">
        <v>15</v>
      </c>
      <c r="Q659" s="20">
        <v>1</v>
      </c>
      <c r="R659" s="20">
        <v>100</v>
      </c>
      <c r="S659" s="20">
        <v>1</v>
      </c>
      <c r="T659" s="20" t="s">
        <v>1894</v>
      </c>
      <c r="U659" s="104" t="s">
        <v>257</v>
      </c>
      <c r="V659" s="20" t="s">
        <v>328</v>
      </c>
      <c r="W659" s="20" t="s">
        <v>429</v>
      </c>
      <c r="X659" s="104">
        <v>0</v>
      </c>
      <c r="Y659" s="104">
        <v>0</v>
      </c>
      <c r="Z659" s="104">
        <v>0</v>
      </c>
      <c r="AA659" s="104">
        <v>0</v>
      </c>
      <c r="AB659" s="104">
        <v>0</v>
      </c>
      <c r="AC659" s="104">
        <v>0</v>
      </c>
      <c r="AD659" s="142">
        <v>0</v>
      </c>
      <c r="AE659" s="31">
        <v>10</v>
      </c>
      <c r="AF659" s="70">
        <v>5309012</v>
      </c>
      <c r="AG659" s="105" cm="1">
        <f t="array" ref="AG659">_xlfn.SWITCH(L659,3,1,
           4,1,
           5,1,
           6,1,0)</f>
        <v>1</v>
      </c>
      <c r="AH659" s="145" t="s">
        <v>1549</v>
      </c>
      <c r="AI659" s="90">
        <v>6001</v>
      </c>
      <c r="AJ659" s="90">
        <v>4003</v>
      </c>
      <c r="AK659" s="27">
        <v>0</v>
      </c>
      <c r="AL659" s="123">
        <f>_xlfn.XLOOKUP(H659,'#각종 참고'!$B$11:$B$20,'#각종 참고'!$D$11:$D$20)</f>
        <v>0</v>
      </c>
      <c r="AM659" s="27">
        <v>1</v>
      </c>
      <c r="AN659" s="27">
        <v>1</v>
      </c>
      <c r="AO659" s="124">
        <f t="shared" si="508"/>
        <v>1</v>
      </c>
      <c r="AP659" s="27">
        <v>1</v>
      </c>
    </row>
    <row r="660" spans="1:43" x14ac:dyDescent="0.3">
      <c r="A660" s="19"/>
      <c r="B660" s="20">
        <v>10119024</v>
      </c>
      <c r="C660" s="99">
        <f t="shared" si="515"/>
        <v>0</v>
      </c>
      <c r="D660" s="121">
        <f>COUNTIFS($F$33:F660,F660, $G$33:G660,G660, $C$33:C660,C660, $L$33:L660,L660)</f>
        <v>8</v>
      </c>
      <c r="E660" s="20">
        <v>1</v>
      </c>
      <c r="F660" s="20">
        <v>9</v>
      </c>
      <c r="G660" s="20">
        <v>1</v>
      </c>
      <c r="H660" s="103" t="s">
        <v>967</v>
      </c>
      <c r="I660" s="20" t="s">
        <v>1535</v>
      </c>
      <c r="J660" s="104" t="str">
        <f t="shared" si="513"/>
        <v>Item_Name_10119024</v>
      </c>
      <c r="K660" s="20">
        <v>0</v>
      </c>
      <c r="L660" s="20">
        <v>1</v>
      </c>
      <c r="M660" s="105">
        <f>IF(D660=0, 0, _xlfn.XLOOKUP($F660,'#무게관련'!$B:$B,'#무게관련'!$C:$C)*_xlfn.XLOOKUP($L660,'#무게관련'!$F:$F,'#무게관련'!$G:$G)*100)</f>
        <v>1000</v>
      </c>
      <c r="N660" s="20">
        <v>20900</v>
      </c>
      <c r="O660" s="20">
        <v>5</v>
      </c>
      <c r="P660" s="20">
        <v>15</v>
      </c>
      <c r="Q660" s="20">
        <v>1</v>
      </c>
      <c r="R660" s="20">
        <v>100</v>
      </c>
      <c r="S660" s="20">
        <v>1</v>
      </c>
      <c r="T660" s="20" t="s">
        <v>1892</v>
      </c>
      <c r="U660" s="104" t="s">
        <v>171</v>
      </c>
      <c r="V660" s="20" t="s">
        <v>328</v>
      </c>
      <c r="W660" s="20" t="s">
        <v>429</v>
      </c>
      <c r="X660" s="104">
        <v>0</v>
      </c>
      <c r="Y660" s="104">
        <v>0</v>
      </c>
      <c r="Z660" s="104">
        <v>0</v>
      </c>
      <c r="AA660" s="104">
        <v>0</v>
      </c>
      <c r="AB660" s="104">
        <v>0</v>
      </c>
      <c r="AC660" s="104">
        <v>0</v>
      </c>
      <c r="AD660" s="142">
        <v>0</v>
      </c>
      <c r="AE660" s="31">
        <v>10</v>
      </c>
      <c r="AF660" s="70">
        <v>5109013</v>
      </c>
      <c r="AG660" s="105" cm="1">
        <f t="array" ref="AG660">_xlfn.SWITCH(L660,3,1,
           4,1,
           5,1,
           6,1,0)</f>
        <v>0</v>
      </c>
      <c r="AH660" s="145" t="s">
        <v>1547</v>
      </c>
      <c r="AI660" s="90">
        <v>6005</v>
      </c>
      <c r="AJ660" s="90">
        <v>4001</v>
      </c>
      <c r="AK660" s="27">
        <v>0</v>
      </c>
      <c r="AL660" s="123">
        <f>_xlfn.XLOOKUP(H660,'#각종 참고'!$B$11:$B$20,'#각종 참고'!$D$11:$D$20)</f>
        <v>0</v>
      </c>
      <c r="AM660" s="27">
        <v>1</v>
      </c>
      <c r="AN660" s="27">
        <v>1</v>
      </c>
      <c r="AO660" s="124">
        <f t="shared" si="508"/>
        <v>1</v>
      </c>
      <c r="AP660" s="27">
        <v>1</v>
      </c>
    </row>
    <row r="661" spans="1:43" x14ac:dyDescent="0.3">
      <c r="A661" s="19"/>
      <c r="B661" s="20">
        <v>10129023</v>
      </c>
      <c r="C661" s="99">
        <f t="shared" si="515"/>
        <v>0</v>
      </c>
      <c r="D661" s="121">
        <f>COUNTIFS($F$33:F661,F661, $G$33:G661,G661, $C$33:C661,C661, $L$33:L661,L661)</f>
        <v>8</v>
      </c>
      <c r="E661" s="20">
        <v>1</v>
      </c>
      <c r="F661" s="20">
        <v>9</v>
      </c>
      <c r="G661" s="20">
        <v>1</v>
      </c>
      <c r="H661" s="103" t="s">
        <v>967</v>
      </c>
      <c r="I661" s="20" t="s">
        <v>1536</v>
      </c>
      <c r="J661" s="104" t="str">
        <f t="shared" si="513"/>
        <v>Item_Name_10129023</v>
      </c>
      <c r="K661" s="20">
        <v>0</v>
      </c>
      <c r="L661" s="20">
        <v>2</v>
      </c>
      <c r="M661" s="105">
        <f>IF(D661=0, 0, _xlfn.XLOOKUP($F661,'#무게관련'!$B:$B,'#무게관련'!$C:$C)*_xlfn.XLOOKUP($L661,'#무게관련'!$F:$F,'#무게관련'!$G:$G)*100)</f>
        <v>1000</v>
      </c>
      <c r="N661" s="20">
        <v>20900</v>
      </c>
      <c r="O661" s="20">
        <v>5</v>
      </c>
      <c r="P661" s="20">
        <v>15</v>
      </c>
      <c r="Q661" s="20">
        <v>1</v>
      </c>
      <c r="R661" s="20">
        <v>100</v>
      </c>
      <c r="S661" s="20">
        <v>1</v>
      </c>
      <c r="T661" s="20" t="s">
        <v>1893</v>
      </c>
      <c r="U661" s="104" t="s">
        <v>256</v>
      </c>
      <c r="V661" s="20" t="s">
        <v>328</v>
      </c>
      <c r="W661" s="20" t="s">
        <v>429</v>
      </c>
      <c r="X661" s="104">
        <v>0</v>
      </c>
      <c r="Y661" s="104">
        <v>0</v>
      </c>
      <c r="Z661" s="104">
        <v>0</v>
      </c>
      <c r="AA661" s="104">
        <v>0</v>
      </c>
      <c r="AB661" s="104">
        <v>0</v>
      </c>
      <c r="AC661" s="104">
        <v>0</v>
      </c>
      <c r="AD661" s="142">
        <v>0</v>
      </c>
      <c r="AE661" s="31">
        <v>10</v>
      </c>
      <c r="AF661" s="70">
        <v>5209013</v>
      </c>
      <c r="AG661" s="105" cm="1">
        <f t="array" ref="AG661">_xlfn.SWITCH(L661,3,1,
           4,1,
           5,1,
           6,1,0)</f>
        <v>0</v>
      </c>
      <c r="AH661" s="145" t="s">
        <v>1548</v>
      </c>
      <c r="AI661" s="90">
        <v>6000</v>
      </c>
      <c r="AJ661" s="90">
        <v>4002</v>
      </c>
      <c r="AK661" s="27">
        <v>0</v>
      </c>
      <c r="AL661" s="123">
        <f>_xlfn.XLOOKUP(H661,'#각종 참고'!$B$11:$B$20,'#각종 참고'!$D$11:$D$20)</f>
        <v>0</v>
      </c>
      <c r="AM661" s="27">
        <v>1</v>
      </c>
      <c r="AN661" s="27">
        <v>1</v>
      </c>
      <c r="AO661" s="124">
        <f t="shared" si="508"/>
        <v>1</v>
      </c>
      <c r="AP661" s="27">
        <v>1</v>
      </c>
    </row>
    <row r="662" spans="1:43" x14ac:dyDescent="0.3">
      <c r="A662" s="19"/>
      <c r="B662" s="20">
        <v>10139023</v>
      </c>
      <c r="C662" s="99">
        <f t="shared" ref="C662:C667" si="516">IF(K662&gt;0,MID(K662,5, 1), 0)</f>
        <v>0</v>
      </c>
      <c r="D662" s="121">
        <f>COUNTIFS($F$33:F662,F662, $G$33:G662,G662, $C$33:C662,C662, $L$33:L662,L662)</f>
        <v>8</v>
      </c>
      <c r="E662" s="20">
        <v>1</v>
      </c>
      <c r="F662" s="20">
        <v>9</v>
      </c>
      <c r="G662" s="20">
        <v>1</v>
      </c>
      <c r="H662" s="103" t="s">
        <v>967</v>
      </c>
      <c r="I662" s="20" t="s">
        <v>1537</v>
      </c>
      <c r="J662" s="104" t="str">
        <f t="shared" si="513"/>
        <v>Item_Name_10139023</v>
      </c>
      <c r="K662" s="20">
        <v>0</v>
      </c>
      <c r="L662" s="20">
        <v>3</v>
      </c>
      <c r="M662" s="105">
        <f>IF(D662=0, 0, _xlfn.XLOOKUP($F662,'#무게관련'!$B:$B,'#무게관련'!$C:$C)*_xlfn.XLOOKUP($L662,'#무게관련'!$F:$F,'#무게관련'!$G:$G)*100)</f>
        <v>1000</v>
      </c>
      <c r="N662" s="20">
        <v>20900</v>
      </c>
      <c r="O662" s="20">
        <v>5</v>
      </c>
      <c r="P662" s="20">
        <v>15</v>
      </c>
      <c r="Q662" s="20">
        <v>1</v>
      </c>
      <c r="R662" s="20">
        <v>100</v>
      </c>
      <c r="S662" s="20">
        <v>1</v>
      </c>
      <c r="T662" s="20" t="s">
        <v>1894</v>
      </c>
      <c r="U662" s="104" t="s">
        <v>257</v>
      </c>
      <c r="V662" s="20" t="s">
        <v>328</v>
      </c>
      <c r="W662" s="20" t="s">
        <v>429</v>
      </c>
      <c r="X662" s="104">
        <v>0</v>
      </c>
      <c r="Y662" s="104">
        <v>0</v>
      </c>
      <c r="Z662" s="104">
        <v>0</v>
      </c>
      <c r="AA662" s="104">
        <v>0</v>
      </c>
      <c r="AB662" s="104">
        <v>0</v>
      </c>
      <c r="AC662" s="104">
        <v>0</v>
      </c>
      <c r="AD662" s="142">
        <v>0</v>
      </c>
      <c r="AE662" s="31">
        <v>10</v>
      </c>
      <c r="AF662" s="70">
        <v>5309013</v>
      </c>
      <c r="AG662" s="105" cm="1">
        <f t="array" ref="AG662">_xlfn.SWITCH(L662,3,1,
           4,1,
           5,1,
           6,1,0)</f>
        <v>1</v>
      </c>
      <c r="AH662" s="145" t="s">
        <v>1549</v>
      </c>
      <c r="AI662" s="90">
        <v>6001</v>
      </c>
      <c r="AJ662" s="90">
        <v>4003</v>
      </c>
      <c r="AK662" s="27">
        <v>0</v>
      </c>
      <c r="AL662" s="123">
        <f>_xlfn.XLOOKUP(H662,'#각종 참고'!$B$11:$B$20,'#각종 참고'!$D$11:$D$20)</f>
        <v>0</v>
      </c>
      <c r="AM662" s="27">
        <v>1</v>
      </c>
      <c r="AN662" s="27">
        <v>1</v>
      </c>
      <c r="AO662" s="124">
        <f t="shared" si="508"/>
        <v>1</v>
      </c>
      <c r="AP662" s="27">
        <v>1</v>
      </c>
    </row>
    <row r="663" spans="1:43" x14ac:dyDescent="0.3">
      <c r="A663" s="19"/>
      <c r="B663" s="20">
        <v>10119025</v>
      </c>
      <c r="C663" s="99">
        <f t="shared" si="516"/>
        <v>0</v>
      </c>
      <c r="D663" s="121">
        <f>COUNTIFS($F$33:F663,F663, $G$33:G663,G663, $C$33:C663,C663, $L$33:L663,L663)</f>
        <v>9</v>
      </c>
      <c r="E663" s="20">
        <v>1</v>
      </c>
      <c r="F663" s="20">
        <v>9</v>
      </c>
      <c r="G663" s="20">
        <v>1</v>
      </c>
      <c r="H663" s="103" t="s">
        <v>967</v>
      </c>
      <c r="I663" s="20" t="s">
        <v>1538</v>
      </c>
      <c r="J663" s="104" t="str">
        <f t="shared" si="513"/>
        <v>Item_Name_10119025</v>
      </c>
      <c r="K663" s="20">
        <v>0</v>
      </c>
      <c r="L663" s="20">
        <v>1</v>
      </c>
      <c r="M663" s="105">
        <f>IF(D663=0, 0, _xlfn.XLOOKUP($F663,'#무게관련'!$B:$B,'#무게관련'!$C:$C)*_xlfn.XLOOKUP($L663,'#무게관련'!$F:$F,'#무게관련'!$G:$G)*100)</f>
        <v>1000</v>
      </c>
      <c r="N663" s="20">
        <v>20900</v>
      </c>
      <c r="O663" s="20">
        <v>5</v>
      </c>
      <c r="P663" s="20">
        <v>15</v>
      </c>
      <c r="Q663" s="20">
        <v>1</v>
      </c>
      <c r="R663" s="20">
        <v>100</v>
      </c>
      <c r="S663" s="20">
        <v>1</v>
      </c>
      <c r="T663" s="20" t="s">
        <v>1892</v>
      </c>
      <c r="U663" s="104" t="s">
        <v>171</v>
      </c>
      <c r="V663" s="20" t="s">
        <v>328</v>
      </c>
      <c r="W663" s="20" t="s">
        <v>429</v>
      </c>
      <c r="X663" s="104">
        <v>0</v>
      </c>
      <c r="Y663" s="104">
        <v>0</v>
      </c>
      <c r="Z663" s="104">
        <v>0</v>
      </c>
      <c r="AA663" s="104">
        <v>0</v>
      </c>
      <c r="AB663" s="104">
        <v>0</v>
      </c>
      <c r="AC663" s="104">
        <v>0</v>
      </c>
      <c r="AD663" s="142">
        <v>0</v>
      </c>
      <c r="AE663" s="31">
        <v>10</v>
      </c>
      <c r="AF663" s="70">
        <v>5109014</v>
      </c>
      <c r="AG663" s="105" cm="1">
        <f t="array" ref="AG663">_xlfn.SWITCH(L663,3,1,
           4,1,
           5,1,
           6,1,0)</f>
        <v>0</v>
      </c>
      <c r="AH663" s="145" t="s">
        <v>1547</v>
      </c>
      <c r="AI663" s="90">
        <v>6005</v>
      </c>
      <c r="AJ663" s="90">
        <v>4001</v>
      </c>
      <c r="AK663" s="27">
        <v>0</v>
      </c>
      <c r="AL663" s="123">
        <f>_xlfn.XLOOKUP(H663,'#각종 참고'!$B$11:$B$20,'#각종 참고'!$D$11:$D$20)</f>
        <v>0</v>
      </c>
      <c r="AM663" s="27">
        <v>1</v>
      </c>
      <c r="AN663" s="27">
        <v>1</v>
      </c>
      <c r="AO663" s="124">
        <f t="shared" si="508"/>
        <v>1</v>
      </c>
      <c r="AP663" s="27">
        <v>1</v>
      </c>
    </row>
    <row r="664" spans="1:43" x14ac:dyDescent="0.3">
      <c r="A664" s="19"/>
      <c r="B664" s="20">
        <v>10129024</v>
      </c>
      <c r="C664" s="99">
        <f t="shared" si="516"/>
        <v>0</v>
      </c>
      <c r="D664" s="121">
        <f>COUNTIFS($F$33:F664,F664, $G$33:G664,G664, $C$33:C664,C664, $L$33:L664,L664)</f>
        <v>9</v>
      </c>
      <c r="E664" s="20">
        <v>1</v>
      </c>
      <c r="F664" s="20">
        <v>9</v>
      </c>
      <c r="G664" s="20">
        <v>1</v>
      </c>
      <c r="H664" s="103" t="s">
        <v>967</v>
      </c>
      <c r="I664" s="20" t="s">
        <v>1539</v>
      </c>
      <c r="J664" s="104" t="str">
        <f t="shared" si="513"/>
        <v>Item_Name_10129024</v>
      </c>
      <c r="K664" s="20">
        <v>0</v>
      </c>
      <c r="L664" s="20">
        <v>2</v>
      </c>
      <c r="M664" s="105">
        <f>IF(D664=0, 0, _xlfn.XLOOKUP($F664,'#무게관련'!$B:$B,'#무게관련'!$C:$C)*_xlfn.XLOOKUP($L664,'#무게관련'!$F:$F,'#무게관련'!$G:$G)*100)</f>
        <v>1000</v>
      </c>
      <c r="N664" s="20">
        <v>20900</v>
      </c>
      <c r="O664" s="20">
        <v>5</v>
      </c>
      <c r="P664" s="20">
        <v>15</v>
      </c>
      <c r="Q664" s="20">
        <v>1</v>
      </c>
      <c r="R664" s="20">
        <v>100</v>
      </c>
      <c r="S664" s="20">
        <v>1</v>
      </c>
      <c r="T664" s="20" t="s">
        <v>1893</v>
      </c>
      <c r="U664" s="104" t="s">
        <v>256</v>
      </c>
      <c r="V664" s="20" t="s">
        <v>328</v>
      </c>
      <c r="W664" s="20" t="s">
        <v>429</v>
      </c>
      <c r="X664" s="104">
        <v>0</v>
      </c>
      <c r="Y664" s="104">
        <v>0</v>
      </c>
      <c r="Z664" s="104">
        <v>0</v>
      </c>
      <c r="AA664" s="104">
        <v>0</v>
      </c>
      <c r="AB664" s="104">
        <v>0</v>
      </c>
      <c r="AC664" s="104">
        <v>0</v>
      </c>
      <c r="AD664" s="142">
        <v>0</v>
      </c>
      <c r="AE664" s="31">
        <v>10</v>
      </c>
      <c r="AF664" s="70">
        <v>5209014</v>
      </c>
      <c r="AG664" s="105" cm="1">
        <f t="array" ref="AG664">_xlfn.SWITCH(L664,3,1,
           4,1,
           5,1,
           6,1,0)</f>
        <v>0</v>
      </c>
      <c r="AH664" s="145" t="s">
        <v>1548</v>
      </c>
      <c r="AI664" s="90">
        <v>6000</v>
      </c>
      <c r="AJ664" s="90">
        <v>4002</v>
      </c>
      <c r="AK664" s="27">
        <v>0</v>
      </c>
      <c r="AL664" s="123">
        <f>_xlfn.XLOOKUP(H664,'#각종 참고'!$B$11:$B$20,'#각종 참고'!$D$11:$D$20)</f>
        <v>0</v>
      </c>
      <c r="AM664" s="27">
        <v>1</v>
      </c>
      <c r="AN664" s="27">
        <v>1</v>
      </c>
      <c r="AO664" s="124">
        <f t="shared" si="508"/>
        <v>1</v>
      </c>
      <c r="AP664" s="27">
        <v>1</v>
      </c>
    </row>
    <row r="665" spans="1:43" x14ac:dyDescent="0.3">
      <c r="A665" s="19"/>
      <c r="B665" s="20">
        <v>10139024</v>
      </c>
      <c r="C665" s="99">
        <f t="shared" si="516"/>
        <v>0</v>
      </c>
      <c r="D665" s="121">
        <f>COUNTIFS($F$33:F665,F665, $G$33:G665,G665, $C$33:C665,C665, $L$33:L665,L665)</f>
        <v>9</v>
      </c>
      <c r="E665" s="20">
        <v>1</v>
      </c>
      <c r="F665" s="20">
        <v>9</v>
      </c>
      <c r="G665" s="20">
        <v>1</v>
      </c>
      <c r="H665" s="103" t="s">
        <v>967</v>
      </c>
      <c r="I665" s="20" t="s">
        <v>1540</v>
      </c>
      <c r="J665" s="104" t="str">
        <f t="shared" si="513"/>
        <v>Item_Name_10139024</v>
      </c>
      <c r="K665" s="20">
        <v>0</v>
      </c>
      <c r="L665" s="20">
        <v>3</v>
      </c>
      <c r="M665" s="105">
        <f>IF(D665=0, 0, _xlfn.XLOOKUP($F665,'#무게관련'!$B:$B,'#무게관련'!$C:$C)*_xlfn.XLOOKUP($L665,'#무게관련'!$F:$F,'#무게관련'!$G:$G)*100)</f>
        <v>1000</v>
      </c>
      <c r="N665" s="20">
        <v>20900</v>
      </c>
      <c r="O665" s="20">
        <v>5</v>
      </c>
      <c r="P665" s="20">
        <v>15</v>
      </c>
      <c r="Q665" s="20">
        <v>1</v>
      </c>
      <c r="R665" s="20">
        <v>100</v>
      </c>
      <c r="S665" s="20">
        <v>1</v>
      </c>
      <c r="T665" s="20" t="s">
        <v>1894</v>
      </c>
      <c r="U665" s="104" t="s">
        <v>257</v>
      </c>
      <c r="V665" s="20" t="s">
        <v>328</v>
      </c>
      <c r="W665" s="20" t="s">
        <v>429</v>
      </c>
      <c r="X665" s="104">
        <v>0</v>
      </c>
      <c r="Y665" s="104">
        <v>0</v>
      </c>
      <c r="Z665" s="104">
        <v>0</v>
      </c>
      <c r="AA665" s="104">
        <v>0</v>
      </c>
      <c r="AB665" s="104">
        <v>0</v>
      </c>
      <c r="AC665" s="104">
        <v>0</v>
      </c>
      <c r="AD665" s="142">
        <v>0</v>
      </c>
      <c r="AE665" s="31">
        <v>10</v>
      </c>
      <c r="AF665" s="70">
        <v>5309014</v>
      </c>
      <c r="AG665" s="105" cm="1">
        <f t="array" ref="AG665">_xlfn.SWITCH(L665,3,1,
           4,1,
           5,1,
           6,1,0)</f>
        <v>1</v>
      </c>
      <c r="AH665" s="145" t="s">
        <v>1549</v>
      </c>
      <c r="AI665" s="90">
        <v>6001</v>
      </c>
      <c r="AJ665" s="90">
        <v>4003</v>
      </c>
      <c r="AK665" s="27">
        <v>0</v>
      </c>
      <c r="AL665" s="123">
        <f>_xlfn.XLOOKUP(H665,'#각종 참고'!$B$11:$B$20,'#각종 참고'!$D$11:$D$20)</f>
        <v>0</v>
      </c>
      <c r="AM665" s="27">
        <v>1</v>
      </c>
      <c r="AN665" s="27">
        <v>1</v>
      </c>
      <c r="AO665" s="124">
        <f t="shared" si="508"/>
        <v>1</v>
      </c>
      <c r="AP665" s="27">
        <v>1</v>
      </c>
    </row>
    <row r="666" spans="1:43" x14ac:dyDescent="0.3">
      <c r="A666" s="19"/>
      <c r="B666" s="20">
        <v>10119026</v>
      </c>
      <c r="C666" s="99">
        <f t="shared" si="516"/>
        <v>0</v>
      </c>
      <c r="D666" s="121">
        <f>COUNTIFS($F$33:F666,F666, $G$33:G666,G666, $C$33:C666,C666, $L$33:L666,L666)</f>
        <v>10</v>
      </c>
      <c r="E666" s="20">
        <v>1</v>
      </c>
      <c r="F666" s="20">
        <v>9</v>
      </c>
      <c r="G666" s="20">
        <v>1</v>
      </c>
      <c r="H666" s="103" t="s">
        <v>967</v>
      </c>
      <c r="I666" s="20" t="s">
        <v>1541</v>
      </c>
      <c r="J666" s="104" t="str">
        <f t="shared" si="513"/>
        <v>Item_Name_10119026</v>
      </c>
      <c r="K666" s="20">
        <v>0</v>
      </c>
      <c r="L666" s="20">
        <v>1</v>
      </c>
      <c r="M666" s="105">
        <f>IF(D666=0, 0, _xlfn.XLOOKUP($F666,'#무게관련'!$B:$B,'#무게관련'!$C:$C)*_xlfn.XLOOKUP($L666,'#무게관련'!$F:$F,'#무게관련'!$G:$G)*100)</f>
        <v>1000</v>
      </c>
      <c r="N666" s="20">
        <v>20900</v>
      </c>
      <c r="O666" s="20">
        <v>5</v>
      </c>
      <c r="P666" s="20">
        <v>15</v>
      </c>
      <c r="Q666" s="20">
        <v>1</v>
      </c>
      <c r="R666" s="20">
        <v>100</v>
      </c>
      <c r="S666" s="20">
        <v>1</v>
      </c>
      <c r="T666" s="20" t="s">
        <v>1892</v>
      </c>
      <c r="U666" s="104" t="s">
        <v>171</v>
      </c>
      <c r="V666" s="20" t="s">
        <v>328</v>
      </c>
      <c r="W666" s="20" t="s">
        <v>429</v>
      </c>
      <c r="X666" s="104">
        <v>0</v>
      </c>
      <c r="Y666" s="104">
        <v>0</v>
      </c>
      <c r="Z666" s="104">
        <v>0</v>
      </c>
      <c r="AA666" s="104">
        <v>0</v>
      </c>
      <c r="AB666" s="104">
        <v>0</v>
      </c>
      <c r="AC666" s="104">
        <v>0</v>
      </c>
      <c r="AD666" s="142">
        <v>0</v>
      </c>
      <c r="AE666" s="31">
        <v>10</v>
      </c>
      <c r="AF666" s="70">
        <v>5109015</v>
      </c>
      <c r="AG666" s="105" cm="1">
        <f t="array" ref="AG666">_xlfn.SWITCH(L666,3,1,
           4,1,
           5,1,
           6,1,0)</f>
        <v>0</v>
      </c>
      <c r="AH666" s="145" t="s">
        <v>1547</v>
      </c>
      <c r="AI666" s="90">
        <v>6005</v>
      </c>
      <c r="AJ666" s="90">
        <v>4001</v>
      </c>
      <c r="AK666" s="27">
        <v>0</v>
      </c>
      <c r="AL666" s="123">
        <f>_xlfn.XLOOKUP(H666,'#각종 참고'!$B$11:$B$20,'#각종 참고'!$D$11:$D$20)</f>
        <v>0</v>
      </c>
      <c r="AM666" s="27">
        <v>1</v>
      </c>
      <c r="AN666" s="27">
        <v>1</v>
      </c>
      <c r="AO666" s="124">
        <f t="shared" si="508"/>
        <v>1</v>
      </c>
      <c r="AP666" s="27">
        <v>1</v>
      </c>
    </row>
    <row r="667" spans="1:43" x14ac:dyDescent="0.3">
      <c r="A667" s="19"/>
      <c r="B667" s="20">
        <v>10129025</v>
      </c>
      <c r="C667" s="99">
        <f t="shared" si="516"/>
        <v>0</v>
      </c>
      <c r="D667" s="121">
        <f>COUNTIFS($F$33:F667,F667, $G$33:G667,G667, $C$33:C667,C667, $L$33:L667,L667)</f>
        <v>10</v>
      </c>
      <c r="E667" s="20">
        <v>1</v>
      </c>
      <c r="F667" s="20">
        <v>9</v>
      </c>
      <c r="G667" s="20">
        <v>1</v>
      </c>
      <c r="H667" s="103" t="s">
        <v>967</v>
      </c>
      <c r="I667" s="20" t="s">
        <v>1542</v>
      </c>
      <c r="J667" s="104" t="str">
        <f t="shared" si="513"/>
        <v>Item_Name_10129025</v>
      </c>
      <c r="K667" s="20">
        <v>0</v>
      </c>
      <c r="L667" s="20">
        <v>2</v>
      </c>
      <c r="M667" s="105">
        <f>IF(D667=0, 0, _xlfn.XLOOKUP($F667,'#무게관련'!$B:$B,'#무게관련'!$C:$C)*_xlfn.XLOOKUP($L667,'#무게관련'!$F:$F,'#무게관련'!$G:$G)*100)</f>
        <v>1000</v>
      </c>
      <c r="N667" s="20">
        <v>20900</v>
      </c>
      <c r="O667" s="20">
        <v>5</v>
      </c>
      <c r="P667" s="20">
        <v>15</v>
      </c>
      <c r="Q667" s="20">
        <v>1</v>
      </c>
      <c r="R667" s="20">
        <v>100</v>
      </c>
      <c r="S667" s="20">
        <v>1</v>
      </c>
      <c r="T667" s="20" t="s">
        <v>1893</v>
      </c>
      <c r="U667" s="104" t="s">
        <v>256</v>
      </c>
      <c r="V667" s="20" t="s">
        <v>328</v>
      </c>
      <c r="W667" s="20" t="s">
        <v>429</v>
      </c>
      <c r="X667" s="104">
        <v>0</v>
      </c>
      <c r="Y667" s="104">
        <v>0</v>
      </c>
      <c r="Z667" s="104">
        <v>0</v>
      </c>
      <c r="AA667" s="104">
        <v>0</v>
      </c>
      <c r="AB667" s="104">
        <v>0</v>
      </c>
      <c r="AC667" s="104">
        <v>0</v>
      </c>
      <c r="AD667" s="142">
        <v>0</v>
      </c>
      <c r="AE667" s="31">
        <v>10</v>
      </c>
      <c r="AF667" s="70">
        <v>5209015</v>
      </c>
      <c r="AG667" s="105" cm="1">
        <f t="array" ref="AG667">_xlfn.SWITCH(L667,3,1,
           4,1,
           5,1,
           6,1,0)</f>
        <v>0</v>
      </c>
      <c r="AH667" s="145" t="s">
        <v>1548</v>
      </c>
      <c r="AI667" s="90">
        <v>6000</v>
      </c>
      <c r="AJ667" s="90">
        <v>4002</v>
      </c>
      <c r="AK667" s="27">
        <v>0</v>
      </c>
      <c r="AL667" s="123">
        <f>_xlfn.XLOOKUP(H667,'#각종 참고'!$B$11:$B$20,'#각종 참고'!$D$11:$D$20)</f>
        <v>0</v>
      </c>
      <c r="AM667" s="27">
        <v>1</v>
      </c>
      <c r="AN667" s="27">
        <v>1</v>
      </c>
      <c r="AO667" s="124">
        <f t="shared" si="508"/>
        <v>1</v>
      </c>
      <c r="AP667" s="27">
        <v>1</v>
      </c>
    </row>
    <row r="668" spans="1:43" x14ac:dyDescent="0.3">
      <c r="A668" s="19"/>
      <c r="B668" s="20">
        <v>10139025</v>
      </c>
      <c r="C668" s="99">
        <f t="shared" ref="C668" si="517">IF(K668&gt;0,MID(K668,5, 1), 0)</f>
        <v>0</v>
      </c>
      <c r="D668" s="121">
        <f>COUNTIFS($F$33:F668,F668, $G$33:G668,G668, $C$33:C668,C668, $L$33:L668,L668)</f>
        <v>10</v>
      </c>
      <c r="E668" s="20">
        <v>1</v>
      </c>
      <c r="F668" s="20">
        <v>9</v>
      </c>
      <c r="G668" s="20">
        <v>1</v>
      </c>
      <c r="H668" s="103" t="s">
        <v>967</v>
      </c>
      <c r="I668" s="20" t="s">
        <v>1543</v>
      </c>
      <c r="J668" s="104" t="str">
        <f t="shared" si="513"/>
        <v>Item_Name_10139025</v>
      </c>
      <c r="K668" s="20">
        <v>0</v>
      </c>
      <c r="L668" s="20">
        <v>3</v>
      </c>
      <c r="M668" s="105">
        <f>IF(D668=0, 0, _xlfn.XLOOKUP($F668,'#무게관련'!$B:$B,'#무게관련'!$C:$C)*_xlfn.XLOOKUP($L668,'#무게관련'!$F:$F,'#무게관련'!$G:$G)*100)</f>
        <v>1000</v>
      </c>
      <c r="N668" s="20">
        <v>20900</v>
      </c>
      <c r="O668" s="20">
        <v>5</v>
      </c>
      <c r="P668" s="20">
        <v>15</v>
      </c>
      <c r="Q668" s="20">
        <v>1</v>
      </c>
      <c r="R668" s="20">
        <v>100</v>
      </c>
      <c r="S668" s="20">
        <v>1</v>
      </c>
      <c r="T668" s="20" t="s">
        <v>1894</v>
      </c>
      <c r="U668" s="104" t="s">
        <v>257</v>
      </c>
      <c r="V668" s="20" t="s">
        <v>328</v>
      </c>
      <c r="W668" s="20" t="s">
        <v>429</v>
      </c>
      <c r="X668" s="104">
        <v>0</v>
      </c>
      <c r="Y668" s="104">
        <v>0</v>
      </c>
      <c r="Z668" s="104">
        <v>0</v>
      </c>
      <c r="AA668" s="104">
        <v>0</v>
      </c>
      <c r="AB668" s="104">
        <v>0</v>
      </c>
      <c r="AC668" s="104">
        <v>0</v>
      </c>
      <c r="AD668" s="142">
        <v>0</v>
      </c>
      <c r="AE668" s="31">
        <v>10</v>
      </c>
      <c r="AF668" s="70">
        <v>5309015</v>
      </c>
      <c r="AG668" s="105" cm="1">
        <f t="array" ref="AG668">_xlfn.SWITCH(L668,3,1,
           4,1,
           5,1,
           6,1,0)</f>
        <v>1</v>
      </c>
      <c r="AH668" s="145" t="s">
        <v>1549</v>
      </c>
      <c r="AI668" s="90">
        <v>6001</v>
      </c>
      <c r="AJ668" s="90">
        <v>4003</v>
      </c>
      <c r="AK668" s="27">
        <v>0</v>
      </c>
      <c r="AL668" s="123">
        <f>_xlfn.XLOOKUP(H668,'#각종 참고'!$B$11:$B$20,'#각종 참고'!$D$11:$D$20)</f>
        <v>0</v>
      </c>
      <c r="AM668" s="27">
        <v>1</v>
      </c>
      <c r="AN668" s="27">
        <v>1</v>
      </c>
      <c r="AO668" s="124">
        <f t="shared" si="508"/>
        <v>1</v>
      </c>
      <c r="AP668" s="27">
        <v>1</v>
      </c>
    </row>
    <row r="669" spans="1:43" x14ac:dyDescent="0.3">
      <c r="A669" s="19"/>
      <c r="B669" s="20">
        <v>11110010</v>
      </c>
      <c r="C669" s="100">
        <v>1</v>
      </c>
      <c r="D669" s="121">
        <f>COUNTIFS($F$33:F669,F669, $G$33:G669,G669, $C$33:C669,C669, $L$33:L669,L669)</f>
        <v>4</v>
      </c>
      <c r="E669" s="20">
        <v>1</v>
      </c>
      <c r="F669" s="20">
        <v>0</v>
      </c>
      <c r="G669" s="20">
        <v>1</v>
      </c>
      <c r="H669" s="103" t="s">
        <v>959</v>
      </c>
      <c r="I669" s="20" t="s">
        <v>1922</v>
      </c>
      <c r="J669" s="104" t="str">
        <f t="shared" si="513"/>
        <v>Item_Name_11110010</v>
      </c>
      <c r="K669" s="20">
        <v>10101001</v>
      </c>
      <c r="L669" s="20">
        <v>1</v>
      </c>
      <c r="M669" s="105">
        <f>IF(D669=0, 0, _xlfn.XLOOKUP($F669,'#무게관련'!$B:$B,'#무게관련'!$C:$C)*_xlfn.XLOOKUP($L669,'#무게관련'!$F:$F,'#무게관련'!$G:$G)*100)</f>
        <v>14000</v>
      </c>
      <c r="N669" s="20">
        <v>0</v>
      </c>
      <c r="O669" s="20">
        <v>1</v>
      </c>
      <c r="P669" s="20">
        <v>15</v>
      </c>
      <c r="Q669" s="20">
        <v>1</v>
      </c>
      <c r="R669" s="20">
        <v>100</v>
      </c>
      <c r="S669" s="20">
        <v>1</v>
      </c>
      <c r="T669" s="20" t="s">
        <v>1849</v>
      </c>
      <c r="U669" s="104" t="s">
        <v>171</v>
      </c>
      <c r="V669" s="20" t="s">
        <v>317</v>
      </c>
      <c r="W669" s="20" t="s">
        <v>329</v>
      </c>
      <c r="X669" s="104">
        <v>0</v>
      </c>
      <c r="Y669" s="104">
        <v>0</v>
      </c>
      <c r="Z669" s="104">
        <v>0</v>
      </c>
      <c r="AA669" s="104">
        <v>0</v>
      </c>
      <c r="AB669" s="104">
        <v>0</v>
      </c>
      <c r="AC669" s="104">
        <v>0</v>
      </c>
      <c r="AD669" s="142">
        <v>0</v>
      </c>
      <c r="AE669" s="31">
        <v>10</v>
      </c>
      <c r="AF669" s="70">
        <v>1100010</v>
      </c>
      <c r="AG669" s="105" cm="1">
        <f t="array" ref="AG669">_xlfn.SWITCH(L669,3,1,
           4,1,
           5,1,
           6,1,0)</f>
        <v>0</v>
      </c>
      <c r="AH669" s="145" t="s">
        <v>1545</v>
      </c>
      <c r="AI669" s="90">
        <v>0</v>
      </c>
      <c r="AJ669" s="90">
        <v>0</v>
      </c>
      <c r="AK669" s="27">
        <v>0</v>
      </c>
      <c r="AL669" s="123">
        <f>_xlfn.XLOOKUP(H669,'#각종 참고'!$B$11:$B$20,'#각종 참고'!$D$11:$D$20)</f>
        <v>0</v>
      </c>
      <c r="AM669" s="27">
        <v>1</v>
      </c>
      <c r="AN669" s="27">
        <v>0</v>
      </c>
      <c r="AO669" s="124">
        <f t="shared" si="508"/>
        <v>1</v>
      </c>
      <c r="AP669" s="27">
        <v>0</v>
      </c>
      <c r="AQ669" s="21">
        <v>11110002</v>
      </c>
    </row>
    <row r="670" spans="1:43" x14ac:dyDescent="0.3">
      <c r="A670" s="19"/>
      <c r="B670" s="20">
        <v>12110010</v>
      </c>
      <c r="C670" s="100">
        <v>2</v>
      </c>
      <c r="D670" s="121">
        <f>COUNTIFS($F$33:F670,F670, $G$33:G670,G670, $C$33:C670,C670, $L$33:L670,L670)</f>
        <v>4</v>
      </c>
      <c r="E670" s="20">
        <v>1</v>
      </c>
      <c r="F670" s="20">
        <v>0</v>
      </c>
      <c r="G670" s="20">
        <v>1</v>
      </c>
      <c r="H670" s="103" t="s">
        <v>959</v>
      </c>
      <c r="I670" s="20" t="s">
        <v>1923</v>
      </c>
      <c r="J670" s="104" t="str">
        <f t="shared" si="513"/>
        <v>Item_Name_12110010</v>
      </c>
      <c r="K670" s="20">
        <v>10102001</v>
      </c>
      <c r="L670" s="20">
        <v>1</v>
      </c>
      <c r="M670" s="105">
        <f>IF(D670=0, 0, _xlfn.XLOOKUP($F670,'#무게관련'!$B:$B,'#무게관련'!$C:$C)*_xlfn.XLOOKUP($L670,'#무게관련'!$F:$F,'#무게관련'!$G:$G)*100)</f>
        <v>14000</v>
      </c>
      <c r="N670" s="20">
        <v>0</v>
      </c>
      <c r="O670" s="20">
        <v>2</v>
      </c>
      <c r="P670" s="20">
        <v>15</v>
      </c>
      <c r="Q670" s="20">
        <v>1</v>
      </c>
      <c r="R670" s="20">
        <v>100</v>
      </c>
      <c r="S670" s="20">
        <v>1</v>
      </c>
      <c r="T670" s="20" t="s">
        <v>1849</v>
      </c>
      <c r="U670" s="104" t="s">
        <v>171</v>
      </c>
      <c r="V670" s="20" t="s">
        <v>318</v>
      </c>
      <c r="W670" s="20" t="s">
        <v>329</v>
      </c>
      <c r="X670" s="104">
        <v>0</v>
      </c>
      <c r="Y670" s="104">
        <v>0</v>
      </c>
      <c r="Z670" s="104">
        <v>0</v>
      </c>
      <c r="AA670" s="104">
        <v>0</v>
      </c>
      <c r="AB670" s="104">
        <v>0</v>
      </c>
      <c r="AC670" s="104">
        <v>0</v>
      </c>
      <c r="AD670" s="142">
        <v>0</v>
      </c>
      <c r="AE670" s="31">
        <v>10</v>
      </c>
      <c r="AF670" s="70">
        <v>2100010</v>
      </c>
      <c r="AG670" s="105" cm="1">
        <f t="array" ref="AG670">_xlfn.SWITCH(L670,3,1,
           4,1,
           5,1,
           6,1,0)</f>
        <v>0</v>
      </c>
      <c r="AH670" s="145" t="s">
        <v>1545</v>
      </c>
      <c r="AI670" s="90">
        <v>0</v>
      </c>
      <c r="AJ670" s="90">
        <v>0</v>
      </c>
      <c r="AK670" s="27">
        <v>0</v>
      </c>
      <c r="AL670" s="123">
        <f>_xlfn.XLOOKUP(H670,'#각종 참고'!$B$11:$B$20,'#각종 참고'!$D$11:$D$20)</f>
        <v>0</v>
      </c>
      <c r="AM670" s="27">
        <v>1</v>
      </c>
      <c r="AN670" s="27">
        <v>0</v>
      </c>
      <c r="AO670" s="124">
        <f t="shared" si="508"/>
        <v>1</v>
      </c>
      <c r="AP670" s="27">
        <v>0</v>
      </c>
      <c r="AQ670" s="21">
        <v>12110002</v>
      </c>
    </row>
    <row r="671" spans="1:43" x14ac:dyDescent="0.3">
      <c r="A671" s="19"/>
      <c r="B671" s="20">
        <v>13110010</v>
      </c>
      <c r="C671" s="100">
        <v>3</v>
      </c>
      <c r="D671" s="121">
        <f>COUNTIFS($F$33:F671,F671, $G$33:G671,G671, $C$33:C671,C671, $L$33:L671,L671)</f>
        <v>4</v>
      </c>
      <c r="E671" s="20">
        <v>1</v>
      </c>
      <c r="F671" s="20">
        <v>0</v>
      </c>
      <c r="G671" s="20">
        <v>1</v>
      </c>
      <c r="H671" s="103" t="s">
        <v>959</v>
      </c>
      <c r="I671" s="20" t="s">
        <v>1924</v>
      </c>
      <c r="J671" s="104" t="str">
        <f t="shared" si="513"/>
        <v>Item_Name_13110010</v>
      </c>
      <c r="K671" s="20">
        <v>10103001</v>
      </c>
      <c r="L671" s="20">
        <v>1</v>
      </c>
      <c r="M671" s="105">
        <f>IF(D671=0, 0, _xlfn.XLOOKUP($F671,'#무게관련'!$B:$B,'#무게관련'!$C:$C)*_xlfn.XLOOKUP($L671,'#무게관련'!$F:$F,'#무게관련'!$G:$G)*100)</f>
        <v>14000</v>
      </c>
      <c r="N671" s="20">
        <v>0</v>
      </c>
      <c r="O671" s="20">
        <v>3</v>
      </c>
      <c r="P671" s="20">
        <v>15</v>
      </c>
      <c r="Q671" s="20">
        <v>1</v>
      </c>
      <c r="R671" s="20">
        <v>100</v>
      </c>
      <c r="S671" s="20">
        <v>1</v>
      </c>
      <c r="T671" s="20" t="s">
        <v>1849</v>
      </c>
      <c r="U671" s="104" t="s">
        <v>171</v>
      </c>
      <c r="V671" s="20" t="s">
        <v>523</v>
      </c>
      <c r="W671" s="20" t="s">
        <v>329</v>
      </c>
      <c r="X671" s="104">
        <v>0</v>
      </c>
      <c r="Y671" s="104">
        <v>0</v>
      </c>
      <c r="Z671" s="104">
        <v>0</v>
      </c>
      <c r="AA671" s="104">
        <v>0</v>
      </c>
      <c r="AB671" s="104">
        <v>0</v>
      </c>
      <c r="AC671" s="104">
        <v>0</v>
      </c>
      <c r="AD671" s="142">
        <v>0</v>
      </c>
      <c r="AE671" s="31">
        <v>10</v>
      </c>
      <c r="AF671" s="70">
        <v>3100010</v>
      </c>
      <c r="AG671" s="105" cm="1">
        <f t="array" ref="AG671">_xlfn.SWITCH(L671,3,1,
           4,1,
           5,1,
           6,1,0)</f>
        <v>0</v>
      </c>
      <c r="AH671" s="145" t="s">
        <v>1545</v>
      </c>
      <c r="AI671" s="90">
        <v>0</v>
      </c>
      <c r="AJ671" s="90">
        <v>0</v>
      </c>
      <c r="AK671" s="27">
        <v>0</v>
      </c>
      <c r="AL671" s="123">
        <f>_xlfn.XLOOKUP(H671,'#각종 참고'!$B$11:$B$20,'#각종 참고'!$D$11:$D$20)</f>
        <v>0</v>
      </c>
      <c r="AM671" s="27">
        <v>1</v>
      </c>
      <c r="AN671" s="27">
        <v>0</v>
      </c>
      <c r="AO671" s="124">
        <f t="shared" si="508"/>
        <v>1</v>
      </c>
      <c r="AP671" s="27">
        <v>0</v>
      </c>
      <c r="AQ671" s="21">
        <v>13110002</v>
      </c>
    </row>
    <row r="672" spans="1:43" x14ac:dyDescent="0.3">
      <c r="A672" s="19"/>
      <c r="B672" s="20">
        <v>14110010</v>
      </c>
      <c r="C672" s="100">
        <v>4</v>
      </c>
      <c r="D672" s="121">
        <f>COUNTIFS($F$33:F672,F672, $G$33:G672,G672, $C$33:C672,C672, $L$33:L672,L672)</f>
        <v>4</v>
      </c>
      <c r="E672" s="20">
        <v>1</v>
      </c>
      <c r="F672" s="20">
        <v>0</v>
      </c>
      <c r="G672" s="20">
        <v>1</v>
      </c>
      <c r="H672" s="103" t="s">
        <v>959</v>
      </c>
      <c r="I672" s="20" t="s">
        <v>1925</v>
      </c>
      <c r="J672" s="104" t="str">
        <f t="shared" si="513"/>
        <v>Item_Name_14110010</v>
      </c>
      <c r="K672" s="20">
        <v>10104001</v>
      </c>
      <c r="L672" s="20">
        <v>1</v>
      </c>
      <c r="M672" s="105">
        <f>IF(D672=0, 0, _xlfn.XLOOKUP($F672,'#무게관련'!$B:$B,'#무게관련'!$C:$C)*_xlfn.XLOOKUP($L672,'#무게관련'!$F:$F,'#무게관련'!$G:$G)*100)</f>
        <v>14000</v>
      </c>
      <c r="N672" s="20">
        <v>0</v>
      </c>
      <c r="O672" s="20">
        <v>4</v>
      </c>
      <c r="P672" s="20">
        <v>15</v>
      </c>
      <c r="Q672" s="20">
        <v>1</v>
      </c>
      <c r="R672" s="20">
        <v>100</v>
      </c>
      <c r="S672" s="20">
        <v>1</v>
      </c>
      <c r="T672" s="20" t="s">
        <v>1849</v>
      </c>
      <c r="U672" s="104" t="s">
        <v>171</v>
      </c>
      <c r="V672" s="20" t="s">
        <v>524</v>
      </c>
      <c r="W672" s="20" t="s">
        <v>329</v>
      </c>
      <c r="X672" s="104">
        <v>0</v>
      </c>
      <c r="Y672" s="104">
        <v>0</v>
      </c>
      <c r="Z672" s="104">
        <v>0</v>
      </c>
      <c r="AA672" s="104">
        <v>0</v>
      </c>
      <c r="AB672" s="104">
        <v>0</v>
      </c>
      <c r="AC672" s="104">
        <v>0</v>
      </c>
      <c r="AD672" s="142">
        <v>0</v>
      </c>
      <c r="AE672" s="31">
        <v>10</v>
      </c>
      <c r="AF672" s="70">
        <v>4100010</v>
      </c>
      <c r="AG672" s="105" cm="1">
        <f t="array" ref="AG672">_xlfn.SWITCH(L672,3,1,
           4,1,
           5,1,
           6,1,0)</f>
        <v>0</v>
      </c>
      <c r="AH672" s="145" t="s">
        <v>1545</v>
      </c>
      <c r="AI672" s="90">
        <v>0</v>
      </c>
      <c r="AJ672" s="90">
        <v>0</v>
      </c>
      <c r="AK672" s="27">
        <v>0</v>
      </c>
      <c r="AL672" s="123">
        <f>_xlfn.XLOOKUP(H672,'#각종 참고'!$B$11:$B$20,'#각종 참고'!$D$11:$D$20)</f>
        <v>0</v>
      </c>
      <c r="AM672" s="27">
        <v>1</v>
      </c>
      <c r="AN672" s="27">
        <v>0</v>
      </c>
      <c r="AO672" s="124">
        <f t="shared" si="508"/>
        <v>1</v>
      </c>
      <c r="AP672" s="27">
        <v>0</v>
      </c>
      <c r="AQ672" s="21">
        <v>14110002</v>
      </c>
    </row>
    <row r="673" spans="1:43" x14ac:dyDescent="0.3">
      <c r="A673" s="19"/>
      <c r="B673" s="20">
        <v>11111010</v>
      </c>
      <c r="C673" s="100">
        <v>1</v>
      </c>
      <c r="D673" s="121">
        <f>COUNTIFS($F$33:F673,F673, $G$33:G673,G673, $C$33:C673,C673, $L$33:L673,L673)</f>
        <v>4</v>
      </c>
      <c r="E673" s="20">
        <v>1</v>
      </c>
      <c r="F673" s="20">
        <v>1</v>
      </c>
      <c r="G673" s="20">
        <v>1</v>
      </c>
      <c r="H673" s="103" t="s">
        <v>960</v>
      </c>
      <c r="I673" s="20" t="s">
        <v>1926</v>
      </c>
      <c r="J673" s="104" t="str">
        <f t="shared" si="513"/>
        <v>Item_Name_11111010</v>
      </c>
      <c r="K673" s="20">
        <v>10101001</v>
      </c>
      <c r="L673" s="20">
        <v>1</v>
      </c>
      <c r="M673" s="105">
        <f>IF(D673=0, 0, _xlfn.XLOOKUP($F673,'#무게관련'!$B:$B,'#무게관련'!$C:$C)*_xlfn.XLOOKUP($L673,'#무게관련'!$F:$F,'#무게관련'!$G:$G)*100)</f>
        <v>14000</v>
      </c>
      <c r="N673" s="20">
        <v>0</v>
      </c>
      <c r="O673" s="20">
        <v>1</v>
      </c>
      <c r="P673" s="20">
        <v>15</v>
      </c>
      <c r="Q673" s="20">
        <v>1</v>
      </c>
      <c r="R673" s="20">
        <v>100</v>
      </c>
      <c r="S673" s="20">
        <v>1</v>
      </c>
      <c r="T673" s="20" t="s">
        <v>1854</v>
      </c>
      <c r="U673" s="104" t="s">
        <v>171</v>
      </c>
      <c r="V673" s="20" t="s">
        <v>319</v>
      </c>
      <c r="W673" s="20" t="s">
        <v>330</v>
      </c>
      <c r="X673" s="104">
        <v>0</v>
      </c>
      <c r="Y673" s="104">
        <v>0</v>
      </c>
      <c r="Z673" s="104">
        <v>0</v>
      </c>
      <c r="AA673" s="104">
        <v>0</v>
      </c>
      <c r="AB673" s="104">
        <v>0</v>
      </c>
      <c r="AC673" s="104">
        <v>0</v>
      </c>
      <c r="AD673" s="142">
        <v>0</v>
      </c>
      <c r="AE673" s="31">
        <v>10</v>
      </c>
      <c r="AF673" s="70">
        <v>1101010</v>
      </c>
      <c r="AG673" s="105" cm="1">
        <f t="array" ref="AG673">_xlfn.SWITCH(L673,3,1,
           4,1,
           5,1,
           6,1,0)</f>
        <v>0</v>
      </c>
      <c r="AH673" s="145" t="s">
        <v>1545</v>
      </c>
      <c r="AI673" s="90">
        <v>0</v>
      </c>
      <c r="AJ673" s="90">
        <v>0</v>
      </c>
      <c r="AK673" s="27">
        <v>0</v>
      </c>
      <c r="AL673" s="123">
        <f>_xlfn.XLOOKUP(H673,'#각종 참고'!$B$11:$B$20,'#각종 참고'!$D$11:$D$20)</f>
        <v>0</v>
      </c>
      <c r="AM673" s="27">
        <v>1</v>
      </c>
      <c r="AN673" s="27">
        <v>0</v>
      </c>
      <c r="AO673" s="124">
        <f t="shared" si="508"/>
        <v>1</v>
      </c>
      <c r="AP673" s="27">
        <v>0</v>
      </c>
      <c r="AQ673" s="21">
        <v>11111002</v>
      </c>
    </row>
    <row r="674" spans="1:43" x14ac:dyDescent="0.3">
      <c r="A674" s="19"/>
      <c r="B674" s="20">
        <v>12111010</v>
      </c>
      <c r="C674" s="100">
        <v>2</v>
      </c>
      <c r="D674" s="121">
        <f>COUNTIFS($F$33:F674,F674, $G$33:G674,G674, $C$33:C674,C674, $L$33:L674,L674)</f>
        <v>4</v>
      </c>
      <c r="E674" s="20">
        <v>1</v>
      </c>
      <c r="F674" s="20">
        <v>1</v>
      </c>
      <c r="G674" s="20">
        <v>1</v>
      </c>
      <c r="H674" s="103" t="s">
        <v>960</v>
      </c>
      <c r="I674" s="20" t="s">
        <v>1927</v>
      </c>
      <c r="J674" s="104" t="str">
        <f t="shared" si="513"/>
        <v>Item_Name_12111010</v>
      </c>
      <c r="K674" s="20">
        <v>10102001</v>
      </c>
      <c r="L674" s="20">
        <v>1</v>
      </c>
      <c r="M674" s="105">
        <f>IF(D674=0, 0, _xlfn.XLOOKUP($F674,'#무게관련'!$B:$B,'#무게관련'!$C:$C)*_xlfn.XLOOKUP($L674,'#무게관련'!$F:$F,'#무게관련'!$G:$G)*100)</f>
        <v>14000</v>
      </c>
      <c r="N674" s="20">
        <v>0</v>
      </c>
      <c r="O674" s="20">
        <v>2</v>
      </c>
      <c r="P674" s="20">
        <v>15</v>
      </c>
      <c r="Q674" s="20">
        <v>1</v>
      </c>
      <c r="R674" s="20">
        <v>100</v>
      </c>
      <c r="S674" s="20">
        <v>1</v>
      </c>
      <c r="T674" s="20" t="s">
        <v>1854</v>
      </c>
      <c r="U674" s="104" t="s">
        <v>171</v>
      </c>
      <c r="V674" s="20" t="s">
        <v>320</v>
      </c>
      <c r="W674" s="20" t="s">
        <v>330</v>
      </c>
      <c r="X674" s="104">
        <v>0</v>
      </c>
      <c r="Y674" s="104">
        <v>0</v>
      </c>
      <c r="Z674" s="104">
        <v>0</v>
      </c>
      <c r="AA674" s="104">
        <v>0</v>
      </c>
      <c r="AB674" s="104">
        <v>0</v>
      </c>
      <c r="AC674" s="104">
        <v>0</v>
      </c>
      <c r="AD674" s="142">
        <v>0</v>
      </c>
      <c r="AE674" s="31">
        <v>10</v>
      </c>
      <c r="AF674" s="70">
        <v>2101010</v>
      </c>
      <c r="AG674" s="105" cm="1">
        <f t="array" ref="AG674">_xlfn.SWITCH(L674,3,1,
           4,1,
           5,1,
           6,1,0)</f>
        <v>0</v>
      </c>
      <c r="AH674" s="145" t="s">
        <v>1545</v>
      </c>
      <c r="AI674" s="90">
        <v>0</v>
      </c>
      <c r="AJ674" s="90">
        <v>0</v>
      </c>
      <c r="AK674" s="27">
        <v>0</v>
      </c>
      <c r="AL674" s="123">
        <f>_xlfn.XLOOKUP(H674,'#각종 참고'!$B$11:$B$20,'#각종 참고'!$D$11:$D$20)</f>
        <v>0</v>
      </c>
      <c r="AM674" s="27">
        <v>1</v>
      </c>
      <c r="AN674" s="27">
        <v>0</v>
      </c>
      <c r="AO674" s="124">
        <f t="shared" si="508"/>
        <v>1</v>
      </c>
      <c r="AP674" s="27">
        <v>0</v>
      </c>
      <c r="AQ674" s="21">
        <v>12111002</v>
      </c>
    </row>
    <row r="675" spans="1:43" x14ac:dyDescent="0.3">
      <c r="A675" s="19"/>
      <c r="B675" s="20">
        <v>13111010</v>
      </c>
      <c r="C675" s="100">
        <v>3</v>
      </c>
      <c r="D675" s="121">
        <f>COUNTIFS($F$33:F675,F675, $G$33:G675,G675, $C$33:C675,C675, $L$33:L675,L675)</f>
        <v>4</v>
      </c>
      <c r="E675" s="20">
        <v>1</v>
      </c>
      <c r="F675" s="20">
        <v>1</v>
      </c>
      <c r="G675" s="20">
        <v>1</v>
      </c>
      <c r="H675" s="103" t="s">
        <v>960</v>
      </c>
      <c r="I675" s="20" t="s">
        <v>1928</v>
      </c>
      <c r="J675" s="104" t="str">
        <f t="shared" si="513"/>
        <v>Item_Name_13111010</v>
      </c>
      <c r="K675" s="20">
        <v>10103001</v>
      </c>
      <c r="L675" s="20">
        <v>1</v>
      </c>
      <c r="M675" s="105">
        <f>IF(D675=0, 0, _xlfn.XLOOKUP($F675,'#무게관련'!$B:$B,'#무게관련'!$C:$C)*_xlfn.XLOOKUP($L675,'#무게관련'!$F:$F,'#무게관련'!$G:$G)*100)</f>
        <v>14000</v>
      </c>
      <c r="N675" s="20">
        <v>0</v>
      </c>
      <c r="O675" s="20">
        <v>3</v>
      </c>
      <c r="P675" s="20">
        <v>15</v>
      </c>
      <c r="Q675" s="20">
        <v>1</v>
      </c>
      <c r="R675" s="20">
        <v>100</v>
      </c>
      <c r="S675" s="20">
        <v>1</v>
      </c>
      <c r="T675" s="20" t="s">
        <v>1854</v>
      </c>
      <c r="U675" s="104" t="s">
        <v>171</v>
      </c>
      <c r="V675" s="20" t="s">
        <v>525</v>
      </c>
      <c r="W675" s="20" t="s">
        <v>330</v>
      </c>
      <c r="X675" s="104">
        <v>0</v>
      </c>
      <c r="Y675" s="104">
        <v>0</v>
      </c>
      <c r="Z675" s="104">
        <v>0</v>
      </c>
      <c r="AA675" s="104">
        <v>0</v>
      </c>
      <c r="AB675" s="104">
        <v>0</v>
      </c>
      <c r="AC675" s="104">
        <v>0</v>
      </c>
      <c r="AD675" s="142">
        <v>0</v>
      </c>
      <c r="AE675" s="31">
        <v>10</v>
      </c>
      <c r="AF675" s="70">
        <v>3101010</v>
      </c>
      <c r="AG675" s="105" cm="1">
        <f t="array" ref="AG675">_xlfn.SWITCH(L675,3,1,
           4,1,
           5,1,
           6,1,0)</f>
        <v>0</v>
      </c>
      <c r="AH675" s="145" t="s">
        <v>1545</v>
      </c>
      <c r="AI675" s="90">
        <v>0</v>
      </c>
      <c r="AJ675" s="90">
        <v>0</v>
      </c>
      <c r="AK675" s="27">
        <v>0</v>
      </c>
      <c r="AL675" s="123">
        <f>_xlfn.XLOOKUP(H675,'#각종 참고'!$B$11:$B$20,'#각종 참고'!$D$11:$D$20)</f>
        <v>0</v>
      </c>
      <c r="AM675" s="27">
        <v>1</v>
      </c>
      <c r="AN675" s="27">
        <v>0</v>
      </c>
      <c r="AO675" s="124">
        <f t="shared" si="508"/>
        <v>1</v>
      </c>
      <c r="AP675" s="27">
        <v>0</v>
      </c>
      <c r="AQ675" s="21">
        <v>13111002</v>
      </c>
    </row>
    <row r="676" spans="1:43" x14ac:dyDescent="0.3">
      <c r="A676" s="19"/>
      <c r="B676" s="20">
        <v>14111010</v>
      </c>
      <c r="C676" s="100">
        <v>4</v>
      </c>
      <c r="D676" s="121">
        <f>COUNTIFS($F$33:F676,F676, $G$33:G676,G676, $C$33:C676,C676, $L$33:L676,L676)</f>
        <v>4</v>
      </c>
      <c r="E676" s="20">
        <v>1</v>
      </c>
      <c r="F676" s="20">
        <v>1</v>
      </c>
      <c r="G676" s="20">
        <v>1</v>
      </c>
      <c r="H676" s="103" t="s">
        <v>960</v>
      </c>
      <c r="I676" s="20" t="s">
        <v>1929</v>
      </c>
      <c r="J676" s="104" t="str">
        <f t="shared" si="513"/>
        <v>Item_Name_14111010</v>
      </c>
      <c r="K676" s="20">
        <v>10104001</v>
      </c>
      <c r="L676" s="20">
        <v>1</v>
      </c>
      <c r="M676" s="105">
        <f>IF(D676=0, 0, _xlfn.XLOOKUP($F676,'#무게관련'!$B:$B,'#무게관련'!$C:$C)*_xlfn.XLOOKUP($L676,'#무게관련'!$F:$F,'#무게관련'!$G:$G)*100)</f>
        <v>14000</v>
      </c>
      <c r="N676" s="20">
        <v>0</v>
      </c>
      <c r="O676" s="20">
        <v>4</v>
      </c>
      <c r="P676" s="20">
        <v>15</v>
      </c>
      <c r="Q676" s="20">
        <v>1</v>
      </c>
      <c r="R676" s="20">
        <v>100</v>
      </c>
      <c r="S676" s="20">
        <v>1</v>
      </c>
      <c r="T676" s="20" t="s">
        <v>1854</v>
      </c>
      <c r="U676" s="104" t="s">
        <v>171</v>
      </c>
      <c r="V676" s="20" t="s">
        <v>526</v>
      </c>
      <c r="W676" s="20" t="s">
        <v>330</v>
      </c>
      <c r="X676" s="104">
        <v>0</v>
      </c>
      <c r="Y676" s="104">
        <v>0</v>
      </c>
      <c r="Z676" s="104">
        <v>0</v>
      </c>
      <c r="AA676" s="104">
        <v>0</v>
      </c>
      <c r="AB676" s="104">
        <v>0</v>
      </c>
      <c r="AC676" s="104">
        <v>0</v>
      </c>
      <c r="AD676" s="142">
        <v>0</v>
      </c>
      <c r="AE676" s="31">
        <v>10</v>
      </c>
      <c r="AF676" s="70">
        <v>4101010</v>
      </c>
      <c r="AG676" s="105" cm="1">
        <f t="array" ref="AG676">_xlfn.SWITCH(L676,3,1,
           4,1,
           5,1,
           6,1,0)</f>
        <v>0</v>
      </c>
      <c r="AH676" s="145" t="s">
        <v>1545</v>
      </c>
      <c r="AI676" s="90">
        <v>0</v>
      </c>
      <c r="AJ676" s="90">
        <v>0</v>
      </c>
      <c r="AK676" s="27">
        <v>0</v>
      </c>
      <c r="AL676" s="123">
        <f>_xlfn.XLOOKUP(H676,'#각종 참고'!$B$11:$B$20,'#각종 참고'!$D$11:$D$20)</f>
        <v>0</v>
      </c>
      <c r="AM676" s="27">
        <v>1</v>
      </c>
      <c r="AN676" s="27">
        <v>0</v>
      </c>
      <c r="AO676" s="124">
        <f t="shared" si="508"/>
        <v>1</v>
      </c>
      <c r="AP676" s="27">
        <v>0</v>
      </c>
      <c r="AQ676" s="21">
        <v>14111002</v>
      </c>
    </row>
    <row r="677" spans="1:43" x14ac:dyDescent="0.3">
      <c r="A677" s="19"/>
      <c r="B677" s="20">
        <v>11112010</v>
      </c>
      <c r="C677" s="100">
        <v>1</v>
      </c>
      <c r="D677" s="121">
        <f>COUNTIFS($F$33:F677,F677, $G$33:G677,G677, $C$33:C677,C677, $L$33:L677,L677)</f>
        <v>4</v>
      </c>
      <c r="E677" s="20">
        <v>1</v>
      </c>
      <c r="F677" s="20">
        <v>2</v>
      </c>
      <c r="G677" s="20">
        <v>1</v>
      </c>
      <c r="H677" s="103" t="s">
        <v>961</v>
      </c>
      <c r="I677" s="20" t="s">
        <v>1930</v>
      </c>
      <c r="J677" s="104" t="str">
        <f t="shared" si="513"/>
        <v>Item_Name_11112010</v>
      </c>
      <c r="K677" s="20">
        <v>10101001</v>
      </c>
      <c r="L677" s="20">
        <v>1</v>
      </c>
      <c r="M677" s="105">
        <f>IF(D677=0, 0, _xlfn.XLOOKUP($F677,'#무게관련'!$B:$B,'#무게관련'!$C:$C)*_xlfn.XLOOKUP($L677,'#무게관련'!$F:$F,'#무게관련'!$G:$G)*100)</f>
        <v>6000</v>
      </c>
      <c r="N677" s="20">
        <v>0</v>
      </c>
      <c r="O677" s="20">
        <v>1</v>
      </c>
      <c r="P677" s="20">
        <v>15</v>
      </c>
      <c r="Q677" s="20">
        <v>1</v>
      </c>
      <c r="R677" s="20">
        <v>100</v>
      </c>
      <c r="S677" s="20">
        <v>1</v>
      </c>
      <c r="T677" s="20" t="s">
        <v>1859</v>
      </c>
      <c r="U677" s="104" t="s">
        <v>171</v>
      </c>
      <c r="V677" s="20" t="s">
        <v>321</v>
      </c>
      <c r="W677" s="20" t="s">
        <v>400</v>
      </c>
      <c r="X677" s="104">
        <v>0</v>
      </c>
      <c r="Y677" s="104">
        <v>0</v>
      </c>
      <c r="Z677" s="104">
        <v>0</v>
      </c>
      <c r="AA677" s="104">
        <v>0</v>
      </c>
      <c r="AB677" s="104">
        <v>0</v>
      </c>
      <c r="AC677" s="104">
        <v>0</v>
      </c>
      <c r="AD677" s="142">
        <v>0</v>
      </c>
      <c r="AE677" s="31">
        <v>10</v>
      </c>
      <c r="AF677" s="70">
        <v>1102010</v>
      </c>
      <c r="AG677" s="105" cm="1">
        <f t="array" ref="AG677">_xlfn.SWITCH(L677,3,1,
           4,1,
           5,1,
           6,1,0)</f>
        <v>0</v>
      </c>
      <c r="AH677" s="145" t="s">
        <v>1546</v>
      </c>
      <c r="AI677" s="90">
        <v>0</v>
      </c>
      <c r="AJ677" s="90">
        <v>0</v>
      </c>
      <c r="AK677" s="27">
        <v>0</v>
      </c>
      <c r="AL677" s="123">
        <f>_xlfn.XLOOKUP(H677,'#각종 참고'!$B$11:$B$20,'#각종 참고'!$D$11:$D$20)</f>
        <v>0</v>
      </c>
      <c r="AM677" s="27">
        <v>1</v>
      </c>
      <c r="AN677" s="27">
        <v>0</v>
      </c>
      <c r="AO677" s="124">
        <f t="shared" si="508"/>
        <v>1</v>
      </c>
      <c r="AP677" s="27">
        <v>0</v>
      </c>
      <c r="AQ677" s="21">
        <v>11112002</v>
      </c>
    </row>
    <row r="678" spans="1:43" x14ac:dyDescent="0.3">
      <c r="A678" s="19"/>
      <c r="B678" s="20">
        <v>12112010</v>
      </c>
      <c r="C678" s="100">
        <v>2</v>
      </c>
      <c r="D678" s="121">
        <f>COUNTIFS($F$33:F678,F678, $G$33:G678,G678, $C$33:C678,C678, $L$33:L678,L678)</f>
        <v>4</v>
      </c>
      <c r="E678" s="20">
        <v>1</v>
      </c>
      <c r="F678" s="20">
        <v>2</v>
      </c>
      <c r="G678" s="20">
        <v>1</v>
      </c>
      <c r="H678" s="103" t="s">
        <v>961</v>
      </c>
      <c r="I678" s="20" t="s">
        <v>1931</v>
      </c>
      <c r="J678" s="104" t="str">
        <f t="shared" si="513"/>
        <v>Item_Name_12112010</v>
      </c>
      <c r="K678" s="20">
        <v>10102001</v>
      </c>
      <c r="L678" s="20">
        <v>1</v>
      </c>
      <c r="M678" s="105">
        <f>IF(D678=0, 0, _xlfn.XLOOKUP($F678,'#무게관련'!$B:$B,'#무게관련'!$C:$C)*_xlfn.XLOOKUP($L678,'#무게관련'!$F:$F,'#무게관련'!$G:$G)*100)</f>
        <v>6000</v>
      </c>
      <c r="N678" s="20">
        <v>0</v>
      </c>
      <c r="O678" s="20">
        <v>2</v>
      </c>
      <c r="P678" s="20">
        <v>15</v>
      </c>
      <c r="Q678" s="20">
        <v>1</v>
      </c>
      <c r="R678" s="20">
        <v>100</v>
      </c>
      <c r="S678" s="20">
        <v>1</v>
      </c>
      <c r="T678" s="20" t="s">
        <v>1859</v>
      </c>
      <c r="U678" s="104" t="s">
        <v>171</v>
      </c>
      <c r="V678" s="20" t="s">
        <v>321</v>
      </c>
      <c r="W678" s="20" t="s">
        <v>400</v>
      </c>
      <c r="X678" s="104">
        <v>0</v>
      </c>
      <c r="Y678" s="104">
        <v>0</v>
      </c>
      <c r="Z678" s="104">
        <v>0</v>
      </c>
      <c r="AA678" s="104">
        <v>0</v>
      </c>
      <c r="AB678" s="104">
        <v>0</v>
      </c>
      <c r="AC678" s="104">
        <v>0</v>
      </c>
      <c r="AD678" s="142">
        <v>0</v>
      </c>
      <c r="AE678" s="31">
        <v>10</v>
      </c>
      <c r="AF678" s="70">
        <v>2102010</v>
      </c>
      <c r="AG678" s="105" cm="1">
        <f t="array" ref="AG678">_xlfn.SWITCH(L678,3,1,
           4,1,
           5,1,
           6,1,0)</f>
        <v>0</v>
      </c>
      <c r="AH678" s="145" t="s">
        <v>1546</v>
      </c>
      <c r="AI678" s="90">
        <v>0</v>
      </c>
      <c r="AJ678" s="90">
        <v>0</v>
      </c>
      <c r="AK678" s="27">
        <v>0</v>
      </c>
      <c r="AL678" s="123">
        <f>_xlfn.XLOOKUP(H678,'#각종 참고'!$B$11:$B$20,'#각종 참고'!$D$11:$D$20)</f>
        <v>0</v>
      </c>
      <c r="AM678" s="27">
        <v>1</v>
      </c>
      <c r="AN678" s="27">
        <v>0</v>
      </c>
      <c r="AO678" s="124">
        <f t="shared" si="508"/>
        <v>1</v>
      </c>
      <c r="AP678" s="27">
        <v>0</v>
      </c>
      <c r="AQ678" s="21">
        <v>12112002</v>
      </c>
    </row>
    <row r="679" spans="1:43" x14ac:dyDescent="0.3">
      <c r="A679" s="19"/>
      <c r="B679" s="20">
        <v>13112010</v>
      </c>
      <c r="C679" s="100">
        <v>3</v>
      </c>
      <c r="D679" s="121">
        <f>COUNTIFS($F$33:F679,F679, $G$33:G679,G679, $C$33:C679,C679, $L$33:L679,L679)</f>
        <v>4</v>
      </c>
      <c r="E679" s="20">
        <v>1</v>
      </c>
      <c r="F679" s="20">
        <v>2</v>
      </c>
      <c r="G679" s="20">
        <v>1</v>
      </c>
      <c r="H679" s="103" t="s">
        <v>961</v>
      </c>
      <c r="I679" s="20" t="s">
        <v>1932</v>
      </c>
      <c r="J679" s="104" t="str">
        <f t="shared" si="513"/>
        <v>Item_Name_13112010</v>
      </c>
      <c r="K679" s="20">
        <v>10103001</v>
      </c>
      <c r="L679" s="20">
        <v>1</v>
      </c>
      <c r="M679" s="105">
        <f>IF(D679=0, 0, _xlfn.XLOOKUP($F679,'#무게관련'!$B:$B,'#무게관련'!$C:$C)*_xlfn.XLOOKUP($L679,'#무게관련'!$F:$F,'#무게관련'!$G:$G)*100)</f>
        <v>6000</v>
      </c>
      <c r="N679" s="20">
        <v>0</v>
      </c>
      <c r="O679" s="20">
        <v>3</v>
      </c>
      <c r="P679" s="20">
        <v>15</v>
      </c>
      <c r="Q679" s="20">
        <v>1</v>
      </c>
      <c r="R679" s="20">
        <v>100</v>
      </c>
      <c r="S679" s="20">
        <v>1</v>
      </c>
      <c r="T679" s="20" t="s">
        <v>1859</v>
      </c>
      <c r="U679" s="104" t="s">
        <v>171</v>
      </c>
      <c r="V679" s="20" t="s">
        <v>321</v>
      </c>
      <c r="W679" s="20" t="s">
        <v>400</v>
      </c>
      <c r="X679" s="104">
        <v>0</v>
      </c>
      <c r="Y679" s="104">
        <v>0</v>
      </c>
      <c r="Z679" s="104">
        <v>0</v>
      </c>
      <c r="AA679" s="104">
        <v>0</v>
      </c>
      <c r="AB679" s="104">
        <v>0</v>
      </c>
      <c r="AC679" s="104">
        <v>0</v>
      </c>
      <c r="AD679" s="142">
        <v>0</v>
      </c>
      <c r="AE679" s="31">
        <v>10</v>
      </c>
      <c r="AF679" s="70">
        <v>3102010</v>
      </c>
      <c r="AG679" s="105" cm="1">
        <f t="array" ref="AG679">_xlfn.SWITCH(L679,3,1,
           4,1,
           5,1,
           6,1,0)</f>
        <v>0</v>
      </c>
      <c r="AH679" s="145" t="s">
        <v>1546</v>
      </c>
      <c r="AI679" s="90">
        <v>0</v>
      </c>
      <c r="AJ679" s="90">
        <v>0</v>
      </c>
      <c r="AK679" s="27">
        <v>0</v>
      </c>
      <c r="AL679" s="123">
        <f>_xlfn.XLOOKUP(H679,'#각종 참고'!$B$11:$B$20,'#각종 참고'!$D$11:$D$20)</f>
        <v>0</v>
      </c>
      <c r="AM679" s="27">
        <v>1</v>
      </c>
      <c r="AN679" s="27">
        <v>0</v>
      </c>
      <c r="AO679" s="124">
        <f t="shared" si="508"/>
        <v>1</v>
      </c>
      <c r="AP679" s="27">
        <v>0</v>
      </c>
      <c r="AQ679" s="21">
        <v>13112002</v>
      </c>
    </row>
    <row r="680" spans="1:43" x14ac:dyDescent="0.3">
      <c r="A680" s="19"/>
      <c r="B680" s="20">
        <v>14112010</v>
      </c>
      <c r="C680" s="100">
        <v>4</v>
      </c>
      <c r="D680" s="121">
        <f>COUNTIFS($F$33:F680,F680, $G$33:G680,G680, $C$33:C680,C680, $L$33:L680,L680)</f>
        <v>4</v>
      </c>
      <c r="E680" s="20">
        <v>1</v>
      </c>
      <c r="F680" s="20">
        <v>2</v>
      </c>
      <c r="G680" s="20">
        <v>1</v>
      </c>
      <c r="H680" s="103" t="s">
        <v>961</v>
      </c>
      <c r="I680" s="20" t="s">
        <v>1933</v>
      </c>
      <c r="J680" s="104" t="str">
        <f t="shared" si="513"/>
        <v>Item_Name_14112010</v>
      </c>
      <c r="K680" s="20">
        <v>10104001</v>
      </c>
      <c r="L680" s="20">
        <v>1</v>
      </c>
      <c r="M680" s="105">
        <f>IF(D680=0, 0, _xlfn.XLOOKUP($F680,'#무게관련'!$B:$B,'#무게관련'!$C:$C)*_xlfn.XLOOKUP($L680,'#무게관련'!$F:$F,'#무게관련'!$G:$G)*100)</f>
        <v>6000</v>
      </c>
      <c r="N680" s="20">
        <v>0</v>
      </c>
      <c r="O680" s="20">
        <v>4</v>
      </c>
      <c r="P680" s="20">
        <v>15</v>
      </c>
      <c r="Q680" s="20">
        <v>1</v>
      </c>
      <c r="R680" s="20">
        <v>100</v>
      </c>
      <c r="S680" s="20">
        <v>1</v>
      </c>
      <c r="T680" s="20" t="s">
        <v>1859</v>
      </c>
      <c r="U680" s="104" t="s">
        <v>171</v>
      </c>
      <c r="V680" s="20" t="s">
        <v>321</v>
      </c>
      <c r="W680" s="20" t="s">
        <v>400</v>
      </c>
      <c r="X680" s="104">
        <v>0</v>
      </c>
      <c r="Y680" s="104">
        <v>0</v>
      </c>
      <c r="Z680" s="104">
        <v>0</v>
      </c>
      <c r="AA680" s="104">
        <v>0</v>
      </c>
      <c r="AB680" s="104">
        <v>0</v>
      </c>
      <c r="AC680" s="104">
        <v>0</v>
      </c>
      <c r="AD680" s="142">
        <v>0</v>
      </c>
      <c r="AE680" s="31">
        <v>10</v>
      </c>
      <c r="AF680" s="70">
        <v>4102010</v>
      </c>
      <c r="AG680" s="105" cm="1">
        <f t="array" ref="AG680">_xlfn.SWITCH(L680,3,1,
           4,1,
           5,1,
           6,1,0)</f>
        <v>0</v>
      </c>
      <c r="AH680" s="145" t="s">
        <v>1546</v>
      </c>
      <c r="AI680" s="90">
        <v>0</v>
      </c>
      <c r="AJ680" s="90">
        <v>0</v>
      </c>
      <c r="AK680" s="27">
        <v>0</v>
      </c>
      <c r="AL680" s="123">
        <f>_xlfn.XLOOKUP(H680,'#각종 참고'!$B$11:$B$20,'#각종 참고'!$D$11:$D$20)</f>
        <v>0</v>
      </c>
      <c r="AM680" s="27">
        <v>1</v>
      </c>
      <c r="AN680" s="27">
        <v>0</v>
      </c>
      <c r="AO680" s="124">
        <f t="shared" si="508"/>
        <v>1</v>
      </c>
      <c r="AP680" s="27">
        <v>0</v>
      </c>
      <c r="AQ680" s="21">
        <v>14112002</v>
      </c>
    </row>
    <row r="681" spans="1:43" x14ac:dyDescent="0.3">
      <c r="A681" s="19"/>
      <c r="B681" s="20">
        <v>11113010</v>
      </c>
      <c r="C681" s="100">
        <v>1</v>
      </c>
      <c r="D681" s="121">
        <f>COUNTIFS($F$33:F681,F681, $G$33:G681,G681, $C$33:C681,C681, $L$33:L681,L681)</f>
        <v>4</v>
      </c>
      <c r="E681" s="20">
        <v>1</v>
      </c>
      <c r="F681" s="20">
        <v>3</v>
      </c>
      <c r="G681" s="20">
        <v>1</v>
      </c>
      <c r="H681" s="103" t="s">
        <v>962</v>
      </c>
      <c r="I681" s="20" t="s">
        <v>1934</v>
      </c>
      <c r="J681" s="104" t="str">
        <f t="shared" si="513"/>
        <v>Item_Name_11113010</v>
      </c>
      <c r="K681" s="20">
        <v>10101001</v>
      </c>
      <c r="L681" s="20">
        <v>1</v>
      </c>
      <c r="M681" s="105">
        <f>IF(D681=0, 0, _xlfn.XLOOKUP($F681,'#무게관련'!$B:$B,'#무게관련'!$C:$C)*_xlfn.XLOOKUP($L681,'#무게관련'!$F:$F,'#무게관련'!$G:$G)*100)</f>
        <v>10000</v>
      </c>
      <c r="N681" s="20">
        <v>0</v>
      </c>
      <c r="O681" s="20">
        <v>1</v>
      </c>
      <c r="P681" s="20">
        <v>15</v>
      </c>
      <c r="Q681" s="20">
        <v>1</v>
      </c>
      <c r="R681" s="20">
        <v>100</v>
      </c>
      <c r="S681" s="20">
        <v>1</v>
      </c>
      <c r="T681" s="20" t="s">
        <v>1864</v>
      </c>
      <c r="U681" s="104" t="s">
        <v>171</v>
      </c>
      <c r="V681" s="20" t="s">
        <v>322</v>
      </c>
      <c r="W681" s="20" t="s">
        <v>400</v>
      </c>
      <c r="X681" s="104">
        <v>0</v>
      </c>
      <c r="Y681" s="104">
        <v>0</v>
      </c>
      <c r="Z681" s="104">
        <v>0</v>
      </c>
      <c r="AA681" s="104">
        <v>0</v>
      </c>
      <c r="AB681" s="104">
        <v>0</v>
      </c>
      <c r="AC681" s="104">
        <v>0</v>
      </c>
      <c r="AD681" s="142">
        <v>0</v>
      </c>
      <c r="AE681" s="31">
        <v>10</v>
      </c>
      <c r="AF681" s="70">
        <v>1103010</v>
      </c>
      <c r="AG681" s="105" cm="1">
        <f t="array" ref="AG681">_xlfn.SWITCH(L681,3,1,
           4,1,
           5,1,
           6,1,0)</f>
        <v>0</v>
      </c>
      <c r="AH681" s="145" t="s">
        <v>1546</v>
      </c>
      <c r="AI681" s="90">
        <v>0</v>
      </c>
      <c r="AJ681" s="90">
        <v>0</v>
      </c>
      <c r="AK681" s="27">
        <v>0</v>
      </c>
      <c r="AL681" s="123">
        <f>_xlfn.XLOOKUP(H681,'#각종 참고'!$B$11:$B$20,'#각종 참고'!$D$11:$D$20)</f>
        <v>0</v>
      </c>
      <c r="AM681" s="27">
        <v>1</v>
      </c>
      <c r="AN681" s="27">
        <v>0</v>
      </c>
      <c r="AO681" s="124">
        <f t="shared" si="508"/>
        <v>1</v>
      </c>
      <c r="AP681" s="27">
        <v>0</v>
      </c>
      <c r="AQ681" s="21">
        <v>11113002</v>
      </c>
    </row>
    <row r="682" spans="1:43" x14ac:dyDescent="0.3">
      <c r="A682" s="19"/>
      <c r="B682" s="20">
        <v>12113010</v>
      </c>
      <c r="C682" s="100">
        <v>2</v>
      </c>
      <c r="D682" s="121">
        <f>COUNTIFS($F$33:F682,F682, $G$33:G682,G682, $C$33:C682,C682, $L$33:L682,L682)</f>
        <v>4</v>
      </c>
      <c r="E682" s="20">
        <v>1</v>
      </c>
      <c r="F682" s="20">
        <v>3</v>
      </c>
      <c r="G682" s="20">
        <v>1</v>
      </c>
      <c r="H682" s="103" t="s">
        <v>962</v>
      </c>
      <c r="I682" s="20" t="s">
        <v>1935</v>
      </c>
      <c r="J682" s="104" t="str">
        <f t="shared" si="513"/>
        <v>Item_Name_12113010</v>
      </c>
      <c r="K682" s="20">
        <v>10102001</v>
      </c>
      <c r="L682" s="20">
        <v>1</v>
      </c>
      <c r="M682" s="105">
        <f>IF(D682=0, 0, _xlfn.XLOOKUP($F682,'#무게관련'!$B:$B,'#무게관련'!$C:$C)*_xlfn.XLOOKUP($L682,'#무게관련'!$F:$F,'#무게관련'!$G:$G)*100)</f>
        <v>10000</v>
      </c>
      <c r="N682" s="20">
        <v>0</v>
      </c>
      <c r="O682" s="20">
        <v>2</v>
      </c>
      <c r="P682" s="20">
        <v>15</v>
      </c>
      <c r="Q682" s="20">
        <v>1</v>
      </c>
      <c r="R682" s="20">
        <v>100</v>
      </c>
      <c r="S682" s="20">
        <v>1</v>
      </c>
      <c r="T682" s="20" t="s">
        <v>1864</v>
      </c>
      <c r="U682" s="104" t="s">
        <v>171</v>
      </c>
      <c r="V682" s="20" t="s">
        <v>322</v>
      </c>
      <c r="W682" s="20" t="s">
        <v>400</v>
      </c>
      <c r="X682" s="104">
        <v>0</v>
      </c>
      <c r="Y682" s="104">
        <v>0</v>
      </c>
      <c r="Z682" s="104">
        <v>0</v>
      </c>
      <c r="AA682" s="104">
        <v>0</v>
      </c>
      <c r="AB682" s="104">
        <v>0</v>
      </c>
      <c r="AC682" s="104">
        <v>0</v>
      </c>
      <c r="AD682" s="142">
        <v>0</v>
      </c>
      <c r="AE682" s="31">
        <v>10</v>
      </c>
      <c r="AF682" s="70">
        <v>2103010</v>
      </c>
      <c r="AG682" s="105" cm="1">
        <f t="array" ref="AG682">_xlfn.SWITCH(L682,3,1,
           4,1,
           5,1,
           6,1,0)</f>
        <v>0</v>
      </c>
      <c r="AH682" s="145" t="s">
        <v>1546</v>
      </c>
      <c r="AI682" s="90">
        <v>0</v>
      </c>
      <c r="AJ682" s="90">
        <v>0</v>
      </c>
      <c r="AK682" s="27">
        <v>0</v>
      </c>
      <c r="AL682" s="123">
        <f>_xlfn.XLOOKUP(H682,'#각종 참고'!$B$11:$B$20,'#각종 참고'!$D$11:$D$20)</f>
        <v>0</v>
      </c>
      <c r="AM682" s="27">
        <v>1</v>
      </c>
      <c r="AN682" s="27">
        <v>0</v>
      </c>
      <c r="AO682" s="124">
        <f t="shared" si="508"/>
        <v>1</v>
      </c>
      <c r="AP682" s="27">
        <v>0</v>
      </c>
      <c r="AQ682" s="21">
        <v>12113002</v>
      </c>
    </row>
    <row r="683" spans="1:43" x14ac:dyDescent="0.3">
      <c r="A683" s="19"/>
      <c r="B683" s="20">
        <v>13113010</v>
      </c>
      <c r="C683" s="100">
        <v>3</v>
      </c>
      <c r="D683" s="121">
        <f>COUNTIFS($F$33:F683,F683, $G$33:G683,G683, $C$33:C683,C683, $L$33:L683,L683)</f>
        <v>4</v>
      </c>
      <c r="E683" s="20">
        <v>1</v>
      </c>
      <c r="F683" s="20">
        <v>3</v>
      </c>
      <c r="G683" s="20">
        <v>1</v>
      </c>
      <c r="H683" s="103" t="s">
        <v>962</v>
      </c>
      <c r="I683" s="20" t="s">
        <v>1936</v>
      </c>
      <c r="J683" s="104" t="str">
        <f t="shared" si="513"/>
        <v>Item_Name_13113010</v>
      </c>
      <c r="K683" s="20">
        <v>10103001</v>
      </c>
      <c r="L683" s="20">
        <v>1</v>
      </c>
      <c r="M683" s="105">
        <f>IF(D683=0, 0, _xlfn.XLOOKUP($F683,'#무게관련'!$B:$B,'#무게관련'!$C:$C)*_xlfn.XLOOKUP($L683,'#무게관련'!$F:$F,'#무게관련'!$G:$G)*100)</f>
        <v>10000</v>
      </c>
      <c r="N683" s="20">
        <v>0</v>
      </c>
      <c r="O683" s="20">
        <v>3</v>
      </c>
      <c r="P683" s="20">
        <v>15</v>
      </c>
      <c r="Q683" s="20">
        <v>1</v>
      </c>
      <c r="R683" s="20">
        <v>100</v>
      </c>
      <c r="S683" s="20">
        <v>1</v>
      </c>
      <c r="T683" s="20" t="s">
        <v>1864</v>
      </c>
      <c r="U683" s="104" t="s">
        <v>171</v>
      </c>
      <c r="V683" s="20" t="s">
        <v>322</v>
      </c>
      <c r="W683" s="20" t="s">
        <v>400</v>
      </c>
      <c r="X683" s="104">
        <v>0</v>
      </c>
      <c r="Y683" s="104">
        <v>0</v>
      </c>
      <c r="Z683" s="104">
        <v>0</v>
      </c>
      <c r="AA683" s="104">
        <v>0</v>
      </c>
      <c r="AB683" s="104">
        <v>0</v>
      </c>
      <c r="AC683" s="104">
        <v>0</v>
      </c>
      <c r="AD683" s="142">
        <v>0</v>
      </c>
      <c r="AE683" s="31">
        <v>10</v>
      </c>
      <c r="AF683" s="70">
        <v>3103010</v>
      </c>
      <c r="AG683" s="105" cm="1">
        <f t="array" ref="AG683">_xlfn.SWITCH(L683,3,1,
           4,1,
           5,1,
           6,1,0)</f>
        <v>0</v>
      </c>
      <c r="AH683" s="145" t="s">
        <v>1546</v>
      </c>
      <c r="AI683" s="90">
        <v>0</v>
      </c>
      <c r="AJ683" s="90">
        <v>0</v>
      </c>
      <c r="AK683" s="27">
        <v>0</v>
      </c>
      <c r="AL683" s="123">
        <f>_xlfn.XLOOKUP(H683,'#각종 참고'!$B$11:$B$20,'#각종 참고'!$D$11:$D$20)</f>
        <v>0</v>
      </c>
      <c r="AM683" s="27">
        <v>1</v>
      </c>
      <c r="AN683" s="27">
        <v>0</v>
      </c>
      <c r="AO683" s="124">
        <f t="shared" si="508"/>
        <v>1</v>
      </c>
      <c r="AP683" s="27">
        <v>0</v>
      </c>
      <c r="AQ683" s="21">
        <v>13113002</v>
      </c>
    </row>
    <row r="684" spans="1:43" x14ac:dyDescent="0.3">
      <c r="A684" s="19"/>
      <c r="B684" s="20">
        <v>14113010</v>
      </c>
      <c r="C684" s="100">
        <v>4</v>
      </c>
      <c r="D684" s="121">
        <f>COUNTIFS($F$33:F684,F684, $G$33:G684,G684, $C$33:C684,C684, $L$33:L684,L684)</f>
        <v>4</v>
      </c>
      <c r="E684" s="20">
        <v>1</v>
      </c>
      <c r="F684" s="20">
        <v>3</v>
      </c>
      <c r="G684" s="20">
        <v>1</v>
      </c>
      <c r="H684" s="103" t="s">
        <v>962</v>
      </c>
      <c r="I684" s="20" t="s">
        <v>1937</v>
      </c>
      <c r="J684" s="104" t="str">
        <f t="shared" si="513"/>
        <v>Item_Name_14113010</v>
      </c>
      <c r="K684" s="20">
        <v>10104001</v>
      </c>
      <c r="L684" s="20">
        <v>1</v>
      </c>
      <c r="M684" s="105">
        <f>IF(D684=0, 0, _xlfn.XLOOKUP($F684,'#무게관련'!$B:$B,'#무게관련'!$C:$C)*_xlfn.XLOOKUP($L684,'#무게관련'!$F:$F,'#무게관련'!$G:$G)*100)</f>
        <v>10000</v>
      </c>
      <c r="N684" s="20">
        <v>0</v>
      </c>
      <c r="O684" s="20">
        <v>4</v>
      </c>
      <c r="P684" s="20">
        <v>15</v>
      </c>
      <c r="Q684" s="20">
        <v>1</v>
      </c>
      <c r="R684" s="20">
        <v>100</v>
      </c>
      <c r="S684" s="20">
        <v>1</v>
      </c>
      <c r="T684" s="20" t="s">
        <v>1864</v>
      </c>
      <c r="U684" s="104" t="s">
        <v>171</v>
      </c>
      <c r="V684" s="20" t="s">
        <v>322</v>
      </c>
      <c r="W684" s="20" t="s">
        <v>400</v>
      </c>
      <c r="X684" s="104">
        <v>0</v>
      </c>
      <c r="Y684" s="104">
        <v>0</v>
      </c>
      <c r="Z684" s="104">
        <v>0</v>
      </c>
      <c r="AA684" s="104">
        <v>0</v>
      </c>
      <c r="AB684" s="104">
        <v>0</v>
      </c>
      <c r="AC684" s="104">
        <v>0</v>
      </c>
      <c r="AD684" s="142">
        <v>0</v>
      </c>
      <c r="AE684" s="31">
        <v>10</v>
      </c>
      <c r="AF684" s="70">
        <v>4103010</v>
      </c>
      <c r="AG684" s="105" cm="1">
        <f t="array" ref="AG684">_xlfn.SWITCH(L684,3,1,
           4,1,
           5,1,
           6,1,0)</f>
        <v>0</v>
      </c>
      <c r="AH684" s="145" t="s">
        <v>1546</v>
      </c>
      <c r="AI684" s="90">
        <v>0</v>
      </c>
      <c r="AJ684" s="90">
        <v>0</v>
      </c>
      <c r="AK684" s="27">
        <v>0</v>
      </c>
      <c r="AL684" s="123">
        <f>_xlfn.XLOOKUP(H684,'#각종 참고'!$B$11:$B$20,'#각종 참고'!$D$11:$D$20)</f>
        <v>0</v>
      </c>
      <c r="AM684" s="27">
        <v>1</v>
      </c>
      <c r="AN684" s="27">
        <v>0</v>
      </c>
      <c r="AO684" s="124">
        <f t="shared" ref="AO684:AO709" si="518">IF(AM684=1,AM684,AL684)</f>
        <v>1</v>
      </c>
      <c r="AP684" s="27">
        <v>0</v>
      </c>
      <c r="AQ684" s="21">
        <v>14113002</v>
      </c>
    </row>
    <row r="685" spans="1:43" x14ac:dyDescent="0.3">
      <c r="A685" s="19"/>
      <c r="B685" s="20">
        <v>11114010</v>
      </c>
      <c r="C685" s="100">
        <v>1</v>
      </c>
      <c r="D685" s="121">
        <f>COUNTIFS($F$33:F685,F685, $G$33:G685,G685, $C$33:C685,C685, $L$33:L685,L685)</f>
        <v>4</v>
      </c>
      <c r="E685" s="20">
        <v>1</v>
      </c>
      <c r="F685" s="20">
        <v>4</v>
      </c>
      <c r="G685" s="20">
        <v>1</v>
      </c>
      <c r="H685" s="103" t="s">
        <v>963</v>
      </c>
      <c r="I685" s="20" t="s">
        <v>1938</v>
      </c>
      <c r="J685" s="104" t="str">
        <f t="shared" si="513"/>
        <v>Item_Name_11114010</v>
      </c>
      <c r="K685" s="20">
        <v>10101001</v>
      </c>
      <c r="L685" s="20">
        <v>1</v>
      </c>
      <c r="M685" s="105">
        <f>IF(D685=0, 0, _xlfn.XLOOKUP($F685,'#무게관련'!$B:$B,'#무게관련'!$C:$C)*_xlfn.XLOOKUP($L685,'#무게관련'!$F:$F,'#무게관련'!$G:$G)*100)</f>
        <v>6000</v>
      </c>
      <c r="N685" s="20">
        <v>0</v>
      </c>
      <c r="O685" s="20">
        <v>1</v>
      </c>
      <c r="P685" s="20">
        <v>15</v>
      </c>
      <c r="Q685" s="20">
        <v>1</v>
      </c>
      <c r="R685" s="20">
        <v>100</v>
      </c>
      <c r="S685" s="20">
        <v>1</v>
      </c>
      <c r="T685" s="20" t="s">
        <v>1869</v>
      </c>
      <c r="U685" s="104" t="s">
        <v>171</v>
      </c>
      <c r="V685" s="20" t="s">
        <v>323</v>
      </c>
      <c r="W685" s="20" t="s">
        <v>331</v>
      </c>
      <c r="X685" s="104">
        <v>0</v>
      </c>
      <c r="Y685" s="104">
        <v>0</v>
      </c>
      <c r="Z685" s="104">
        <v>0</v>
      </c>
      <c r="AA685" s="104">
        <v>0</v>
      </c>
      <c r="AB685" s="104">
        <v>0</v>
      </c>
      <c r="AC685" s="104">
        <v>0</v>
      </c>
      <c r="AD685" s="142">
        <v>0</v>
      </c>
      <c r="AE685" s="31">
        <v>10</v>
      </c>
      <c r="AF685" s="70">
        <v>1104010</v>
      </c>
      <c r="AG685" s="105" cm="1">
        <f t="array" ref="AG685">_xlfn.SWITCH(L685,3,1,
           4,1,
           5,1,
           6,1,0)</f>
        <v>0</v>
      </c>
      <c r="AH685" s="145">
        <v>80101101</v>
      </c>
      <c r="AI685" s="90">
        <v>0</v>
      </c>
      <c r="AJ685" s="90">
        <v>0</v>
      </c>
      <c r="AK685" s="27">
        <v>0</v>
      </c>
      <c r="AL685" s="123">
        <f>_xlfn.XLOOKUP(H685,'#각종 참고'!$B$11:$B$20,'#각종 참고'!$D$11:$D$20)</f>
        <v>0</v>
      </c>
      <c r="AM685" s="27">
        <v>1</v>
      </c>
      <c r="AN685" s="27">
        <v>0</v>
      </c>
      <c r="AO685" s="124">
        <f t="shared" si="518"/>
        <v>1</v>
      </c>
      <c r="AP685" s="27">
        <v>0</v>
      </c>
      <c r="AQ685" s="21">
        <v>11114002</v>
      </c>
    </row>
    <row r="686" spans="1:43" x14ac:dyDescent="0.3">
      <c r="A686" s="19"/>
      <c r="B686" s="20">
        <v>12114010</v>
      </c>
      <c r="C686" s="100">
        <v>2</v>
      </c>
      <c r="D686" s="121">
        <f>COUNTIFS($F$33:F686,F686, $G$33:G686,G686, $C$33:C686,C686, $L$33:L686,L686)</f>
        <v>4</v>
      </c>
      <c r="E686" s="20">
        <v>1</v>
      </c>
      <c r="F686" s="20">
        <v>4</v>
      </c>
      <c r="G686" s="20">
        <v>1</v>
      </c>
      <c r="H686" s="103" t="s">
        <v>963</v>
      </c>
      <c r="I686" s="20" t="s">
        <v>1939</v>
      </c>
      <c r="J686" s="104" t="str">
        <f t="shared" si="513"/>
        <v>Item_Name_12114010</v>
      </c>
      <c r="K686" s="20">
        <v>10102001</v>
      </c>
      <c r="L686" s="20">
        <v>1</v>
      </c>
      <c r="M686" s="105">
        <f>IF(D686=0, 0, _xlfn.XLOOKUP($F686,'#무게관련'!$B:$B,'#무게관련'!$C:$C)*_xlfn.XLOOKUP($L686,'#무게관련'!$F:$F,'#무게관련'!$G:$G)*100)</f>
        <v>6000</v>
      </c>
      <c r="N686" s="20">
        <v>0</v>
      </c>
      <c r="O686" s="20">
        <v>2</v>
      </c>
      <c r="P686" s="20">
        <v>15</v>
      </c>
      <c r="Q686" s="20">
        <v>1</v>
      </c>
      <c r="R686" s="20">
        <v>100</v>
      </c>
      <c r="S686" s="20">
        <v>1</v>
      </c>
      <c r="T686" s="20" t="s">
        <v>1869</v>
      </c>
      <c r="U686" s="104" t="s">
        <v>171</v>
      </c>
      <c r="V686" s="20" t="s">
        <v>324</v>
      </c>
      <c r="W686" s="20" t="s">
        <v>331</v>
      </c>
      <c r="X686" s="104">
        <v>0</v>
      </c>
      <c r="Y686" s="104">
        <v>0</v>
      </c>
      <c r="Z686" s="104">
        <v>0</v>
      </c>
      <c r="AA686" s="104">
        <v>0</v>
      </c>
      <c r="AB686" s="104">
        <v>0</v>
      </c>
      <c r="AC686" s="104">
        <v>0</v>
      </c>
      <c r="AD686" s="142">
        <v>0</v>
      </c>
      <c r="AE686" s="31">
        <v>10</v>
      </c>
      <c r="AF686" s="70">
        <v>2104010</v>
      </c>
      <c r="AG686" s="105" cm="1">
        <f t="array" ref="AG686">_xlfn.SWITCH(L686,3,1,
           4,1,
           5,1,
           6,1,0)</f>
        <v>0</v>
      </c>
      <c r="AH686" s="145">
        <v>80101101</v>
      </c>
      <c r="AI686" s="90">
        <v>0</v>
      </c>
      <c r="AJ686" s="90">
        <v>0</v>
      </c>
      <c r="AK686" s="27">
        <v>0</v>
      </c>
      <c r="AL686" s="123">
        <f>_xlfn.XLOOKUP(H686,'#각종 참고'!$B$11:$B$20,'#각종 참고'!$D$11:$D$20)</f>
        <v>0</v>
      </c>
      <c r="AM686" s="27">
        <v>1</v>
      </c>
      <c r="AN686" s="27">
        <v>0</v>
      </c>
      <c r="AO686" s="124">
        <f t="shared" si="518"/>
        <v>1</v>
      </c>
      <c r="AP686" s="27">
        <v>0</v>
      </c>
      <c r="AQ686" s="21">
        <v>12114002</v>
      </c>
    </row>
    <row r="687" spans="1:43" x14ac:dyDescent="0.3">
      <c r="A687" s="19"/>
      <c r="B687" s="20">
        <v>13114010</v>
      </c>
      <c r="C687" s="100">
        <v>3</v>
      </c>
      <c r="D687" s="121">
        <f>COUNTIFS($F$33:F687,F687, $G$33:G687,G687, $C$33:C687,C687, $L$33:L687,L687)</f>
        <v>4</v>
      </c>
      <c r="E687" s="20">
        <v>1</v>
      </c>
      <c r="F687" s="20">
        <v>4</v>
      </c>
      <c r="G687" s="20">
        <v>1</v>
      </c>
      <c r="H687" s="103" t="s">
        <v>963</v>
      </c>
      <c r="I687" s="20" t="s">
        <v>1940</v>
      </c>
      <c r="J687" s="104" t="str">
        <f t="shared" si="513"/>
        <v>Item_Name_13114010</v>
      </c>
      <c r="K687" s="20">
        <v>10103001</v>
      </c>
      <c r="L687" s="20">
        <v>1</v>
      </c>
      <c r="M687" s="105">
        <f>IF(D687=0, 0, _xlfn.XLOOKUP($F687,'#무게관련'!$B:$B,'#무게관련'!$C:$C)*_xlfn.XLOOKUP($L687,'#무게관련'!$F:$F,'#무게관련'!$G:$G)*100)</f>
        <v>6000</v>
      </c>
      <c r="N687" s="20">
        <v>0</v>
      </c>
      <c r="O687" s="20">
        <v>3</v>
      </c>
      <c r="P687" s="20">
        <v>15</v>
      </c>
      <c r="Q687" s="20">
        <v>1</v>
      </c>
      <c r="R687" s="20">
        <v>100</v>
      </c>
      <c r="S687" s="20">
        <v>1</v>
      </c>
      <c r="T687" s="20" t="s">
        <v>1869</v>
      </c>
      <c r="U687" s="104" t="s">
        <v>171</v>
      </c>
      <c r="V687" s="20" t="s">
        <v>527</v>
      </c>
      <c r="W687" s="20" t="s">
        <v>331</v>
      </c>
      <c r="X687" s="104">
        <v>0</v>
      </c>
      <c r="Y687" s="104">
        <v>0</v>
      </c>
      <c r="Z687" s="104">
        <v>0</v>
      </c>
      <c r="AA687" s="104">
        <v>0</v>
      </c>
      <c r="AB687" s="104">
        <v>0</v>
      </c>
      <c r="AC687" s="104">
        <v>0</v>
      </c>
      <c r="AD687" s="142">
        <v>0</v>
      </c>
      <c r="AE687" s="31">
        <v>10</v>
      </c>
      <c r="AF687" s="70">
        <v>3104010</v>
      </c>
      <c r="AG687" s="105" cm="1">
        <f t="array" ref="AG687">_xlfn.SWITCH(L687,3,1,
           4,1,
           5,1,
           6,1,0)</f>
        <v>0</v>
      </c>
      <c r="AH687" s="145">
        <v>80101101</v>
      </c>
      <c r="AI687" s="90">
        <v>0</v>
      </c>
      <c r="AJ687" s="90">
        <v>0</v>
      </c>
      <c r="AK687" s="27">
        <v>0</v>
      </c>
      <c r="AL687" s="123">
        <f>_xlfn.XLOOKUP(H687,'#각종 참고'!$B$11:$B$20,'#각종 참고'!$D$11:$D$20)</f>
        <v>0</v>
      </c>
      <c r="AM687" s="27">
        <v>1</v>
      </c>
      <c r="AN687" s="27">
        <v>0</v>
      </c>
      <c r="AO687" s="124">
        <f t="shared" si="518"/>
        <v>1</v>
      </c>
      <c r="AP687" s="27">
        <v>0</v>
      </c>
      <c r="AQ687" s="21">
        <v>13114002</v>
      </c>
    </row>
    <row r="688" spans="1:43" x14ac:dyDescent="0.3">
      <c r="A688" s="19"/>
      <c r="B688" s="20">
        <v>14114010</v>
      </c>
      <c r="C688" s="100">
        <v>4</v>
      </c>
      <c r="D688" s="121">
        <f>COUNTIFS($F$33:F688,F688, $G$33:G688,G688, $C$33:C688,C688, $L$33:L688,L688)</f>
        <v>4</v>
      </c>
      <c r="E688" s="20">
        <v>1</v>
      </c>
      <c r="F688" s="20">
        <v>4</v>
      </c>
      <c r="G688" s="20">
        <v>1</v>
      </c>
      <c r="H688" s="103" t="s">
        <v>963</v>
      </c>
      <c r="I688" s="20" t="s">
        <v>1941</v>
      </c>
      <c r="J688" s="104" t="str">
        <f t="shared" si="513"/>
        <v>Item_Name_14114010</v>
      </c>
      <c r="K688" s="20">
        <v>10104001</v>
      </c>
      <c r="L688" s="20">
        <v>1</v>
      </c>
      <c r="M688" s="105">
        <f>IF(D688=0, 0, _xlfn.XLOOKUP($F688,'#무게관련'!$B:$B,'#무게관련'!$C:$C)*_xlfn.XLOOKUP($L688,'#무게관련'!$F:$F,'#무게관련'!$G:$G)*100)</f>
        <v>6000</v>
      </c>
      <c r="N688" s="20">
        <v>0</v>
      </c>
      <c r="O688" s="20">
        <v>4</v>
      </c>
      <c r="P688" s="20">
        <v>15</v>
      </c>
      <c r="Q688" s="20">
        <v>1</v>
      </c>
      <c r="R688" s="20">
        <v>100</v>
      </c>
      <c r="S688" s="20">
        <v>1</v>
      </c>
      <c r="T688" s="20" t="s">
        <v>1869</v>
      </c>
      <c r="U688" s="104" t="s">
        <v>171</v>
      </c>
      <c r="V688" s="20" t="s">
        <v>528</v>
      </c>
      <c r="W688" s="20" t="s">
        <v>331</v>
      </c>
      <c r="X688" s="104">
        <v>0</v>
      </c>
      <c r="Y688" s="104">
        <v>0</v>
      </c>
      <c r="Z688" s="104">
        <v>0</v>
      </c>
      <c r="AA688" s="104">
        <v>0</v>
      </c>
      <c r="AB688" s="104">
        <v>0</v>
      </c>
      <c r="AC688" s="104">
        <v>0</v>
      </c>
      <c r="AD688" s="142">
        <v>0</v>
      </c>
      <c r="AE688" s="31">
        <v>10</v>
      </c>
      <c r="AF688" s="70">
        <v>4104010</v>
      </c>
      <c r="AG688" s="105" cm="1">
        <f t="array" ref="AG688">_xlfn.SWITCH(L688,3,1,
           4,1,
           5,1,
           6,1,0)</f>
        <v>0</v>
      </c>
      <c r="AH688" s="145">
        <v>80101101</v>
      </c>
      <c r="AI688" s="90">
        <v>0</v>
      </c>
      <c r="AJ688" s="90">
        <v>0</v>
      </c>
      <c r="AK688" s="27">
        <v>0</v>
      </c>
      <c r="AL688" s="123">
        <f>_xlfn.XLOOKUP(H688,'#각종 참고'!$B$11:$B$20,'#각종 참고'!$D$11:$D$20)</f>
        <v>0</v>
      </c>
      <c r="AM688" s="27">
        <v>1</v>
      </c>
      <c r="AN688" s="27">
        <v>0</v>
      </c>
      <c r="AO688" s="124">
        <f t="shared" si="518"/>
        <v>1</v>
      </c>
      <c r="AP688" s="27">
        <v>0</v>
      </c>
      <c r="AQ688" s="21">
        <v>14114002</v>
      </c>
    </row>
    <row r="689" spans="1:43" x14ac:dyDescent="0.3">
      <c r="A689" s="19"/>
      <c r="B689" s="20">
        <v>11115010</v>
      </c>
      <c r="C689" s="100">
        <v>1</v>
      </c>
      <c r="D689" s="121">
        <f>COUNTIFS($F$33:F689,F689, $G$33:G689,G689, $C$33:C689,C689, $L$33:L689,L689)</f>
        <v>4</v>
      </c>
      <c r="E689" s="20">
        <v>1</v>
      </c>
      <c r="F689" s="20">
        <v>5</v>
      </c>
      <c r="G689" s="20">
        <v>1</v>
      </c>
      <c r="H689" s="103" t="s">
        <v>964</v>
      </c>
      <c r="I689" s="20" t="s">
        <v>1942</v>
      </c>
      <c r="J689" s="104" t="str">
        <f t="shared" si="513"/>
        <v>Item_Name_11115010</v>
      </c>
      <c r="K689" s="20">
        <v>10101001</v>
      </c>
      <c r="L689" s="20">
        <v>1</v>
      </c>
      <c r="M689" s="105">
        <f>IF(D689=0, 0, _xlfn.XLOOKUP($F689,'#무게관련'!$B:$B,'#무게관련'!$C:$C)*_xlfn.XLOOKUP($L689,'#무게관련'!$F:$F,'#무게관련'!$G:$G)*100)</f>
        <v>10000</v>
      </c>
      <c r="N689" s="20">
        <v>0</v>
      </c>
      <c r="O689" s="20">
        <v>1</v>
      </c>
      <c r="P689" s="20">
        <v>15</v>
      </c>
      <c r="Q689" s="20">
        <v>1</v>
      </c>
      <c r="R689" s="20">
        <v>100</v>
      </c>
      <c r="S689" s="20">
        <v>1</v>
      </c>
      <c r="T689" s="20" t="s">
        <v>1874</v>
      </c>
      <c r="U689" s="104" t="s">
        <v>171</v>
      </c>
      <c r="V689" s="20" t="s">
        <v>325</v>
      </c>
      <c r="W689" s="20" t="s">
        <v>400</v>
      </c>
      <c r="X689" s="104">
        <v>0</v>
      </c>
      <c r="Y689" s="104">
        <v>0</v>
      </c>
      <c r="Z689" s="104">
        <v>0</v>
      </c>
      <c r="AA689" s="104">
        <v>0</v>
      </c>
      <c r="AB689" s="104">
        <v>0</v>
      </c>
      <c r="AC689" s="104">
        <v>0</v>
      </c>
      <c r="AD689" s="142">
        <v>0</v>
      </c>
      <c r="AE689" s="31">
        <v>10</v>
      </c>
      <c r="AF689" s="70">
        <v>1105010</v>
      </c>
      <c r="AG689" s="105" cm="1">
        <f t="array" ref="AG689">_xlfn.SWITCH(L689,3,1,
           4,1,
           5,1,
           6,1,0)</f>
        <v>0</v>
      </c>
      <c r="AH689" s="145" t="s">
        <v>1546</v>
      </c>
      <c r="AI689" s="90">
        <v>0</v>
      </c>
      <c r="AJ689" s="90">
        <v>0</v>
      </c>
      <c r="AK689" s="27">
        <v>0</v>
      </c>
      <c r="AL689" s="123">
        <f>_xlfn.XLOOKUP(H689,'#각종 참고'!$B$11:$B$20,'#각종 참고'!$D$11:$D$20)</f>
        <v>0</v>
      </c>
      <c r="AM689" s="27">
        <v>1</v>
      </c>
      <c r="AN689" s="27">
        <v>0</v>
      </c>
      <c r="AO689" s="124">
        <f t="shared" si="518"/>
        <v>1</v>
      </c>
      <c r="AP689" s="27">
        <v>0</v>
      </c>
      <c r="AQ689" s="21">
        <v>11115002</v>
      </c>
    </row>
    <row r="690" spans="1:43" x14ac:dyDescent="0.3">
      <c r="A690" s="19"/>
      <c r="B690" s="20">
        <v>12115010</v>
      </c>
      <c r="C690" s="100">
        <v>2</v>
      </c>
      <c r="D690" s="121">
        <f>COUNTIFS($F$33:F690,F690, $G$33:G690,G690, $C$33:C690,C690, $L$33:L690,L690)</f>
        <v>4</v>
      </c>
      <c r="E690" s="20">
        <v>1</v>
      </c>
      <c r="F690" s="20">
        <v>5</v>
      </c>
      <c r="G690" s="20">
        <v>1</v>
      </c>
      <c r="H690" s="103" t="s">
        <v>964</v>
      </c>
      <c r="I690" s="20" t="s">
        <v>1943</v>
      </c>
      <c r="J690" s="104" t="str">
        <f t="shared" si="513"/>
        <v>Item_Name_12115010</v>
      </c>
      <c r="K690" s="20">
        <v>10102001</v>
      </c>
      <c r="L690" s="20">
        <v>1</v>
      </c>
      <c r="M690" s="105">
        <f>IF(D690=0, 0, _xlfn.XLOOKUP($F690,'#무게관련'!$B:$B,'#무게관련'!$C:$C)*_xlfn.XLOOKUP($L690,'#무게관련'!$F:$F,'#무게관련'!$G:$G)*100)</f>
        <v>10000</v>
      </c>
      <c r="N690" s="20">
        <v>0</v>
      </c>
      <c r="O690" s="20">
        <v>2</v>
      </c>
      <c r="P690" s="20">
        <v>15</v>
      </c>
      <c r="Q690" s="20">
        <v>1</v>
      </c>
      <c r="R690" s="20">
        <v>100</v>
      </c>
      <c r="S690" s="20">
        <v>1</v>
      </c>
      <c r="T690" s="20" t="s">
        <v>1874</v>
      </c>
      <c r="U690" s="104" t="s">
        <v>171</v>
      </c>
      <c r="V690" s="20" t="s">
        <v>325</v>
      </c>
      <c r="W690" s="20" t="s">
        <v>400</v>
      </c>
      <c r="X690" s="104">
        <v>0</v>
      </c>
      <c r="Y690" s="104">
        <v>0</v>
      </c>
      <c r="Z690" s="104">
        <v>0</v>
      </c>
      <c r="AA690" s="104">
        <v>0</v>
      </c>
      <c r="AB690" s="104">
        <v>0</v>
      </c>
      <c r="AC690" s="104">
        <v>0</v>
      </c>
      <c r="AD690" s="142">
        <v>0</v>
      </c>
      <c r="AE690" s="31">
        <v>10</v>
      </c>
      <c r="AF690" s="70">
        <v>2105010</v>
      </c>
      <c r="AG690" s="105" cm="1">
        <f t="array" ref="AG690">_xlfn.SWITCH(L690,3,1,
           4,1,
           5,1,
           6,1,0)</f>
        <v>0</v>
      </c>
      <c r="AH690" s="145" t="s">
        <v>1546</v>
      </c>
      <c r="AI690" s="90">
        <v>0</v>
      </c>
      <c r="AJ690" s="90">
        <v>0</v>
      </c>
      <c r="AK690" s="27">
        <v>0</v>
      </c>
      <c r="AL690" s="123">
        <f>_xlfn.XLOOKUP(H690,'#각종 참고'!$B$11:$B$20,'#각종 참고'!$D$11:$D$20)</f>
        <v>0</v>
      </c>
      <c r="AM690" s="27">
        <v>1</v>
      </c>
      <c r="AN690" s="27">
        <v>0</v>
      </c>
      <c r="AO690" s="124">
        <f t="shared" si="518"/>
        <v>1</v>
      </c>
      <c r="AP690" s="27">
        <v>0</v>
      </c>
      <c r="AQ690" s="21">
        <v>12115002</v>
      </c>
    </row>
    <row r="691" spans="1:43" x14ac:dyDescent="0.3">
      <c r="A691" s="19"/>
      <c r="B691" s="20">
        <v>13115010</v>
      </c>
      <c r="C691" s="100">
        <v>3</v>
      </c>
      <c r="D691" s="121">
        <f>COUNTIFS($F$33:F691,F691, $G$33:G691,G691, $C$33:C691,C691, $L$33:L691,L691)</f>
        <v>4</v>
      </c>
      <c r="E691" s="20">
        <v>1</v>
      </c>
      <c r="F691" s="20">
        <v>5</v>
      </c>
      <c r="G691" s="20">
        <v>1</v>
      </c>
      <c r="H691" s="103" t="s">
        <v>964</v>
      </c>
      <c r="I691" s="20" t="s">
        <v>1944</v>
      </c>
      <c r="J691" s="104" t="str">
        <f t="shared" si="513"/>
        <v>Item_Name_13115010</v>
      </c>
      <c r="K691" s="20">
        <v>10103001</v>
      </c>
      <c r="L691" s="20">
        <v>1</v>
      </c>
      <c r="M691" s="105">
        <f>IF(D691=0, 0, _xlfn.XLOOKUP($F691,'#무게관련'!$B:$B,'#무게관련'!$C:$C)*_xlfn.XLOOKUP($L691,'#무게관련'!$F:$F,'#무게관련'!$G:$G)*100)</f>
        <v>10000</v>
      </c>
      <c r="N691" s="20">
        <v>0</v>
      </c>
      <c r="O691" s="20">
        <v>3</v>
      </c>
      <c r="P691" s="20">
        <v>15</v>
      </c>
      <c r="Q691" s="20">
        <v>1</v>
      </c>
      <c r="R691" s="20">
        <v>100</v>
      </c>
      <c r="S691" s="20">
        <v>1</v>
      </c>
      <c r="T691" s="20" t="s">
        <v>1874</v>
      </c>
      <c r="U691" s="104" t="s">
        <v>171</v>
      </c>
      <c r="V691" s="20" t="s">
        <v>325</v>
      </c>
      <c r="W691" s="20" t="s">
        <v>400</v>
      </c>
      <c r="X691" s="104">
        <v>0</v>
      </c>
      <c r="Y691" s="104">
        <v>0</v>
      </c>
      <c r="Z691" s="104">
        <v>0</v>
      </c>
      <c r="AA691" s="104">
        <v>0</v>
      </c>
      <c r="AB691" s="104">
        <v>0</v>
      </c>
      <c r="AC691" s="104">
        <v>0</v>
      </c>
      <c r="AD691" s="142">
        <v>0</v>
      </c>
      <c r="AE691" s="31">
        <v>10</v>
      </c>
      <c r="AF691" s="70">
        <v>3105010</v>
      </c>
      <c r="AG691" s="105" cm="1">
        <f t="array" ref="AG691">_xlfn.SWITCH(L691,3,1,
           4,1,
           5,1,
           6,1,0)</f>
        <v>0</v>
      </c>
      <c r="AH691" s="145" t="s">
        <v>1546</v>
      </c>
      <c r="AI691" s="90">
        <v>0</v>
      </c>
      <c r="AJ691" s="90">
        <v>0</v>
      </c>
      <c r="AK691" s="27">
        <v>0</v>
      </c>
      <c r="AL691" s="123">
        <f>_xlfn.XLOOKUP(H691,'#각종 참고'!$B$11:$B$20,'#각종 참고'!$D$11:$D$20)</f>
        <v>0</v>
      </c>
      <c r="AM691" s="27">
        <v>1</v>
      </c>
      <c r="AN691" s="27">
        <v>0</v>
      </c>
      <c r="AO691" s="124">
        <f t="shared" si="518"/>
        <v>1</v>
      </c>
      <c r="AP691" s="27">
        <v>0</v>
      </c>
      <c r="AQ691" s="21">
        <v>13115002</v>
      </c>
    </row>
    <row r="692" spans="1:43" x14ac:dyDescent="0.3">
      <c r="A692" s="19"/>
      <c r="B692" s="20">
        <v>14115010</v>
      </c>
      <c r="C692" s="100">
        <v>4</v>
      </c>
      <c r="D692" s="121">
        <f>COUNTIFS($F$33:F692,F692, $G$33:G692,G692, $C$33:C692,C692, $L$33:L692,L692)</f>
        <v>4</v>
      </c>
      <c r="E692" s="20">
        <v>1</v>
      </c>
      <c r="F692" s="20">
        <v>5</v>
      </c>
      <c r="G692" s="20">
        <v>1</v>
      </c>
      <c r="H692" s="103" t="s">
        <v>964</v>
      </c>
      <c r="I692" s="20" t="s">
        <v>1945</v>
      </c>
      <c r="J692" s="104" t="str">
        <f t="shared" si="513"/>
        <v>Item_Name_14115010</v>
      </c>
      <c r="K692" s="20">
        <v>10104001</v>
      </c>
      <c r="L692" s="20">
        <v>1</v>
      </c>
      <c r="M692" s="105">
        <f>IF(D692=0, 0, _xlfn.XLOOKUP($F692,'#무게관련'!$B:$B,'#무게관련'!$C:$C)*_xlfn.XLOOKUP($L692,'#무게관련'!$F:$F,'#무게관련'!$G:$G)*100)</f>
        <v>10000</v>
      </c>
      <c r="N692" s="20">
        <v>0</v>
      </c>
      <c r="O692" s="20">
        <v>4</v>
      </c>
      <c r="P692" s="20">
        <v>15</v>
      </c>
      <c r="Q692" s="20">
        <v>1</v>
      </c>
      <c r="R692" s="20">
        <v>100</v>
      </c>
      <c r="S692" s="20">
        <v>1</v>
      </c>
      <c r="T692" s="20" t="s">
        <v>1874</v>
      </c>
      <c r="U692" s="104" t="s">
        <v>171</v>
      </c>
      <c r="V692" s="20" t="s">
        <v>325</v>
      </c>
      <c r="W692" s="20" t="s">
        <v>400</v>
      </c>
      <c r="X692" s="104">
        <v>0</v>
      </c>
      <c r="Y692" s="104">
        <v>0</v>
      </c>
      <c r="Z692" s="104">
        <v>0</v>
      </c>
      <c r="AA692" s="104">
        <v>0</v>
      </c>
      <c r="AB692" s="104">
        <v>0</v>
      </c>
      <c r="AC692" s="104">
        <v>0</v>
      </c>
      <c r="AD692" s="142">
        <v>0</v>
      </c>
      <c r="AE692" s="31">
        <v>10</v>
      </c>
      <c r="AF692" s="70">
        <v>4105010</v>
      </c>
      <c r="AG692" s="105" cm="1">
        <f t="array" ref="AG692">_xlfn.SWITCH(L692,3,1,
           4,1,
           5,1,
           6,1,0)</f>
        <v>0</v>
      </c>
      <c r="AH692" s="145" t="s">
        <v>1546</v>
      </c>
      <c r="AI692" s="90">
        <v>0</v>
      </c>
      <c r="AJ692" s="90">
        <v>0</v>
      </c>
      <c r="AK692" s="27">
        <v>0</v>
      </c>
      <c r="AL692" s="123">
        <f>_xlfn.XLOOKUP(H692,'#각종 참고'!$B$11:$B$20,'#각종 참고'!$D$11:$D$20)</f>
        <v>0</v>
      </c>
      <c r="AM692" s="27">
        <v>1</v>
      </c>
      <c r="AN692" s="27">
        <v>0</v>
      </c>
      <c r="AO692" s="124">
        <f t="shared" si="518"/>
        <v>1</v>
      </c>
      <c r="AP692" s="27">
        <v>0</v>
      </c>
      <c r="AQ692" s="21">
        <v>14115002</v>
      </c>
    </row>
    <row r="693" spans="1:43" x14ac:dyDescent="0.3">
      <c r="A693" s="19"/>
      <c r="B693" s="20">
        <v>11116010</v>
      </c>
      <c r="C693" s="100">
        <v>1</v>
      </c>
      <c r="D693" s="121">
        <f>COUNTIFS($F$33:F693,F693, $G$33:G693,G693, $C$33:C693,C693, $L$33:L693,L693)</f>
        <v>4</v>
      </c>
      <c r="E693" s="20">
        <v>1</v>
      </c>
      <c r="F693" s="20">
        <v>6</v>
      </c>
      <c r="G693" s="20">
        <v>1</v>
      </c>
      <c r="H693" s="103" t="s">
        <v>965</v>
      </c>
      <c r="I693" s="20" t="s">
        <v>1946</v>
      </c>
      <c r="J693" s="104" t="str">
        <f t="shared" si="513"/>
        <v>Item_Name_11116010</v>
      </c>
      <c r="K693" s="20">
        <v>10101001</v>
      </c>
      <c r="L693" s="20">
        <v>1</v>
      </c>
      <c r="M693" s="105">
        <f>IF(D693=0, 0, _xlfn.XLOOKUP($F693,'#무게관련'!$B:$B,'#무게관련'!$C:$C)*_xlfn.XLOOKUP($L693,'#무게관련'!$F:$F,'#무게관련'!$G:$G)*100)</f>
        <v>4000</v>
      </c>
      <c r="N693" s="20">
        <v>0</v>
      </c>
      <c r="O693" s="20">
        <v>1</v>
      </c>
      <c r="P693" s="20">
        <v>15</v>
      </c>
      <c r="Q693" s="20">
        <v>1</v>
      </c>
      <c r="R693" s="20">
        <v>100</v>
      </c>
      <c r="S693" s="20">
        <v>1</v>
      </c>
      <c r="T693" s="20" t="s">
        <v>1879</v>
      </c>
      <c r="U693" s="104" t="s">
        <v>171</v>
      </c>
      <c r="V693" s="20" t="s">
        <v>326</v>
      </c>
      <c r="W693" s="20" t="s">
        <v>400</v>
      </c>
      <c r="X693" s="104">
        <v>0</v>
      </c>
      <c r="Y693" s="104">
        <v>0</v>
      </c>
      <c r="Z693" s="104">
        <v>0</v>
      </c>
      <c r="AA693" s="104">
        <v>0</v>
      </c>
      <c r="AB693" s="104">
        <v>0</v>
      </c>
      <c r="AC693" s="104">
        <v>0</v>
      </c>
      <c r="AD693" s="142">
        <v>0</v>
      </c>
      <c r="AE693" s="31">
        <v>10</v>
      </c>
      <c r="AF693" s="70">
        <v>1106010</v>
      </c>
      <c r="AG693" s="105" cm="1">
        <f t="array" ref="AG693">_xlfn.SWITCH(L693,3,1,
           4,1,
           5,1,
           6,1,0)</f>
        <v>0</v>
      </c>
      <c r="AH693" s="145">
        <v>80101101</v>
      </c>
      <c r="AI693" s="90">
        <v>0</v>
      </c>
      <c r="AJ693" s="90">
        <v>0</v>
      </c>
      <c r="AK693" s="27">
        <v>0</v>
      </c>
      <c r="AL693" s="123">
        <f>_xlfn.XLOOKUP(H693,'#각종 참고'!$B$11:$B$20,'#각종 참고'!$D$11:$D$20)</f>
        <v>0</v>
      </c>
      <c r="AM693" s="27">
        <v>1</v>
      </c>
      <c r="AN693" s="27">
        <v>0</v>
      </c>
      <c r="AO693" s="124">
        <f t="shared" si="518"/>
        <v>1</v>
      </c>
      <c r="AP693" s="27">
        <v>0</v>
      </c>
      <c r="AQ693" s="21">
        <v>11116002</v>
      </c>
    </row>
    <row r="694" spans="1:43" x14ac:dyDescent="0.3">
      <c r="A694" s="19"/>
      <c r="B694" s="20">
        <v>12116010</v>
      </c>
      <c r="C694" s="100">
        <v>2</v>
      </c>
      <c r="D694" s="121">
        <f>COUNTIFS($F$33:F694,F694, $G$33:G694,G694, $C$33:C694,C694, $L$33:L694,L694)</f>
        <v>4</v>
      </c>
      <c r="E694" s="20">
        <v>1</v>
      </c>
      <c r="F694" s="20">
        <v>6</v>
      </c>
      <c r="G694" s="20">
        <v>1</v>
      </c>
      <c r="H694" s="103" t="s">
        <v>965</v>
      </c>
      <c r="I694" s="20" t="s">
        <v>1947</v>
      </c>
      <c r="J694" s="104" t="str">
        <f t="shared" si="513"/>
        <v>Item_Name_12116010</v>
      </c>
      <c r="K694" s="20">
        <v>10102001</v>
      </c>
      <c r="L694" s="20">
        <v>1</v>
      </c>
      <c r="M694" s="105">
        <f>IF(D694=0, 0, _xlfn.XLOOKUP($F694,'#무게관련'!$B:$B,'#무게관련'!$C:$C)*_xlfn.XLOOKUP($L694,'#무게관련'!$F:$F,'#무게관련'!$G:$G)*100)</f>
        <v>4000</v>
      </c>
      <c r="N694" s="20">
        <v>0</v>
      </c>
      <c r="O694" s="20">
        <v>2</v>
      </c>
      <c r="P694" s="20">
        <v>15</v>
      </c>
      <c r="Q694" s="20">
        <v>1</v>
      </c>
      <c r="R694" s="20">
        <v>100</v>
      </c>
      <c r="S694" s="20">
        <v>1</v>
      </c>
      <c r="T694" s="20" t="s">
        <v>1879</v>
      </c>
      <c r="U694" s="104" t="s">
        <v>171</v>
      </c>
      <c r="V694" s="20" t="s">
        <v>326</v>
      </c>
      <c r="W694" s="20" t="s">
        <v>400</v>
      </c>
      <c r="X694" s="104">
        <v>0</v>
      </c>
      <c r="Y694" s="104">
        <v>0</v>
      </c>
      <c r="Z694" s="104">
        <v>0</v>
      </c>
      <c r="AA694" s="104">
        <v>0</v>
      </c>
      <c r="AB694" s="104">
        <v>0</v>
      </c>
      <c r="AC694" s="104">
        <v>0</v>
      </c>
      <c r="AD694" s="142">
        <v>0</v>
      </c>
      <c r="AE694" s="31">
        <v>10</v>
      </c>
      <c r="AF694" s="70">
        <v>2106010</v>
      </c>
      <c r="AG694" s="105" cm="1">
        <f t="array" ref="AG694">_xlfn.SWITCH(L694,3,1,
           4,1,
           5,1,
           6,1,0)</f>
        <v>0</v>
      </c>
      <c r="AH694" s="145">
        <v>80101101</v>
      </c>
      <c r="AI694" s="90">
        <v>0</v>
      </c>
      <c r="AJ694" s="90">
        <v>0</v>
      </c>
      <c r="AK694" s="27">
        <v>0</v>
      </c>
      <c r="AL694" s="123">
        <f>_xlfn.XLOOKUP(H694,'#각종 참고'!$B$11:$B$20,'#각종 참고'!$D$11:$D$20)</f>
        <v>0</v>
      </c>
      <c r="AM694" s="27">
        <v>1</v>
      </c>
      <c r="AN694" s="27">
        <v>0</v>
      </c>
      <c r="AO694" s="124">
        <f t="shared" si="518"/>
        <v>1</v>
      </c>
      <c r="AP694" s="27">
        <v>0</v>
      </c>
      <c r="AQ694" s="21">
        <v>12116002</v>
      </c>
    </row>
    <row r="695" spans="1:43" x14ac:dyDescent="0.3">
      <c r="A695" s="19"/>
      <c r="B695" s="20">
        <v>13116010</v>
      </c>
      <c r="C695" s="100">
        <v>3</v>
      </c>
      <c r="D695" s="121">
        <f>COUNTIFS($F$33:F695,F695, $G$33:G695,G695, $C$33:C695,C695, $L$33:L695,L695)</f>
        <v>4</v>
      </c>
      <c r="E695" s="20">
        <v>1</v>
      </c>
      <c r="F695" s="20">
        <v>6</v>
      </c>
      <c r="G695" s="20">
        <v>1</v>
      </c>
      <c r="H695" s="103" t="s">
        <v>965</v>
      </c>
      <c r="I695" s="20" t="s">
        <v>1948</v>
      </c>
      <c r="J695" s="104" t="str">
        <f t="shared" si="513"/>
        <v>Item_Name_13116010</v>
      </c>
      <c r="K695" s="20">
        <v>10103001</v>
      </c>
      <c r="L695" s="20">
        <v>1</v>
      </c>
      <c r="M695" s="105">
        <f>IF(D695=0, 0, _xlfn.XLOOKUP($F695,'#무게관련'!$B:$B,'#무게관련'!$C:$C)*_xlfn.XLOOKUP($L695,'#무게관련'!$F:$F,'#무게관련'!$G:$G)*100)</f>
        <v>4000</v>
      </c>
      <c r="N695" s="20">
        <v>0</v>
      </c>
      <c r="O695" s="20">
        <v>3</v>
      </c>
      <c r="P695" s="20">
        <v>15</v>
      </c>
      <c r="Q695" s="20">
        <v>1</v>
      </c>
      <c r="R695" s="20">
        <v>100</v>
      </c>
      <c r="S695" s="20">
        <v>1</v>
      </c>
      <c r="T695" s="20" t="s">
        <v>1879</v>
      </c>
      <c r="U695" s="104" t="s">
        <v>171</v>
      </c>
      <c r="V695" s="20" t="s">
        <v>326</v>
      </c>
      <c r="W695" s="20" t="s">
        <v>400</v>
      </c>
      <c r="X695" s="104">
        <v>0</v>
      </c>
      <c r="Y695" s="104">
        <v>0</v>
      </c>
      <c r="Z695" s="104">
        <v>0</v>
      </c>
      <c r="AA695" s="104">
        <v>0</v>
      </c>
      <c r="AB695" s="104">
        <v>0</v>
      </c>
      <c r="AC695" s="104">
        <v>0</v>
      </c>
      <c r="AD695" s="142">
        <v>0</v>
      </c>
      <c r="AE695" s="31">
        <v>10</v>
      </c>
      <c r="AF695" s="70">
        <v>3106010</v>
      </c>
      <c r="AG695" s="105" cm="1">
        <f t="array" ref="AG695">_xlfn.SWITCH(L695,3,1,
           4,1,
           5,1,
           6,1,0)</f>
        <v>0</v>
      </c>
      <c r="AH695" s="145">
        <v>80101101</v>
      </c>
      <c r="AI695" s="90">
        <v>0</v>
      </c>
      <c r="AJ695" s="90">
        <v>0</v>
      </c>
      <c r="AK695" s="27">
        <v>0</v>
      </c>
      <c r="AL695" s="123">
        <f>_xlfn.XLOOKUP(H695,'#각종 참고'!$B$11:$B$20,'#각종 참고'!$D$11:$D$20)</f>
        <v>0</v>
      </c>
      <c r="AM695" s="27">
        <v>1</v>
      </c>
      <c r="AN695" s="27">
        <v>0</v>
      </c>
      <c r="AO695" s="124">
        <f t="shared" si="518"/>
        <v>1</v>
      </c>
      <c r="AP695" s="27">
        <v>0</v>
      </c>
      <c r="AQ695" s="21">
        <v>13116002</v>
      </c>
    </row>
    <row r="696" spans="1:43" x14ac:dyDescent="0.3">
      <c r="A696" s="19"/>
      <c r="B696" s="20">
        <v>14116010</v>
      </c>
      <c r="C696" s="100">
        <v>4</v>
      </c>
      <c r="D696" s="121">
        <f>COUNTIFS($F$33:F696,F696, $G$33:G696,G696, $C$33:C696,C696, $L$33:L696,L696)</f>
        <v>4</v>
      </c>
      <c r="E696" s="20">
        <v>1</v>
      </c>
      <c r="F696" s="20">
        <v>6</v>
      </c>
      <c r="G696" s="20">
        <v>1</v>
      </c>
      <c r="H696" s="103" t="s">
        <v>965</v>
      </c>
      <c r="I696" s="20" t="s">
        <v>1949</v>
      </c>
      <c r="J696" s="104" t="str">
        <f t="shared" si="513"/>
        <v>Item_Name_14116010</v>
      </c>
      <c r="K696" s="20">
        <v>10104001</v>
      </c>
      <c r="L696" s="20">
        <v>1</v>
      </c>
      <c r="M696" s="105">
        <f>IF(D696=0, 0, _xlfn.XLOOKUP($F696,'#무게관련'!$B:$B,'#무게관련'!$C:$C)*_xlfn.XLOOKUP($L696,'#무게관련'!$F:$F,'#무게관련'!$G:$G)*100)</f>
        <v>4000</v>
      </c>
      <c r="N696" s="20">
        <v>0</v>
      </c>
      <c r="O696" s="20">
        <v>4</v>
      </c>
      <c r="P696" s="20">
        <v>15</v>
      </c>
      <c r="Q696" s="20">
        <v>1</v>
      </c>
      <c r="R696" s="20">
        <v>100</v>
      </c>
      <c r="S696" s="20">
        <v>1</v>
      </c>
      <c r="T696" s="20" t="s">
        <v>1879</v>
      </c>
      <c r="U696" s="104" t="s">
        <v>171</v>
      </c>
      <c r="V696" s="20" t="s">
        <v>326</v>
      </c>
      <c r="W696" s="20" t="s">
        <v>400</v>
      </c>
      <c r="X696" s="104">
        <v>0</v>
      </c>
      <c r="Y696" s="104">
        <v>0</v>
      </c>
      <c r="Z696" s="104">
        <v>0</v>
      </c>
      <c r="AA696" s="104">
        <v>0</v>
      </c>
      <c r="AB696" s="104">
        <v>0</v>
      </c>
      <c r="AC696" s="104">
        <v>0</v>
      </c>
      <c r="AD696" s="142">
        <v>0</v>
      </c>
      <c r="AE696" s="31">
        <v>10</v>
      </c>
      <c r="AF696" s="70">
        <v>4106010</v>
      </c>
      <c r="AG696" s="105" cm="1">
        <f t="array" ref="AG696">_xlfn.SWITCH(L696,3,1,
           4,1,
           5,1,
           6,1,0)</f>
        <v>0</v>
      </c>
      <c r="AH696" s="145">
        <v>80101101</v>
      </c>
      <c r="AI696" s="90">
        <v>0</v>
      </c>
      <c r="AJ696" s="90">
        <v>0</v>
      </c>
      <c r="AK696" s="27">
        <v>0</v>
      </c>
      <c r="AL696" s="123">
        <f>_xlfn.XLOOKUP(H696,'#각종 참고'!$B$11:$B$20,'#각종 참고'!$D$11:$D$20)</f>
        <v>0</v>
      </c>
      <c r="AM696" s="27">
        <v>1</v>
      </c>
      <c r="AN696" s="27">
        <v>0</v>
      </c>
      <c r="AO696" s="124">
        <f t="shared" si="518"/>
        <v>1</v>
      </c>
      <c r="AP696" s="27">
        <v>0</v>
      </c>
      <c r="AQ696" s="21">
        <v>14116002</v>
      </c>
    </row>
    <row r="697" spans="1:43" x14ac:dyDescent="0.3">
      <c r="A697" s="19"/>
      <c r="B697" s="20">
        <v>11117010</v>
      </c>
      <c r="C697" s="100">
        <v>1</v>
      </c>
      <c r="D697" s="121">
        <f>COUNTIFS($F$33:F697,F697, $G$33:G697,G697, $C$33:C697,C697, $L$33:L697,L697)</f>
        <v>4</v>
      </c>
      <c r="E697" s="20">
        <v>1</v>
      </c>
      <c r="F697" s="20">
        <v>7</v>
      </c>
      <c r="G697" s="20">
        <v>1</v>
      </c>
      <c r="H697" s="103" t="s">
        <v>957</v>
      </c>
      <c r="I697" s="20" t="s">
        <v>1950</v>
      </c>
      <c r="J697" s="104" t="str">
        <f t="shared" si="513"/>
        <v>Item_Name_11117010</v>
      </c>
      <c r="K697" s="20">
        <v>10101001</v>
      </c>
      <c r="L697" s="20">
        <v>1</v>
      </c>
      <c r="M697" s="105">
        <f>IF(D697=0, 0, _xlfn.XLOOKUP($F697,'#무게관련'!$B:$B,'#무게관련'!$C:$C)*_xlfn.XLOOKUP($L697,'#무게관련'!$F:$F,'#무게관련'!$G:$G)*100)</f>
        <v>4000</v>
      </c>
      <c r="N697" s="20">
        <v>0</v>
      </c>
      <c r="O697" s="20">
        <v>1</v>
      </c>
      <c r="P697" s="20">
        <v>15</v>
      </c>
      <c r="Q697" s="20">
        <v>1</v>
      </c>
      <c r="R697" s="20">
        <v>100</v>
      </c>
      <c r="S697" s="20">
        <v>1</v>
      </c>
      <c r="T697" s="20" t="s">
        <v>1884</v>
      </c>
      <c r="U697" s="104" t="s">
        <v>171</v>
      </c>
      <c r="V697" s="20" t="s">
        <v>501</v>
      </c>
      <c r="W697" s="20" t="s">
        <v>400</v>
      </c>
      <c r="X697" s="104">
        <v>0</v>
      </c>
      <c r="Y697" s="104">
        <v>0</v>
      </c>
      <c r="Z697" s="104">
        <v>0</v>
      </c>
      <c r="AA697" s="104">
        <v>0</v>
      </c>
      <c r="AB697" s="104">
        <v>0</v>
      </c>
      <c r="AC697" s="104">
        <v>0</v>
      </c>
      <c r="AD697" s="142">
        <v>0</v>
      </c>
      <c r="AE697" s="31">
        <v>10</v>
      </c>
      <c r="AF697" s="70">
        <v>1107010</v>
      </c>
      <c r="AG697" s="105" cm="1">
        <f t="array" ref="AG697">_xlfn.SWITCH(L697,3,1,
           4,1,
           5,1,
           6,1,0)</f>
        <v>0</v>
      </c>
      <c r="AH697" s="145">
        <v>80101101</v>
      </c>
      <c r="AI697" s="90">
        <v>0</v>
      </c>
      <c r="AJ697" s="90">
        <v>0</v>
      </c>
      <c r="AK697" s="27">
        <v>0</v>
      </c>
      <c r="AL697" s="123">
        <f>_xlfn.XLOOKUP(H697,'#각종 참고'!$B$11:$B$20,'#각종 참고'!$D$11:$D$20)</f>
        <v>0</v>
      </c>
      <c r="AM697" s="27">
        <v>1</v>
      </c>
      <c r="AN697" s="27">
        <v>0</v>
      </c>
      <c r="AO697" s="124">
        <f t="shared" si="518"/>
        <v>1</v>
      </c>
      <c r="AP697" s="27">
        <v>0</v>
      </c>
      <c r="AQ697" s="21">
        <v>11117002</v>
      </c>
    </row>
    <row r="698" spans="1:43" x14ac:dyDescent="0.3">
      <c r="A698" s="19"/>
      <c r="B698" s="20">
        <v>12117010</v>
      </c>
      <c r="C698" s="100">
        <v>2</v>
      </c>
      <c r="D698" s="121">
        <f>COUNTIFS($F$33:F698,F698, $G$33:G698,G698, $C$33:C698,C698, $L$33:L698,L698)</f>
        <v>4</v>
      </c>
      <c r="E698" s="20">
        <v>1</v>
      </c>
      <c r="F698" s="20">
        <v>7</v>
      </c>
      <c r="G698" s="20">
        <v>1</v>
      </c>
      <c r="H698" s="103" t="s">
        <v>957</v>
      </c>
      <c r="I698" s="20" t="s">
        <v>1951</v>
      </c>
      <c r="J698" s="104" t="str">
        <f t="shared" si="513"/>
        <v>Item_Name_12117010</v>
      </c>
      <c r="K698" s="20">
        <v>10102001</v>
      </c>
      <c r="L698" s="20">
        <v>1</v>
      </c>
      <c r="M698" s="105">
        <f>IF(D698=0, 0, _xlfn.XLOOKUP($F698,'#무게관련'!$B:$B,'#무게관련'!$C:$C)*_xlfn.XLOOKUP($L698,'#무게관련'!$F:$F,'#무게관련'!$G:$G)*100)</f>
        <v>4000</v>
      </c>
      <c r="N698" s="20">
        <v>0</v>
      </c>
      <c r="O698" s="20">
        <v>2</v>
      </c>
      <c r="P698" s="20">
        <v>15</v>
      </c>
      <c r="Q698" s="20">
        <v>1</v>
      </c>
      <c r="R698" s="20">
        <v>100</v>
      </c>
      <c r="S698" s="20">
        <v>1</v>
      </c>
      <c r="T698" s="20" t="s">
        <v>1884</v>
      </c>
      <c r="U698" s="104" t="s">
        <v>171</v>
      </c>
      <c r="V698" s="20" t="s">
        <v>501</v>
      </c>
      <c r="W698" s="20" t="s">
        <v>400</v>
      </c>
      <c r="X698" s="104">
        <v>0</v>
      </c>
      <c r="Y698" s="104">
        <v>0</v>
      </c>
      <c r="Z698" s="104">
        <v>0</v>
      </c>
      <c r="AA698" s="104">
        <v>0</v>
      </c>
      <c r="AB698" s="104">
        <v>0</v>
      </c>
      <c r="AC698" s="104">
        <v>0</v>
      </c>
      <c r="AD698" s="142">
        <v>0</v>
      </c>
      <c r="AE698" s="31">
        <v>10</v>
      </c>
      <c r="AF698" s="70">
        <v>2107010</v>
      </c>
      <c r="AG698" s="105" cm="1">
        <f t="array" ref="AG698">_xlfn.SWITCH(L698,3,1,
           4,1,
           5,1,
           6,1,0)</f>
        <v>0</v>
      </c>
      <c r="AH698" s="145">
        <v>80101101</v>
      </c>
      <c r="AI698" s="90">
        <v>0</v>
      </c>
      <c r="AJ698" s="90">
        <v>0</v>
      </c>
      <c r="AK698" s="27">
        <v>0</v>
      </c>
      <c r="AL698" s="123">
        <f>_xlfn.XLOOKUP(H698,'#각종 참고'!$B$11:$B$20,'#각종 참고'!$D$11:$D$20)</f>
        <v>0</v>
      </c>
      <c r="AM698" s="27">
        <v>1</v>
      </c>
      <c r="AN698" s="27">
        <v>0</v>
      </c>
      <c r="AO698" s="124">
        <f t="shared" si="518"/>
        <v>1</v>
      </c>
      <c r="AP698" s="27">
        <v>0</v>
      </c>
      <c r="AQ698" s="21">
        <v>12117002</v>
      </c>
    </row>
    <row r="699" spans="1:43" x14ac:dyDescent="0.3">
      <c r="A699" s="19"/>
      <c r="B699" s="20">
        <v>13117010</v>
      </c>
      <c r="C699" s="100">
        <v>3</v>
      </c>
      <c r="D699" s="121">
        <f>COUNTIFS($F$33:F699,F699, $G$33:G699,G699, $C$33:C699,C699, $L$33:L699,L699)</f>
        <v>4</v>
      </c>
      <c r="E699" s="20">
        <v>1</v>
      </c>
      <c r="F699" s="20">
        <v>7</v>
      </c>
      <c r="G699" s="20">
        <v>1</v>
      </c>
      <c r="H699" s="103" t="s">
        <v>957</v>
      </c>
      <c r="I699" s="20" t="s">
        <v>1952</v>
      </c>
      <c r="J699" s="104" t="str">
        <f t="shared" si="513"/>
        <v>Item_Name_13117010</v>
      </c>
      <c r="K699" s="20">
        <v>10103001</v>
      </c>
      <c r="L699" s="20">
        <v>1</v>
      </c>
      <c r="M699" s="105">
        <f>IF(D699=0, 0, _xlfn.XLOOKUP($F699,'#무게관련'!$B:$B,'#무게관련'!$C:$C)*_xlfn.XLOOKUP($L699,'#무게관련'!$F:$F,'#무게관련'!$G:$G)*100)</f>
        <v>4000</v>
      </c>
      <c r="N699" s="20">
        <v>0</v>
      </c>
      <c r="O699" s="20">
        <v>3</v>
      </c>
      <c r="P699" s="20">
        <v>15</v>
      </c>
      <c r="Q699" s="20">
        <v>1</v>
      </c>
      <c r="R699" s="20">
        <v>100</v>
      </c>
      <c r="S699" s="20">
        <v>1</v>
      </c>
      <c r="T699" s="20" t="s">
        <v>1884</v>
      </c>
      <c r="U699" s="104" t="s">
        <v>171</v>
      </c>
      <c r="V699" s="20" t="s">
        <v>501</v>
      </c>
      <c r="W699" s="20" t="s">
        <v>400</v>
      </c>
      <c r="X699" s="104">
        <v>0</v>
      </c>
      <c r="Y699" s="104">
        <v>0</v>
      </c>
      <c r="Z699" s="104">
        <v>0</v>
      </c>
      <c r="AA699" s="104">
        <v>0</v>
      </c>
      <c r="AB699" s="104">
        <v>0</v>
      </c>
      <c r="AC699" s="104">
        <v>0</v>
      </c>
      <c r="AD699" s="142">
        <v>0</v>
      </c>
      <c r="AE699" s="31">
        <v>10</v>
      </c>
      <c r="AF699" s="70">
        <v>3107010</v>
      </c>
      <c r="AG699" s="105" cm="1">
        <f t="array" ref="AG699">_xlfn.SWITCH(L699,3,1,
           4,1,
           5,1,
           6,1,0)</f>
        <v>0</v>
      </c>
      <c r="AH699" s="145">
        <v>80101101</v>
      </c>
      <c r="AI699" s="90">
        <v>0</v>
      </c>
      <c r="AJ699" s="90">
        <v>0</v>
      </c>
      <c r="AK699" s="27">
        <v>0</v>
      </c>
      <c r="AL699" s="123">
        <f>_xlfn.XLOOKUP(H699,'#각종 참고'!$B$11:$B$20,'#각종 참고'!$D$11:$D$20)</f>
        <v>0</v>
      </c>
      <c r="AM699" s="27">
        <v>1</v>
      </c>
      <c r="AN699" s="27">
        <v>0</v>
      </c>
      <c r="AO699" s="124">
        <f t="shared" si="518"/>
        <v>1</v>
      </c>
      <c r="AP699" s="27">
        <v>0</v>
      </c>
      <c r="AQ699" s="21">
        <v>13117002</v>
      </c>
    </row>
    <row r="700" spans="1:43" x14ac:dyDescent="0.3">
      <c r="A700" s="19"/>
      <c r="B700" s="20">
        <v>14117010</v>
      </c>
      <c r="C700" s="100">
        <v>4</v>
      </c>
      <c r="D700" s="121">
        <f>COUNTIFS($F$33:F700,F700, $G$33:G700,G700, $C$33:C700,C700, $L$33:L700,L700)</f>
        <v>4</v>
      </c>
      <c r="E700" s="20">
        <v>1</v>
      </c>
      <c r="F700" s="20">
        <v>7</v>
      </c>
      <c r="G700" s="20">
        <v>1</v>
      </c>
      <c r="H700" s="103" t="s">
        <v>957</v>
      </c>
      <c r="I700" s="20" t="s">
        <v>1953</v>
      </c>
      <c r="J700" s="104" t="str">
        <f t="shared" si="513"/>
        <v>Item_Name_14117010</v>
      </c>
      <c r="K700" s="20">
        <v>10104001</v>
      </c>
      <c r="L700" s="20">
        <v>1</v>
      </c>
      <c r="M700" s="105">
        <f>IF(D700=0, 0, _xlfn.XLOOKUP($F700,'#무게관련'!$B:$B,'#무게관련'!$C:$C)*_xlfn.XLOOKUP($L700,'#무게관련'!$F:$F,'#무게관련'!$G:$G)*100)</f>
        <v>4000</v>
      </c>
      <c r="N700" s="20">
        <v>0</v>
      </c>
      <c r="O700" s="20">
        <v>4</v>
      </c>
      <c r="P700" s="20">
        <v>15</v>
      </c>
      <c r="Q700" s="20">
        <v>1</v>
      </c>
      <c r="R700" s="20">
        <v>100</v>
      </c>
      <c r="S700" s="20">
        <v>1</v>
      </c>
      <c r="T700" s="20" t="s">
        <v>1884</v>
      </c>
      <c r="U700" s="104" t="s">
        <v>171</v>
      </c>
      <c r="V700" s="20" t="s">
        <v>501</v>
      </c>
      <c r="W700" s="20" t="s">
        <v>400</v>
      </c>
      <c r="X700" s="104">
        <v>0</v>
      </c>
      <c r="Y700" s="104">
        <v>0</v>
      </c>
      <c r="Z700" s="104">
        <v>0</v>
      </c>
      <c r="AA700" s="104">
        <v>0</v>
      </c>
      <c r="AB700" s="104">
        <v>0</v>
      </c>
      <c r="AC700" s="104">
        <v>0</v>
      </c>
      <c r="AD700" s="142">
        <v>0</v>
      </c>
      <c r="AE700" s="31">
        <v>10</v>
      </c>
      <c r="AF700" s="70">
        <v>4107010</v>
      </c>
      <c r="AG700" s="105" cm="1">
        <f t="array" ref="AG700">_xlfn.SWITCH(L700,3,1,
           4,1,
           5,1,
           6,1,0)</f>
        <v>0</v>
      </c>
      <c r="AH700" s="145">
        <v>80101101</v>
      </c>
      <c r="AI700" s="90">
        <v>0</v>
      </c>
      <c r="AJ700" s="90">
        <v>0</v>
      </c>
      <c r="AK700" s="27">
        <v>0</v>
      </c>
      <c r="AL700" s="123">
        <f>_xlfn.XLOOKUP(H700,'#각종 참고'!$B$11:$B$20,'#각종 참고'!$D$11:$D$20)</f>
        <v>0</v>
      </c>
      <c r="AM700" s="27">
        <v>1</v>
      </c>
      <c r="AN700" s="27">
        <v>0</v>
      </c>
      <c r="AO700" s="124">
        <f t="shared" si="518"/>
        <v>1</v>
      </c>
      <c r="AP700" s="27">
        <v>0</v>
      </c>
      <c r="AQ700" s="21">
        <v>14117002</v>
      </c>
    </row>
    <row r="701" spans="1:43" x14ac:dyDescent="0.3">
      <c r="A701" s="19"/>
      <c r="B701" s="20">
        <v>101410001</v>
      </c>
      <c r="C701" s="100">
        <v>0</v>
      </c>
      <c r="D701" s="121">
        <f>COUNTIFS($F$33:F701,F701, $G$33:G701,G701, $C$33:C701,C701, $L$33:L701,L701)</f>
        <v>1</v>
      </c>
      <c r="E701" s="20">
        <v>1</v>
      </c>
      <c r="F701" s="20">
        <v>10</v>
      </c>
      <c r="G701" s="20">
        <v>1</v>
      </c>
      <c r="H701" s="103" t="s">
        <v>1898</v>
      </c>
      <c r="I701" s="20" t="s">
        <v>1915</v>
      </c>
      <c r="J701" s="104" t="str">
        <f>"Item_Name_"&amp;B701</f>
        <v>Item_Name_101410001</v>
      </c>
      <c r="K701" s="20">
        <v>0</v>
      </c>
      <c r="L701" s="20">
        <v>99</v>
      </c>
      <c r="M701" s="105">
        <f>IF(D701=0, 0, _xlfn.XLOOKUP($F701,'#무게관련'!$B:$B,'#무게관련'!$C:$C)*_xlfn.XLOOKUP($L701,'#무게관련'!$F:$F,'#무게관련'!$G:$G)*100)</f>
        <v>1000</v>
      </c>
      <c r="N701" s="20">
        <v>0</v>
      </c>
      <c r="O701" s="20">
        <v>0</v>
      </c>
      <c r="P701" s="20">
        <v>15</v>
      </c>
      <c r="Q701" s="20">
        <v>1</v>
      </c>
      <c r="R701" s="20">
        <v>0</v>
      </c>
      <c r="S701" s="20">
        <v>1</v>
      </c>
      <c r="T701" s="20" t="s">
        <v>1906</v>
      </c>
      <c r="U701" s="104" t="s">
        <v>257</v>
      </c>
      <c r="V701" s="20" t="s">
        <v>1910</v>
      </c>
      <c r="W701" s="20" t="s">
        <v>429</v>
      </c>
      <c r="X701" s="104">
        <v>0</v>
      </c>
      <c r="Y701" s="104">
        <v>0</v>
      </c>
      <c r="Z701" s="104">
        <v>0</v>
      </c>
      <c r="AA701" s="104">
        <v>0</v>
      </c>
      <c r="AB701" s="104">
        <v>0</v>
      </c>
      <c r="AC701" s="104">
        <v>0</v>
      </c>
      <c r="AD701" s="142">
        <v>0</v>
      </c>
      <c r="AE701" s="31">
        <v>10</v>
      </c>
      <c r="AF701" s="70">
        <v>5910010</v>
      </c>
      <c r="AG701" s="105">
        <v>0</v>
      </c>
      <c r="AH701" s="145">
        <v>0</v>
      </c>
      <c r="AI701" s="90">
        <v>0</v>
      </c>
      <c r="AJ701" s="90">
        <v>0</v>
      </c>
      <c r="AK701" s="27">
        <v>0</v>
      </c>
      <c r="AL701" s="123">
        <f>_xlfn.XLOOKUP(H701,'#각종 참고'!$B$11:$B$22,'#각종 참고'!$D$11:$D$22)</f>
        <v>0</v>
      </c>
      <c r="AM701" s="27">
        <v>0</v>
      </c>
      <c r="AN701" s="27">
        <v>0</v>
      </c>
      <c r="AO701" s="124">
        <f t="shared" si="518"/>
        <v>0</v>
      </c>
      <c r="AP701" s="27">
        <v>0</v>
      </c>
    </row>
    <row r="702" spans="1:43" x14ac:dyDescent="0.3">
      <c r="A702" s="19"/>
      <c r="B702" s="20">
        <v>101410002</v>
      </c>
      <c r="C702" s="100">
        <v>0</v>
      </c>
      <c r="D702" s="121">
        <f>COUNTIFS($F$33:F702,F702, $G$33:G702,G702, $C$33:C702,C702, $L$33:L702,L702)</f>
        <v>2</v>
      </c>
      <c r="E702" s="20">
        <v>1</v>
      </c>
      <c r="F702" s="20">
        <v>10</v>
      </c>
      <c r="G702" s="20">
        <v>1</v>
      </c>
      <c r="H702" s="103" t="s">
        <v>1898</v>
      </c>
      <c r="I702" s="20" t="s">
        <v>1902</v>
      </c>
      <c r="J702" s="104" t="str">
        <f t="shared" ref="J702:J709" si="519">"Item_Name_"&amp;B702</f>
        <v>Item_Name_101410002</v>
      </c>
      <c r="K702" s="20">
        <v>0</v>
      </c>
      <c r="L702" s="20">
        <v>99</v>
      </c>
      <c r="M702" s="105">
        <f>IF(D702=0, 0, _xlfn.XLOOKUP($F702,'#무게관련'!$B:$B,'#무게관련'!$C:$C)*_xlfn.XLOOKUP($L702,'#무게관련'!$F:$F,'#무게관련'!$G:$G)*100)</f>
        <v>1000</v>
      </c>
      <c r="N702" s="20">
        <v>0</v>
      </c>
      <c r="O702" s="20">
        <v>0</v>
      </c>
      <c r="P702" s="20">
        <v>15</v>
      </c>
      <c r="Q702" s="20">
        <v>1</v>
      </c>
      <c r="R702" s="20">
        <v>0</v>
      </c>
      <c r="S702" s="20">
        <v>1</v>
      </c>
      <c r="T702" s="20" t="s">
        <v>1907</v>
      </c>
      <c r="U702" s="104" t="s">
        <v>257</v>
      </c>
      <c r="V702" s="20" t="s">
        <v>1910</v>
      </c>
      <c r="W702" s="20" t="s">
        <v>429</v>
      </c>
      <c r="X702" s="104">
        <v>0</v>
      </c>
      <c r="Y702" s="104">
        <v>0</v>
      </c>
      <c r="Z702" s="104">
        <v>0</v>
      </c>
      <c r="AA702" s="104">
        <v>0</v>
      </c>
      <c r="AB702" s="104">
        <v>0</v>
      </c>
      <c r="AC702" s="104">
        <v>0</v>
      </c>
      <c r="AD702" s="142">
        <v>0</v>
      </c>
      <c r="AE702" s="31">
        <v>10</v>
      </c>
      <c r="AF702" s="70">
        <v>5910010</v>
      </c>
      <c r="AG702" s="105">
        <v>0</v>
      </c>
      <c r="AH702" s="145">
        <v>0</v>
      </c>
      <c r="AI702" s="90">
        <v>0</v>
      </c>
      <c r="AJ702" s="90">
        <v>0</v>
      </c>
      <c r="AK702" s="27">
        <v>0</v>
      </c>
      <c r="AL702" s="123">
        <f>_xlfn.XLOOKUP(H702,'#각종 참고'!$B$11:$B$22,'#각종 참고'!$D$11:$D$22)</f>
        <v>0</v>
      </c>
      <c r="AM702" s="27">
        <v>0</v>
      </c>
      <c r="AN702" s="27">
        <v>0</v>
      </c>
      <c r="AO702" s="124">
        <f t="shared" si="518"/>
        <v>0</v>
      </c>
      <c r="AP702" s="27">
        <v>0</v>
      </c>
    </row>
    <row r="703" spans="1:43" x14ac:dyDescent="0.3">
      <c r="A703" s="19"/>
      <c r="B703" s="20">
        <v>101410003</v>
      </c>
      <c r="C703" s="100">
        <v>0</v>
      </c>
      <c r="D703" s="121">
        <f>COUNTIFS($F$33:F703,F703, $G$33:G703,G703, $C$33:C703,C703, $L$33:L703,L703)</f>
        <v>3</v>
      </c>
      <c r="E703" s="20">
        <v>1</v>
      </c>
      <c r="F703" s="20">
        <v>10</v>
      </c>
      <c r="G703" s="20">
        <v>1</v>
      </c>
      <c r="H703" s="103" t="s">
        <v>1898</v>
      </c>
      <c r="I703" s="20" t="s">
        <v>1900</v>
      </c>
      <c r="J703" s="104" t="str">
        <f t="shared" si="519"/>
        <v>Item_Name_101410003</v>
      </c>
      <c r="K703" s="20">
        <v>0</v>
      </c>
      <c r="L703" s="20">
        <v>99</v>
      </c>
      <c r="M703" s="105">
        <f>IF(D703=0, 0, _xlfn.XLOOKUP($F703,'#무게관련'!$B:$B,'#무게관련'!$C:$C)*_xlfn.XLOOKUP($L703,'#무게관련'!$F:$F,'#무게관련'!$G:$G)*100)</f>
        <v>1000</v>
      </c>
      <c r="N703" s="20">
        <v>0</v>
      </c>
      <c r="O703" s="20">
        <v>0</v>
      </c>
      <c r="P703" s="20">
        <v>15</v>
      </c>
      <c r="Q703" s="20">
        <v>1</v>
      </c>
      <c r="R703" s="20">
        <v>0</v>
      </c>
      <c r="S703" s="20">
        <v>1</v>
      </c>
      <c r="T703" s="20" t="s">
        <v>1908</v>
      </c>
      <c r="U703" s="104" t="s">
        <v>257</v>
      </c>
      <c r="V703" s="20" t="s">
        <v>1910</v>
      </c>
      <c r="W703" s="20" t="s">
        <v>429</v>
      </c>
      <c r="X703" s="104">
        <v>0</v>
      </c>
      <c r="Y703" s="104">
        <v>0</v>
      </c>
      <c r="Z703" s="104">
        <v>0</v>
      </c>
      <c r="AA703" s="104">
        <v>0</v>
      </c>
      <c r="AB703" s="104">
        <v>0</v>
      </c>
      <c r="AC703" s="104">
        <v>0</v>
      </c>
      <c r="AD703" s="142">
        <v>0</v>
      </c>
      <c r="AE703" s="31">
        <v>10</v>
      </c>
      <c r="AF703" s="70">
        <v>5910010</v>
      </c>
      <c r="AG703" s="105">
        <v>0</v>
      </c>
      <c r="AH703" s="145">
        <v>0</v>
      </c>
      <c r="AI703" s="90">
        <v>0</v>
      </c>
      <c r="AJ703" s="90">
        <v>0</v>
      </c>
      <c r="AK703" s="27">
        <v>0</v>
      </c>
      <c r="AL703" s="123">
        <f>_xlfn.XLOOKUP(H703,'#각종 참고'!$B$11:$B$22,'#각종 참고'!$D$11:$D$22)</f>
        <v>0</v>
      </c>
      <c r="AM703" s="27">
        <v>0</v>
      </c>
      <c r="AN703" s="27">
        <v>0</v>
      </c>
      <c r="AO703" s="124">
        <f t="shared" si="518"/>
        <v>0</v>
      </c>
      <c r="AP703" s="27">
        <v>0</v>
      </c>
    </row>
    <row r="704" spans="1:43" x14ac:dyDescent="0.3">
      <c r="A704" s="19"/>
      <c r="B704" s="20">
        <v>101410004</v>
      </c>
      <c r="C704" s="100">
        <v>0</v>
      </c>
      <c r="D704" s="121">
        <f>COUNTIFS($F$33:F704,F704, $G$33:G704,G704, $C$33:C704,C704, $L$33:L704,L704)</f>
        <v>4</v>
      </c>
      <c r="E704" s="20">
        <v>1</v>
      </c>
      <c r="F704" s="20">
        <v>10</v>
      </c>
      <c r="G704" s="20">
        <v>1</v>
      </c>
      <c r="H704" s="103" t="s">
        <v>1898</v>
      </c>
      <c r="I704" s="20" t="s">
        <v>1901</v>
      </c>
      <c r="J704" s="104" t="str">
        <f t="shared" si="519"/>
        <v>Item_Name_101410004</v>
      </c>
      <c r="K704" s="20">
        <v>0</v>
      </c>
      <c r="L704" s="20">
        <v>99</v>
      </c>
      <c r="M704" s="105">
        <f>IF(D704=0, 0, _xlfn.XLOOKUP($F704,'#무게관련'!$B:$B,'#무게관련'!$C:$C)*_xlfn.XLOOKUP($L704,'#무게관련'!$F:$F,'#무게관련'!$G:$G)*100)</f>
        <v>1000</v>
      </c>
      <c r="N704" s="20">
        <v>0</v>
      </c>
      <c r="O704" s="20">
        <v>0</v>
      </c>
      <c r="P704" s="20">
        <v>15</v>
      </c>
      <c r="Q704" s="20">
        <v>1</v>
      </c>
      <c r="R704" s="20">
        <v>0</v>
      </c>
      <c r="S704" s="20">
        <v>1</v>
      </c>
      <c r="T704" s="20" t="s">
        <v>1909</v>
      </c>
      <c r="U704" s="104" t="s">
        <v>257</v>
      </c>
      <c r="V704" s="20" t="s">
        <v>1910</v>
      </c>
      <c r="W704" s="20" t="s">
        <v>429</v>
      </c>
      <c r="X704" s="104">
        <v>0</v>
      </c>
      <c r="Y704" s="104">
        <v>0</v>
      </c>
      <c r="Z704" s="104">
        <v>0</v>
      </c>
      <c r="AA704" s="104">
        <v>0</v>
      </c>
      <c r="AB704" s="104">
        <v>0</v>
      </c>
      <c r="AC704" s="104">
        <v>0</v>
      </c>
      <c r="AD704" s="142">
        <v>0</v>
      </c>
      <c r="AE704" s="31">
        <v>10</v>
      </c>
      <c r="AF704" s="70">
        <v>5910010</v>
      </c>
      <c r="AG704" s="105">
        <v>0</v>
      </c>
      <c r="AH704" s="145">
        <v>0</v>
      </c>
      <c r="AI704" s="90">
        <v>0</v>
      </c>
      <c r="AJ704" s="90">
        <v>0</v>
      </c>
      <c r="AK704" s="27">
        <v>0</v>
      </c>
      <c r="AL704" s="123">
        <f>_xlfn.XLOOKUP(H704,'#각종 참고'!$B$11:$B$22,'#각종 참고'!$D$11:$D$22)</f>
        <v>0</v>
      </c>
      <c r="AM704" s="27">
        <v>0</v>
      </c>
      <c r="AN704" s="27">
        <v>0</v>
      </c>
      <c r="AO704" s="124">
        <f t="shared" si="518"/>
        <v>0</v>
      </c>
      <c r="AP704" s="27">
        <v>0</v>
      </c>
    </row>
    <row r="705" spans="1:42" x14ac:dyDescent="0.3">
      <c r="A705" s="19"/>
      <c r="B705" s="20">
        <v>101411001</v>
      </c>
      <c r="C705" s="100">
        <v>0</v>
      </c>
      <c r="D705" s="121">
        <f>COUNTIFS($F$33:F705,F705, $G$33:G705,G705, $C$33:C705,C705, $L$33:L705,L705)</f>
        <v>1</v>
      </c>
      <c r="E705" s="20">
        <v>1</v>
      </c>
      <c r="F705" s="20">
        <v>11</v>
      </c>
      <c r="G705" s="20">
        <v>1</v>
      </c>
      <c r="H705" s="103" t="s">
        <v>1899</v>
      </c>
      <c r="I705" s="20" t="s">
        <v>1903</v>
      </c>
      <c r="J705" s="104" t="str">
        <f t="shared" si="519"/>
        <v>Item_Name_101411001</v>
      </c>
      <c r="K705" s="20">
        <v>0</v>
      </c>
      <c r="L705" s="20">
        <v>99</v>
      </c>
      <c r="M705" s="105">
        <f>IF(D705=0, 0, _xlfn.XLOOKUP($F705,'#무게관련'!$B:$B,'#무게관련'!$C:$C)*_xlfn.XLOOKUP($L705,'#무게관련'!$F:$F,'#무게관련'!$G:$G)*100)</f>
        <v>1000</v>
      </c>
      <c r="N705" s="20">
        <v>0</v>
      </c>
      <c r="O705" s="20">
        <v>0</v>
      </c>
      <c r="P705" s="20">
        <v>15</v>
      </c>
      <c r="Q705" s="20">
        <v>1</v>
      </c>
      <c r="R705" s="20">
        <v>0</v>
      </c>
      <c r="S705" s="20">
        <v>1</v>
      </c>
      <c r="T705" s="20" t="s">
        <v>1914</v>
      </c>
      <c r="U705" s="104" t="s">
        <v>257</v>
      </c>
      <c r="V705" s="20" t="s">
        <v>1910</v>
      </c>
      <c r="W705" s="20" t="s">
        <v>429</v>
      </c>
      <c r="X705" s="104">
        <v>0</v>
      </c>
      <c r="Y705" s="104">
        <v>0</v>
      </c>
      <c r="Z705" s="104">
        <v>0</v>
      </c>
      <c r="AA705" s="104">
        <v>0</v>
      </c>
      <c r="AB705" s="104">
        <v>0</v>
      </c>
      <c r="AC705" s="104">
        <v>0</v>
      </c>
      <c r="AD705" s="142">
        <v>0</v>
      </c>
      <c r="AE705" s="31">
        <v>10</v>
      </c>
      <c r="AF705" s="70">
        <v>5911010</v>
      </c>
      <c r="AG705" s="105">
        <v>0</v>
      </c>
      <c r="AH705" s="145">
        <v>0</v>
      </c>
      <c r="AI705" s="90">
        <v>0</v>
      </c>
      <c r="AJ705" s="90">
        <v>0</v>
      </c>
      <c r="AK705" s="27">
        <v>0</v>
      </c>
      <c r="AL705" s="123">
        <f>_xlfn.XLOOKUP(H705,'#각종 참고'!$B$11:$B$22,'#각종 참고'!$D$11:$D$22)</f>
        <v>0</v>
      </c>
      <c r="AM705" s="27">
        <v>0</v>
      </c>
      <c r="AN705" s="27">
        <v>0</v>
      </c>
      <c r="AO705" s="124">
        <f t="shared" si="518"/>
        <v>0</v>
      </c>
      <c r="AP705" s="27">
        <v>0</v>
      </c>
    </row>
    <row r="706" spans="1:42" x14ac:dyDescent="0.3">
      <c r="A706" s="19"/>
      <c r="B706" s="20">
        <v>101411002</v>
      </c>
      <c r="C706" s="100">
        <v>0</v>
      </c>
      <c r="D706" s="121">
        <f>COUNTIFS($F$33:F706,F706, $G$33:G706,G706, $C$33:C706,C706, $L$33:L706,L706)</f>
        <v>2</v>
      </c>
      <c r="E706" s="20">
        <v>1</v>
      </c>
      <c r="F706" s="20">
        <v>11</v>
      </c>
      <c r="G706" s="20">
        <v>1</v>
      </c>
      <c r="H706" s="103" t="s">
        <v>1899</v>
      </c>
      <c r="I706" s="20" t="s">
        <v>1904</v>
      </c>
      <c r="J706" s="104" t="str">
        <f t="shared" si="519"/>
        <v>Item_Name_101411002</v>
      </c>
      <c r="K706" s="20">
        <v>0</v>
      </c>
      <c r="L706" s="20">
        <v>99</v>
      </c>
      <c r="M706" s="105">
        <f>IF(D706=0, 0, _xlfn.XLOOKUP($F706,'#무게관련'!$B:$B,'#무게관련'!$C:$C)*_xlfn.XLOOKUP($L706,'#무게관련'!$F:$F,'#무게관련'!$G:$G)*100)</f>
        <v>1000</v>
      </c>
      <c r="N706" s="20">
        <v>0</v>
      </c>
      <c r="O706" s="20">
        <v>0</v>
      </c>
      <c r="P706" s="20">
        <v>15</v>
      </c>
      <c r="Q706" s="20">
        <v>1</v>
      </c>
      <c r="R706" s="20">
        <v>0</v>
      </c>
      <c r="S706" s="20">
        <v>1</v>
      </c>
      <c r="T706" s="20" t="s">
        <v>1912</v>
      </c>
      <c r="U706" s="104" t="s">
        <v>257</v>
      </c>
      <c r="V706" s="20" t="s">
        <v>1910</v>
      </c>
      <c r="W706" s="20" t="s">
        <v>429</v>
      </c>
      <c r="X706" s="104">
        <v>0</v>
      </c>
      <c r="Y706" s="104">
        <v>0</v>
      </c>
      <c r="Z706" s="104">
        <v>0</v>
      </c>
      <c r="AA706" s="104">
        <v>0</v>
      </c>
      <c r="AB706" s="104">
        <v>0</v>
      </c>
      <c r="AC706" s="104">
        <v>0</v>
      </c>
      <c r="AD706" s="142">
        <v>0</v>
      </c>
      <c r="AE706" s="31">
        <v>10</v>
      </c>
      <c r="AF706" s="70">
        <v>5911010</v>
      </c>
      <c r="AG706" s="105">
        <v>0</v>
      </c>
      <c r="AH706" s="145">
        <v>0</v>
      </c>
      <c r="AI706" s="90">
        <v>0</v>
      </c>
      <c r="AJ706" s="90">
        <v>0</v>
      </c>
      <c r="AK706" s="27">
        <v>0</v>
      </c>
      <c r="AL706" s="123">
        <f>_xlfn.XLOOKUP(H706,'#각종 참고'!$B$11:$B$22,'#각종 참고'!$D$11:$D$22)</f>
        <v>0</v>
      </c>
      <c r="AM706" s="27">
        <v>0</v>
      </c>
      <c r="AN706" s="27">
        <v>0</v>
      </c>
      <c r="AO706" s="124">
        <f t="shared" si="518"/>
        <v>0</v>
      </c>
      <c r="AP706" s="27">
        <v>0</v>
      </c>
    </row>
    <row r="707" spans="1:42" x14ac:dyDescent="0.3">
      <c r="A707" s="19"/>
      <c r="B707" s="127">
        <v>101411003</v>
      </c>
      <c r="C707" s="125">
        <v>0</v>
      </c>
      <c r="D707" s="126">
        <f>COUNTIFS($F$33:F707,F707, $G$33:G707,G707, $C$33:C707,C707, $L$33:L707,L707)</f>
        <v>3</v>
      </c>
      <c r="E707" s="127">
        <v>1</v>
      </c>
      <c r="F707" s="127">
        <v>11</v>
      </c>
      <c r="G707" s="127">
        <v>1</v>
      </c>
      <c r="H707" s="103" t="s">
        <v>1899</v>
      </c>
      <c r="I707" s="20" t="s">
        <v>1905</v>
      </c>
      <c r="J707" s="104" t="str">
        <f t="shared" si="519"/>
        <v>Item_Name_101411003</v>
      </c>
      <c r="K707" s="20">
        <v>0</v>
      </c>
      <c r="L707" s="20">
        <v>99</v>
      </c>
      <c r="M707" s="105">
        <f>IF(D707=0, 0, _xlfn.XLOOKUP($F707,'#무게관련'!$B:$B,'#무게관련'!$C:$C)*_xlfn.XLOOKUP($L707,'#무게관련'!$F:$F,'#무게관련'!$G:$G)*100)</f>
        <v>1000</v>
      </c>
      <c r="N707" s="20">
        <v>0</v>
      </c>
      <c r="O707" s="20">
        <v>0</v>
      </c>
      <c r="P707" s="20">
        <v>15</v>
      </c>
      <c r="Q707" s="20">
        <v>1</v>
      </c>
      <c r="R707" s="20">
        <v>0</v>
      </c>
      <c r="S707" s="20">
        <v>1</v>
      </c>
      <c r="T707" s="20" t="s">
        <v>1913</v>
      </c>
      <c r="U707" s="104" t="s">
        <v>257</v>
      </c>
      <c r="V707" s="20" t="s">
        <v>1910</v>
      </c>
      <c r="W707" s="20" t="s">
        <v>429</v>
      </c>
      <c r="X707" s="104">
        <v>0</v>
      </c>
      <c r="Y707" s="104">
        <v>0</v>
      </c>
      <c r="Z707" s="104">
        <v>0</v>
      </c>
      <c r="AA707" s="104">
        <v>0</v>
      </c>
      <c r="AB707" s="104">
        <v>0</v>
      </c>
      <c r="AC707" s="104">
        <v>0</v>
      </c>
      <c r="AD707" s="142">
        <v>0</v>
      </c>
      <c r="AE707" s="31">
        <v>10</v>
      </c>
      <c r="AF707" s="70">
        <v>5911010</v>
      </c>
      <c r="AG707" s="105">
        <v>0</v>
      </c>
      <c r="AH707" s="145">
        <v>0</v>
      </c>
      <c r="AI707" s="90">
        <v>0</v>
      </c>
      <c r="AJ707" s="90">
        <v>0</v>
      </c>
      <c r="AK707" s="27">
        <v>0</v>
      </c>
      <c r="AL707" s="123">
        <f>_xlfn.XLOOKUP(H707,'#각종 참고'!$B$11:$B$22,'#각종 참고'!$D$11:$D$22)</f>
        <v>0</v>
      </c>
      <c r="AM707" s="27">
        <v>0</v>
      </c>
      <c r="AN707" s="27">
        <v>0</v>
      </c>
      <c r="AO707" s="124">
        <f t="shared" si="518"/>
        <v>0</v>
      </c>
      <c r="AP707" s="27">
        <v>0</v>
      </c>
    </row>
    <row r="708" spans="1:42" x14ac:dyDescent="0.3">
      <c r="A708" s="28"/>
      <c r="B708" s="20">
        <v>101411004</v>
      </c>
      <c r="C708" s="129">
        <v>0</v>
      </c>
      <c r="D708" s="130">
        <f>COUNTIFS($F$33:F708,F708, $G$33:G708,G708, $C$33:C708,C708, $L$33:L708,L708)</f>
        <v>4</v>
      </c>
      <c r="E708" s="20">
        <v>1</v>
      </c>
      <c r="F708" s="20">
        <v>11</v>
      </c>
      <c r="G708" s="20">
        <v>1</v>
      </c>
      <c r="H708" s="103" t="s">
        <v>1899</v>
      </c>
      <c r="I708" s="20" t="s">
        <v>1916</v>
      </c>
      <c r="J708" s="104" t="str">
        <f t="shared" si="519"/>
        <v>Item_Name_101411004</v>
      </c>
      <c r="K708" s="20">
        <v>0</v>
      </c>
      <c r="L708" s="20">
        <v>99</v>
      </c>
      <c r="M708" s="105">
        <f>IF(D708=0, 0, _xlfn.XLOOKUP($F708,'#무게관련'!$B:$B,'#무게관련'!$C:$C)*_xlfn.XLOOKUP($L708,'#무게관련'!$F:$F,'#무게관련'!$G:$G)*100)</f>
        <v>1000</v>
      </c>
      <c r="N708" s="20">
        <v>0</v>
      </c>
      <c r="O708" s="20">
        <v>0</v>
      </c>
      <c r="P708" s="20">
        <v>15</v>
      </c>
      <c r="Q708" s="20">
        <v>1</v>
      </c>
      <c r="R708" s="20">
        <v>0</v>
      </c>
      <c r="S708" s="20">
        <v>1</v>
      </c>
      <c r="T708" s="20" t="s">
        <v>1911</v>
      </c>
      <c r="U708" s="104" t="s">
        <v>257</v>
      </c>
      <c r="V708" s="20" t="s">
        <v>1910</v>
      </c>
      <c r="W708" s="20" t="s">
        <v>429</v>
      </c>
      <c r="X708" s="104">
        <v>0</v>
      </c>
      <c r="Y708" s="104">
        <v>0</v>
      </c>
      <c r="Z708" s="104">
        <v>0</v>
      </c>
      <c r="AA708" s="104">
        <v>0</v>
      </c>
      <c r="AB708" s="104">
        <v>0</v>
      </c>
      <c r="AC708" s="104">
        <v>0</v>
      </c>
      <c r="AD708" s="104">
        <v>0</v>
      </c>
      <c r="AE708" s="20">
        <v>10</v>
      </c>
      <c r="AF708" s="70">
        <v>5911010</v>
      </c>
      <c r="AG708" s="105">
        <v>0</v>
      </c>
      <c r="AH708" s="145">
        <v>0</v>
      </c>
      <c r="AI708" s="90">
        <v>0</v>
      </c>
      <c r="AJ708" s="90">
        <v>0</v>
      </c>
      <c r="AK708" s="27">
        <v>0</v>
      </c>
      <c r="AL708" s="123">
        <f>_xlfn.XLOOKUP(H708,'#각종 참고'!$B$11:$B$22,'#각종 참고'!$D$11:$D$22)</f>
        <v>0</v>
      </c>
      <c r="AM708" s="27">
        <v>0</v>
      </c>
      <c r="AN708" s="27">
        <v>0</v>
      </c>
      <c r="AO708" s="124">
        <f t="shared" si="518"/>
        <v>0</v>
      </c>
      <c r="AP708" s="27">
        <v>0</v>
      </c>
    </row>
    <row r="709" spans="1:42" x14ac:dyDescent="0.3">
      <c r="B709" s="90">
        <v>99999999</v>
      </c>
      <c r="C709" s="129">
        <v>0</v>
      </c>
      <c r="D709" s="130">
        <f>COUNTIFS($F$33:F709,F709, $G$33:G709,G709, $C$33:C709,C709, $L$33:L709,L709)</f>
        <v>11</v>
      </c>
      <c r="E709" s="20">
        <v>1</v>
      </c>
      <c r="F709" s="90">
        <v>9</v>
      </c>
      <c r="G709" s="90">
        <v>1</v>
      </c>
      <c r="H709" s="103" t="s">
        <v>1899</v>
      </c>
      <c r="I709" s="27" t="s">
        <v>1918</v>
      </c>
      <c r="J709" s="104" t="str">
        <f t="shared" si="519"/>
        <v>Item_Name_99999999</v>
      </c>
      <c r="K709" s="20">
        <v>0</v>
      </c>
      <c r="L709" s="90">
        <v>1</v>
      </c>
      <c r="M709" s="105">
        <f>IF(D709=0, 0, _xlfn.XLOOKUP($F709,'#무게관련'!$B:$B,'#무게관련'!$C:$C)*_xlfn.XLOOKUP($L709,'#무게관련'!$F:$F,'#무게관련'!$G:$G)*100)</f>
        <v>1000</v>
      </c>
      <c r="N709" s="20">
        <v>0</v>
      </c>
      <c r="O709" s="20">
        <v>0</v>
      </c>
      <c r="P709" s="90">
        <v>0</v>
      </c>
      <c r="Q709" s="20">
        <v>0</v>
      </c>
      <c r="R709" s="90">
        <v>0</v>
      </c>
      <c r="S709" s="90">
        <v>1</v>
      </c>
      <c r="T709" s="20" t="s">
        <v>1892</v>
      </c>
      <c r="U709" s="104" t="s">
        <v>1919</v>
      </c>
      <c r="V709" s="20" t="s">
        <v>1910</v>
      </c>
      <c r="W709" s="20" t="s">
        <v>429</v>
      </c>
      <c r="X709" s="104">
        <v>0</v>
      </c>
      <c r="Y709" s="104">
        <v>0</v>
      </c>
      <c r="Z709" s="104">
        <v>0</v>
      </c>
      <c r="AA709" s="104">
        <v>0</v>
      </c>
      <c r="AB709" s="104">
        <v>0</v>
      </c>
      <c r="AC709" s="104">
        <v>0</v>
      </c>
      <c r="AD709" s="104">
        <v>0</v>
      </c>
      <c r="AE709" s="44">
        <v>0</v>
      </c>
      <c r="AF709" s="134">
        <v>6109010</v>
      </c>
      <c r="AG709" s="105">
        <v>0</v>
      </c>
      <c r="AH709" s="90">
        <v>0</v>
      </c>
      <c r="AI709" s="90">
        <v>0</v>
      </c>
      <c r="AJ709" s="90">
        <v>0</v>
      </c>
      <c r="AK709" s="27">
        <v>0</v>
      </c>
      <c r="AL709" s="123">
        <f>_xlfn.XLOOKUP(H709,'#각종 참고'!$B$11:$B$22,'#각종 참고'!$D$11:$D$22)</f>
        <v>0</v>
      </c>
      <c r="AM709" s="27">
        <v>1</v>
      </c>
      <c r="AN709" s="27">
        <v>0</v>
      </c>
      <c r="AO709" s="124">
        <f t="shared" si="518"/>
        <v>1</v>
      </c>
      <c r="AP709" s="27">
        <v>0</v>
      </c>
    </row>
    <row r="710" spans="1:42" x14ac:dyDescent="0.3">
      <c r="C710" s="128"/>
      <c r="D710" s="128"/>
    </row>
  </sheetData>
  <autoFilter ref="A4:AP709" xr:uid="{334CE305-53E7-4A23-94B8-386EFE38D6A1}"/>
  <phoneticPr fontId="1" type="noConversion"/>
  <conditionalFormatting sqref="B48:B50">
    <cfRule type="duplicateValues" dxfId="49" priority="83"/>
  </conditionalFormatting>
  <conditionalFormatting sqref="B66:B68">
    <cfRule type="duplicateValues" dxfId="48" priority="81"/>
  </conditionalFormatting>
  <conditionalFormatting sqref="B84:B86">
    <cfRule type="duplicateValues" dxfId="47" priority="77"/>
  </conditionalFormatting>
  <conditionalFormatting sqref="B102:B104">
    <cfRule type="duplicateValues" dxfId="46" priority="79"/>
  </conditionalFormatting>
  <conditionalFormatting sqref="B321:B1048576 B141:B314 B123:B134 B105:B116 B87:B98 B69:B80 B51:B62 B1:B44">
    <cfRule type="duplicateValues" dxfId="45" priority="95"/>
  </conditionalFormatting>
  <conditionalFormatting sqref="B120:B122">
    <cfRule type="duplicateValues" dxfId="44" priority="48"/>
  </conditionalFormatting>
  <conditionalFormatting sqref="B138:B140">
    <cfRule type="duplicateValues" dxfId="43" priority="46"/>
  </conditionalFormatting>
  <conditionalFormatting sqref="I1:I1048576">
    <cfRule type="duplicateValues" dxfId="42" priority="1"/>
  </conditionalFormatting>
  <conditionalFormatting sqref="B45:B47">
    <cfRule type="duplicateValues" dxfId="41" priority="96"/>
  </conditionalFormatting>
  <conditionalFormatting sqref="B63:B65">
    <cfRule type="duplicateValues" dxfId="40" priority="97"/>
  </conditionalFormatting>
  <conditionalFormatting sqref="B81:B83">
    <cfRule type="duplicateValues" dxfId="39" priority="98"/>
  </conditionalFormatting>
  <conditionalFormatting sqref="B99:B101">
    <cfRule type="duplicateValues" dxfId="38" priority="99"/>
  </conditionalFormatting>
  <conditionalFormatting sqref="B117:B119">
    <cfRule type="duplicateValues" dxfId="37" priority="107"/>
  </conditionalFormatting>
  <conditionalFormatting sqref="B135:B137">
    <cfRule type="duplicateValues" dxfId="36" priority="115"/>
  </conditionalFormatting>
  <conditionalFormatting sqref="B153:B158">
    <cfRule type="duplicateValues" dxfId="35" priority="124"/>
  </conditionalFormatting>
  <conditionalFormatting sqref="B171:B176">
    <cfRule type="duplicateValues" dxfId="34" priority="133"/>
  </conditionalFormatting>
  <conditionalFormatting sqref="B189:B194">
    <cfRule type="duplicateValues" dxfId="33" priority="142"/>
  </conditionalFormatting>
  <conditionalFormatting sqref="B207:B212">
    <cfRule type="duplicateValues" dxfId="32" priority="151"/>
  </conditionalFormatting>
  <conditionalFormatting sqref="B225:B230">
    <cfRule type="duplicateValues" dxfId="31" priority="160"/>
  </conditionalFormatting>
  <conditionalFormatting sqref="B243:B248">
    <cfRule type="duplicateValues" dxfId="30" priority="169"/>
  </conditionalFormatting>
  <conditionalFormatting sqref="B261:B266">
    <cfRule type="duplicateValues" dxfId="29" priority="178"/>
  </conditionalFormatting>
  <conditionalFormatting sqref="B279:B284">
    <cfRule type="duplicateValues" dxfId="28" priority="187"/>
  </conditionalFormatting>
  <conditionalFormatting sqref="B297:B302">
    <cfRule type="duplicateValues" dxfId="27" priority="196"/>
  </conditionalFormatting>
  <conditionalFormatting sqref="B315:B320">
    <cfRule type="duplicateValues" dxfId="26" priority="204"/>
  </conditionalFormatting>
  <conditionalFormatting sqref="B333:B338">
    <cfRule type="duplicateValues" dxfId="25" priority="215"/>
  </conditionalFormatting>
  <conditionalFormatting sqref="B351:B356">
    <cfRule type="duplicateValues" dxfId="24" priority="226"/>
  </conditionalFormatting>
  <conditionalFormatting sqref="B369:B374">
    <cfRule type="duplicateValues" dxfId="23" priority="237"/>
  </conditionalFormatting>
  <conditionalFormatting sqref="B387:B392">
    <cfRule type="duplicateValues" dxfId="22" priority="248"/>
  </conditionalFormatting>
  <conditionalFormatting sqref="B405:B410">
    <cfRule type="duplicateValues" dxfId="21" priority="259"/>
  </conditionalFormatting>
  <conditionalFormatting sqref="B423:B428">
    <cfRule type="duplicateValues" dxfId="20" priority="270"/>
  </conditionalFormatting>
  <conditionalFormatting sqref="B441:B446">
    <cfRule type="duplicateValues" dxfId="19" priority="281"/>
  </conditionalFormatting>
  <conditionalFormatting sqref="B459:B464">
    <cfRule type="duplicateValues" dxfId="18" priority="292"/>
  </conditionalFormatting>
  <conditionalFormatting sqref="B477:B482">
    <cfRule type="duplicateValues" dxfId="17" priority="303"/>
  </conditionalFormatting>
  <conditionalFormatting sqref="B495:B500">
    <cfRule type="duplicateValues" dxfId="16" priority="314"/>
  </conditionalFormatting>
  <conditionalFormatting sqref="B513:B518">
    <cfRule type="duplicateValues" dxfId="15" priority="325"/>
  </conditionalFormatting>
  <conditionalFormatting sqref="B531:B536">
    <cfRule type="duplicateValues" dxfId="14" priority="336"/>
  </conditionalFormatting>
  <conditionalFormatting sqref="B549:B554">
    <cfRule type="duplicateValues" dxfId="13" priority="347"/>
  </conditionalFormatting>
  <conditionalFormatting sqref="B567:B572">
    <cfRule type="duplicateValues" dxfId="12" priority="358"/>
  </conditionalFormatting>
  <conditionalFormatting sqref="B585:B590">
    <cfRule type="duplicateValues" dxfId="11" priority="369"/>
  </conditionalFormatting>
  <conditionalFormatting sqref="B603:B608">
    <cfRule type="duplicateValues" dxfId="10" priority="380"/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E129AE-6FE9-45EF-86F6-8BD4D3753D7C}">
          <x14:formula1>
            <xm:f>'#각종 참고'!$B$11:$B$20</xm:f>
          </x14:formula1>
          <xm:sqref>H5:H668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C74AA-26CF-4DE7-BC71-F0713B62CCBE}">
  <sheetPr codeName="Sheet4"/>
  <dimension ref="A1:CA352"/>
  <sheetViews>
    <sheetView workbookViewId="0"/>
  </sheetViews>
  <sheetFormatPr defaultRowHeight="12" x14ac:dyDescent="0.3"/>
  <cols>
    <col min="1" max="1" width="2.125" style="21" customWidth="1"/>
    <col min="2" max="2" width="18.875" style="21" customWidth="1"/>
    <col min="3" max="4" width="12" style="56" hidden="1" customWidth="1"/>
    <col min="5" max="5" width="12" style="50" hidden="1" customWidth="1"/>
    <col min="6" max="6" width="18.875" style="21" bestFit="1" customWidth="1"/>
    <col min="7" max="7" width="19.5" style="21" customWidth="1"/>
    <col min="8" max="8" width="26" style="21" bestFit="1" customWidth="1"/>
    <col min="9" max="9" width="20.125" style="21" bestFit="1" customWidth="1"/>
    <col min="10" max="10" width="11.875" style="21" bestFit="1" customWidth="1"/>
    <col min="11" max="11" width="17.625" style="21" bestFit="1" customWidth="1"/>
    <col min="12" max="13" width="15.5" style="21" bestFit="1" customWidth="1"/>
    <col min="14" max="14" width="12.625" style="21" bestFit="1" customWidth="1"/>
    <col min="15" max="15" width="8" style="21" bestFit="1" customWidth="1"/>
    <col min="16" max="16" width="21" style="21" bestFit="1" customWidth="1"/>
    <col min="17" max="17" width="21.875" style="21" bestFit="1" customWidth="1"/>
    <col min="18" max="18" width="15.875" style="21" bestFit="1" customWidth="1"/>
    <col min="19" max="19" width="18.875" style="21" bestFit="1" customWidth="1"/>
    <col min="20" max="20" width="17.875" style="21" bestFit="1" customWidth="1"/>
    <col min="21" max="22" width="14.625" style="21" bestFit="1" customWidth="1"/>
    <col min="23" max="24" width="14.375" style="21" bestFit="1" customWidth="1"/>
    <col min="25" max="25" width="17.25" style="21" bestFit="1" customWidth="1"/>
    <col min="26" max="30" width="17.25" style="21" customWidth="1"/>
    <col min="31" max="31" width="28.75" style="21" bestFit="1" customWidth="1"/>
    <col min="32" max="32" width="21.125" style="34" bestFit="1" customWidth="1"/>
    <col min="33" max="34" width="18.875" style="21" bestFit="1" customWidth="1"/>
    <col min="35" max="35" width="13.375" style="21" bestFit="1" customWidth="1"/>
    <col min="36" max="36" width="24.375" style="21" bestFit="1" customWidth="1"/>
    <col min="37" max="37" width="13" style="21" bestFit="1" customWidth="1"/>
    <col min="38" max="38" width="14.75" style="21" bestFit="1" customWidth="1"/>
    <col min="39" max="39" width="22.25" style="21" bestFit="1" customWidth="1"/>
    <col min="40" max="40" width="23" style="21" bestFit="1" customWidth="1"/>
    <col min="41" max="41" width="24.375" style="21" customWidth="1"/>
    <col min="42" max="42" width="24.375" style="27" bestFit="1" customWidth="1"/>
    <col min="43" max="44" width="8.75" style="27" bestFit="1" customWidth="1"/>
    <col min="45" max="45" width="15" style="27" bestFit="1" customWidth="1"/>
    <col min="46" max="46" width="24.375" style="27" bestFit="1" customWidth="1"/>
    <col min="47" max="47" width="33.25" style="27" bestFit="1" customWidth="1"/>
    <col min="48" max="48" width="15.375" style="27" bestFit="1" customWidth="1"/>
    <col min="49" max="49" width="21.5" style="27" bestFit="1" customWidth="1"/>
    <col min="50" max="50" width="24.375" style="27" bestFit="1" customWidth="1"/>
    <col min="51" max="51" width="19" style="27" bestFit="1" customWidth="1"/>
    <col min="52" max="52" width="19.25" style="27" bestFit="1" customWidth="1"/>
    <col min="53" max="53" width="30.625" style="27" bestFit="1" customWidth="1"/>
    <col min="54" max="54" width="16.375" style="27" bestFit="1" customWidth="1"/>
    <col min="55" max="55" width="16" style="27" bestFit="1" customWidth="1"/>
    <col min="56" max="56" width="13.75" style="27" bestFit="1" customWidth="1"/>
    <col min="57" max="57" width="18.625" style="27" bestFit="1" customWidth="1"/>
    <col min="58" max="58" width="17.25" style="21" bestFit="1" customWidth="1"/>
    <col min="59" max="59" width="21.625" style="21" bestFit="1" customWidth="1"/>
    <col min="60" max="60" width="17.5" style="21" bestFit="1" customWidth="1"/>
    <col min="61" max="61" width="22.375" style="21" bestFit="1" customWidth="1"/>
    <col min="62" max="62" width="22.625" style="21" bestFit="1" customWidth="1"/>
    <col min="63" max="63" width="16.125" style="21" bestFit="1" customWidth="1"/>
    <col min="64" max="64" width="16.625" style="21" bestFit="1" customWidth="1"/>
    <col min="65" max="67" width="22" style="21" bestFit="1" customWidth="1"/>
    <col min="68" max="68" width="11.625" style="21" bestFit="1" customWidth="1"/>
    <col min="69" max="69" width="16.25" style="21" bestFit="1" customWidth="1"/>
    <col min="70" max="70" width="21.125" style="21" bestFit="1" customWidth="1"/>
    <col min="71" max="71" width="21.375" style="21" bestFit="1" customWidth="1"/>
    <col min="72" max="72" width="8" style="21" bestFit="1" customWidth="1"/>
    <col min="73" max="75" width="12.375" style="21" bestFit="1" customWidth="1"/>
    <col min="76" max="76" width="11.75" style="21" bestFit="1" customWidth="1"/>
    <col min="77" max="77" width="14.375" style="21" bestFit="1" customWidth="1"/>
    <col min="78" max="78" width="10.5" style="21" bestFit="1" customWidth="1"/>
    <col min="79" max="79" width="17.375" style="21" bestFit="1" customWidth="1"/>
    <col min="80" max="16384" width="9" style="21"/>
  </cols>
  <sheetData>
    <row r="1" spans="1:79" x14ac:dyDescent="0.3">
      <c r="A1" s="19"/>
      <c r="B1" s="19"/>
      <c r="C1" s="51" t="s">
        <v>513</v>
      </c>
      <c r="D1" s="51" t="s">
        <v>513</v>
      </c>
      <c r="E1" s="46" t="s">
        <v>513</v>
      </c>
      <c r="F1" s="19"/>
      <c r="G1" s="19"/>
      <c r="H1" s="19" t="s">
        <v>337</v>
      </c>
      <c r="I1" s="19" t="s">
        <v>337</v>
      </c>
      <c r="J1" s="19"/>
      <c r="K1" s="19"/>
      <c r="L1" s="19"/>
      <c r="M1" s="19"/>
      <c r="N1" s="19"/>
      <c r="O1" s="19"/>
      <c r="P1" s="19"/>
      <c r="Q1" s="19"/>
      <c r="R1" s="19" t="s">
        <v>337</v>
      </c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28"/>
      <c r="AF1" s="2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20"/>
      <c r="BH1" s="19"/>
      <c r="BI1" s="19"/>
      <c r="BJ1" s="19"/>
      <c r="BK1" s="19"/>
      <c r="BL1" s="19"/>
      <c r="BM1" s="19"/>
      <c r="BN1" s="19"/>
      <c r="BO1" s="19"/>
      <c r="BP1" s="19"/>
      <c r="BQ1" s="19"/>
      <c r="BR1" s="19"/>
      <c r="BS1" s="19"/>
      <c r="BT1" s="19"/>
      <c r="BU1" s="19"/>
      <c r="BV1" s="19"/>
      <c r="BW1" s="19"/>
      <c r="BX1" s="19"/>
      <c r="BY1" s="19"/>
      <c r="BZ1" s="19"/>
      <c r="CA1" s="19"/>
    </row>
    <row r="2" spans="1:79" ht="108" x14ac:dyDescent="0.3">
      <c r="A2" s="19" t="s">
        <v>337</v>
      </c>
      <c r="B2" s="36" t="s">
        <v>521</v>
      </c>
      <c r="C2" s="52" t="s">
        <v>516</v>
      </c>
      <c r="D2" s="52" t="s">
        <v>515</v>
      </c>
      <c r="E2" s="47" t="s">
        <v>517</v>
      </c>
      <c r="F2" s="20" t="s">
        <v>338</v>
      </c>
      <c r="G2" s="20" t="s">
        <v>512</v>
      </c>
      <c r="H2" s="20" t="s">
        <v>339</v>
      </c>
      <c r="I2" s="20" t="s">
        <v>481</v>
      </c>
      <c r="J2" s="20" t="s">
        <v>340</v>
      </c>
      <c r="K2" s="20" t="s">
        <v>877</v>
      </c>
      <c r="L2" s="35" t="s">
        <v>482</v>
      </c>
      <c r="M2" s="35" t="s">
        <v>482</v>
      </c>
      <c r="N2" s="35" t="s">
        <v>472</v>
      </c>
      <c r="O2" s="20" t="s">
        <v>346</v>
      </c>
      <c r="P2" s="35" t="s">
        <v>483</v>
      </c>
      <c r="Q2" s="36" t="s">
        <v>484</v>
      </c>
      <c r="R2" s="35" t="s">
        <v>471</v>
      </c>
      <c r="S2" s="37" t="s">
        <v>469</v>
      </c>
      <c r="T2" s="37" t="s">
        <v>470</v>
      </c>
      <c r="U2" s="20" t="s">
        <v>341</v>
      </c>
      <c r="V2" s="20" t="s">
        <v>342</v>
      </c>
      <c r="W2" s="20" t="s">
        <v>343</v>
      </c>
      <c r="X2" s="20" t="s">
        <v>344</v>
      </c>
      <c r="Y2" s="20" t="s">
        <v>475</v>
      </c>
      <c r="Z2" s="20" t="s">
        <v>476</v>
      </c>
      <c r="AA2" s="20" t="s">
        <v>477</v>
      </c>
      <c r="AB2" s="20" t="s">
        <v>478</v>
      </c>
      <c r="AC2" s="20" t="s">
        <v>479</v>
      </c>
      <c r="AD2" s="20" t="s">
        <v>480</v>
      </c>
      <c r="AE2" s="38" t="s">
        <v>468</v>
      </c>
      <c r="AF2" s="30" t="s">
        <v>345</v>
      </c>
      <c r="AG2" s="24" t="s">
        <v>465</v>
      </c>
      <c r="AH2" s="25" t="s">
        <v>466</v>
      </c>
      <c r="AI2" s="22" t="s">
        <v>347</v>
      </c>
      <c r="AJ2" s="24" t="s">
        <v>467</v>
      </c>
      <c r="AK2" s="20"/>
      <c r="AL2" s="20" t="s">
        <v>348</v>
      </c>
      <c r="AM2" s="20" t="s">
        <v>349</v>
      </c>
      <c r="AN2" s="20" t="s">
        <v>350</v>
      </c>
      <c r="AO2" s="20" t="s">
        <v>351</v>
      </c>
      <c r="AP2" s="20" t="s">
        <v>352</v>
      </c>
      <c r="AQ2" s="20"/>
      <c r="AR2" s="20"/>
      <c r="AS2" s="20" t="s">
        <v>353</v>
      </c>
      <c r="AT2" s="20" t="s">
        <v>354</v>
      </c>
      <c r="AU2" s="20" t="s">
        <v>355</v>
      </c>
      <c r="AV2" s="20"/>
      <c r="AW2" s="20"/>
      <c r="AX2" s="20"/>
      <c r="AY2" s="20"/>
      <c r="AZ2" s="20"/>
      <c r="BA2" s="20" t="s">
        <v>356</v>
      </c>
      <c r="BB2" s="20"/>
      <c r="BC2" s="20"/>
      <c r="BD2" s="20" t="s">
        <v>357</v>
      </c>
      <c r="BE2" s="20" t="s">
        <v>357</v>
      </c>
      <c r="BF2" s="20" t="s">
        <v>357</v>
      </c>
      <c r="BG2" s="20" t="s">
        <v>486</v>
      </c>
      <c r="BH2" s="20" t="s">
        <v>357</v>
      </c>
      <c r="BI2" s="20" t="s">
        <v>357</v>
      </c>
      <c r="BJ2" s="20" t="s">
        <v>357</v>
      </c>
      <c r="BK2" s="20"/>
      <c r="BL2" s="20" t="s">
        <v>358</v>
      </c>
      <c r="BM2" s="20"/>
      <c r="BN2" s="20"/>
      <c r="BO2" s="20"/>
      <c r="BP2" s="20"/>
      <c r="BQ2" s="20" t="s">
        <v>357</v>
      </c>
      <c r="BR2" s="20" t="s">
        <v>357</v>
      </c>
      <c r="BS2" s="20" t="s">
        <v>357</v>
      </c>
      <c r="BT2" s="20" t="s">
        <v>359</v>
      </c>
      <c r="BU2" s="20" t="s">
        <v>359</v>
      </c>
      <c r="BV2" s="20" t="s">
        <v>359</v>
      </c>
      <c r="BW2" s="20" t="s">
        <v>359</v>
      </c>
      <c r="BX2" s="20"/>
      <c r="BY2" s="20"/>
      <c r="BZ2" s="20" t="s">
        <v>359</v>
      </c>
      <c r="CA2" s="20"/>
    </row>
    <row r="3" spans="1:79" x14ac:dyDescent="0.3">
      <c r="A3" s="19"/>
      <c r="B3" s="36" t="s">
        <v>511</v>
      </c>
      <c r="C3" s="53" t="s">
        <v>514</v>
      </c>
      <c r="D3" s="53" t="s">
        <v>514</v>
      </c>
      <c r="E3" s="48" t="s">
        <v>514</v>
      </c>
      <c r="F3" s="36" t="s">
        <v>18</v>
      </c>
      <c r="G3" s="36" t="s">
        <v>200</v>
      </c>
      <c r="H3" s="36" t="s">
        <v>510</v>
      </c>
      <c r="I3" s="36" t="s">
        <v>15</v>
      </c>
      <c r="J3" s="36" t="s">
        <v>26</v>
      </c>
      <c r="K3" s="36" t="s">
        <v>519</v>
      </c>
      <c r="L3" s="36" t="s">
        <v>56</v>
      </c>
      <c r="M3" s="36" t="s">
        <v>57</v>
      </c>
      <c r="N3" s="36" t="s">
        <v>369</v>
      </c>
      <c r="O3" s="36" t="s">
        <v>367</v>
      </c>
      <c r="P3" s="36" t="s">
        <v>368</v>
      </c>
      <c r="Q3" s="36" t="s">
        <v>485</v>
      </c>
      <c r="R3" s="36" t="s">
        <v>518</v>
      </c>
      <c r="S3" s="36" t="s">
        <v>363</v>
      </c>
      <c r="T3" s="36" t="s">
        <v>364</v>
      </c>
      <c r="U3" s="36" t="s">
        <v>30</v>
      </c>
      <c r="V3" s="36" t="s">
        <v>32</v>
      </c>
      <c r="W3" s="36" t="s">
        <v>34</v>
      </c>
      <c r="X3" s="36" t="s">
        <v>361</v>
      </c>
      <c r="Y3" s="36" t="s">
        <v>365</v>
      </c>
      <c r="Z3" s="36" t="s">
        <v>332</v>
      </c>
      <c r="AA3" s="36" t="s">
        <v>333</v>
      </c>
      <c r="AB3" s="36" t="s">
        <v>334</v>
      </c>
      <c r="AC3" s="36" t="s">
        <v>335</v>
      </c>
      <c r="AD3" s="36" t="s">
        <v>336</v>
      </c>
      <c r="AE3" s="42" t="s">
        <v>366</v>
      </c>
      <c r="AF3" s="31" t="s">
        <v>36</v>
      </c>
      <c r="AG3" s="20" t="s">
        <v>39</v>
      </c>
      <c r="AH3" s="20" t="s">
        <v>362</v>
      </c>
      <c r="AI3" s="20" t="s">
        <v>43</v>
      </c>
      <c r="AJ3" s="20" t="s">
        <v>50</v>
      </c>
      <c r="AK3" s="20" t="s">
        <v>58</v>
      </c>
      <c r="AL3" s="20" t="s">
        <v>59</v>
      </c>
      <c r="AM3" s="20" t="s">
        <v>60</v>
      </c>
      <c r="AN3" s="20" t="s">
        <v>61</v>
      </c>
      <c r="AO3" s="20" t="s">
        <v>62</v>
      </c>
      <c r="AP3" s="20" t="s">
        <v>63</v>
      </c>
      <c r="AQ3" s="20" t="s">
        <v>64</v>
      </c>
      <c r="AR3" s="20" t="s">
        <v>65</v>
      </c>
      <c r="AS3" s="20" t="s">
        <v>66</v>
      </c>
      <c r="AT3" s="20" t="s">
        <v>67</v>
      </c>
      <c r="AU3" s="20" t="s">
        <v>68</v>
      </c>
      <c r="AV3" s="20" t="s">
        <v>69</v>
      </c>
      <c r="AW3" s="20" t="s">
        <v>70</v>
      </c>
      <c r="AX3" s="20" t="s">
        <v>71</v>
      </c>
      <c r="AY3" s="20" t="s">
        <v>72</v>
      </c>
      <c r="AZ3" s="20" t="s">
        <v>73</v>
      </c>
      <c r="BA3" s="20" t="s">
        <v>74</v>
      </c>
      <c r="BB3" s="20" t="s">
        <v>75</v>
      </c>
      <c r="BC3" s="20" t="s">
        <v>76</v>
      </c>
      <c r="BD3" s="20" t="s">
        <v>77</v>
      </c>
      <c r="BE3" s="20" t="s">
        <v>78</v>
      </c>
      <c r="BF3" s="20" t="s">
        <v>79</v>
      </c>
      <c r="BG3" s="20" t="s">
        <v>80</v>
      </c>
      <c r="BH3" s="20" t="s">
        <v>258</v>
      </c>
      <c r="BI3" s="20" t="s">
        <v>259</v>
      </c>
      <c r="BJ3" s="20" t="s">
        <v>260</v>
      </c>
      <c r="BK3" s="20" t="s">
        <v>261</v>
      </c>
      <c r="BL3" s="20" t="s">
        <v>262</v>
      </c>
      <c r="BM3" s="20" t="s">
        <v>263</v>
      </c>
      <c r="BN3" s="20" t="s">
        <v>264</v>
      </c>
      <c r="BO3" s="20" t="s">
        <v>265</v>
      </c>
      <c r="BP3" s="20" t="s">
        <v>266</v>
      </c>
      <c r="BQ3" s="20" t="s">
        <v>267</v>
      </c>
      <c r="BR3" s="20" t="s">
        <v>268</v>
      </c>
      <c r="BS3" s="20" t="s">
        <v>269</v>
      </c>
      <c r="BT3" s="20" t="s">
        <v>270</v>
      </c>
      <c r="BU3" s="20" t="s">
        <v>271</v>
      </c>
      <c r="BV3" s="20" t="s">
        <v>272</v>
      </c>
      <c r="BW3" s="20" t="s">
        <v>273</v>
      </c>
      <c r="BX3" s="20" t="s">
        <v>274</v>
      </c>
      <c r="BY3" s="20" t="s">
        <v>275</v>
      </c>
      <c r="BZ3" s="20" t="s">
        <v>276</v>
      </c>
      <c r="CA3" s="20" t="s">
        <v>277</v>
      </c>
    </row>
    <row r="4" spans="1:79" x14ac:dyDescent="0.3">
      <c r="A4" s="44" t="s">
        <v>370</v>
      </c>
      <c r="B4" s="36" t="s">
        <v>4</v>
      </c>
      <c r="C4" s="54" t="s">
        <v>520</v>
      </c>
      <c r="D4" s="54" t="s">
        <v>520</v>
      </c>
      <c r="E4" s="45" t="s">
        <v>522</v>
      </c>
      <c r="F4" s="36" t="s">
        <v>4</v>
      </c>
      <c r="G4" s="36" t="s">
        <v>371</v>
      </c>
      <c r="H4" s="36" t="s">
        <v>520</v>
      </c>
      <c r="I4" s="36" t="s">
        <v>474</v>
      </c>
      <c r="J4" s="36" t="s">
        <v>4</v>
      </c>
      <c r="K4" s="36" t="s">
        <v>4</v>
      </c>
      <c r="L4" s="36" t="s">
        <v>371</v>
      </c>
      <c r="M4" s="36" t="s">
        <v>371</v>
      </c>
      <c r="N4" s="36" t="s">
        <v>371</v>
      </c>
      <c r="O4" s="36" t="s">
        <v>4</v>
      </c>
      <c r="P4" s="36" t="s">
        <v>371</v>
      </c>
      <c r="Q4" s="36" t="s">
        <v>474</v>
      </c>
      <c r="R4" s="36" t="s">
        <v>520</v>
      </c>
      <c r="S4" s="36" t="s">
        <v>474</v>
      </c>
      <c r="T4" s="36" t="s">
        <v>474</v>
      </c>
      <c r="U4" s="36" t="s">
        <v>4</v>
      </c>
      <c r="V4" s="36" t="s">
        <v>4</v>
      </c>
      <c r="W4" s="36" t="s">
        <v>4</v>
      </c>
      <c r="X4" s="36" t="s">
        <v>4</v>
      </c>
      <c r="Y4" s="36" t="s">
        <v>4</v>
      </c>
      <c r="Z4" s="36" t="s">
        <v>4</v>
      </c>
      <c r="AA4" s="36" t="s">
        <v>4</v>
      </c>
      <c r="AB4" s="36" t="s">
        <v>4</v>
      </c>
      <c r="AC4" s="36" t="s">
        <v>4</v>
      </c>
      <c r="AD4" s="36" t="s">
        <v>4</v>
      </c>
      <c r="AE4" s="43" t="s">
        <v>4</v>
      </c>
      <c r="AF4" s="32" t="s">
        <v>473</v>
      </c>
      <c r="AG4" s="23" t="s">
        <v>473</v>
      </c>
      <c r="AH4" s="23" t="s">
        <v>473</v>
      </c>
      <c r="AI4" s="23" t="s">
        <v>473</v>
      </c>
      <c r="AJ4" s="23" t="s">
        <v>473</v>
      </c>
      <c r="AK4" s="23" t="s">
        <v>473</v>
      </c>
      <c r="AL4" s="23" t="s">
        <v>473</v>
      </c>
      <c r="AM4" s="23" t="s">
        <v>473</v>
      </c>
      <c r="AN4" s="23" t="s">
        <v>473</v>
      </c>
      <c r="AO4" s="23" t="s">
        <v>473</v>
      </c>
      <c r="AP4" s="23" t="s">
        <v>473</v>
      </c>
      <c r="AQ4" s="23" t="s">
        <v>473</v>
      </c>
      <c r="AR4" s="23" t="s">
        <v>473</v>
      </c>
      <c r="AS4" s="23" t="s">
        <v>473</v>
      </c>
      <c r="AT4" s="23" t="s">
        <v>473</v>
      </c>
      <c r="AU4" s="23" t="s">
        <v>473</v>
      </c>
      <c r="AV4" s="23" t="s">
        <v>473</v>
      </c>
      <c r="AW4" s="23" t="s">
        <v>473</v>
      </c>
      <c r="AX4" s="23" t="s">
        <v>473</v>
      </c>
      <c r="AY4" s="23" t="s">
        <v>473</v>
      </c>
      <c r="AZ4" s="23" t="s">
        <v>473</v>
      </c>
      <c r="BA4" s="23" t="s">
        <v>473</v>
      </c>
      <c r="BB4" s="23" t="s">
        <v>473</v>
      </c>
      <c r="BC4" s="23" t="s">
        <v>473</v>
      </c>
      <c r="BD4" s="23" t="s">
        <v>473</v>
      </c>
      <c r="BE4" s="23" t="s">
        <v>473</v>
      </c>
      <c r="BF4" s="23" t="s">
        <v>473</v>
      </c>
      <c r="BG4" s="23" t="s">
        <v>473</v>
      </c>
      <c r="BH4" s="23" t="s">
        <v>473</v>
      </c>
      <c r="BI4" s="23" t="s">
        <v>473</v>
      </c>
      <c r="BJ4" s="23" t="s">
        <v>473</v>
      </c>
      <c r="BK4" s="23" t="s">
        <v>473</v>
      </c>
      <c r="BL4" s="23" t="s">
        <v>473</v>
      </c>
      <c r="BM4" s="23" t="s">
        <v>473</v>
      </c>
      <c r="BN4" s="23" t="s">
        <v>473</v>
      </c>
      <c r="BO4" s="23" t="s">
        <v>473</v>
      </c>
      <c r="BP4" s="23" t="s">
        <v>473</v>
      </c>
      <c r="BQ4" s="23" t="s">
        <v>473</v>
      </c>
      <c r="BR4" s="23" t="s">
        <v>473</v>
      </c>
      <c r="BS4" s="23" t="s">
        <v>473</v>
      </c>
      <c r="BT4" s="23" t="s">
        <v>473</v>
      </c>
      <c r="BU4" s="23" t="s">
        <v>473</v>
      </c>
      <c r="BV4" s="23" t="s">
        <v>473</v>
      </c>
      <c r="BW4" s="23" t="s">
        <v>473</v>
      </c>
      <c r="BX4" s="23" t="s">
        <v>473</v>
      </c>
      <c r="BY4" s="23" t="s">
        <v>473</v>
      </c>
      <c r="BZ4" s="23" t="s">
        <v>473</v>
      </c>
      <c r="CA4" s="23" t="s">
        <v>473</v>
      </c>
    </row>
    <row r="5" spans="1:79" x14ac:dyDescent="0.3">
      <c r="A5" s="19"/>
      <c r="B5" s="20" t="str">
        <f>1&amp;$C5&amp;$D5&amp;IF($K5=99,9,$K5)&amp;REPT("0",4-LEN($E5))&amp;$E5</f>
        <v>11010000</v>
      </c>
      <c r="C5" s="55" t="str">
        <f>IF(J5&gt;0,MID(J5,5, 1), 0)</f>
        <v>1</v>
      </c>
      <c r="D5" s="55">
        <f>IF(G5&lt;100, G5, G5-100)</f>
        <v>0</v>
      </c>
      <c r="E5" s="49">
        <v>0</v>
      </c>
      <c r="F5" s="20">
        <v>1</v>
      </c>
      <c r="G5" s="20">
        <v>0</v>
      </c>
      <c r="H5" s="20" t="str">
        <f>"Item_Name_"&amp;$B5</f>
        <v>Item_Name_11010000</v>
      </c>
      <c r="I5" s="20" t="s">
        <v>372</v>
      </c>
      <c r="J5" s="20">
        <v>10101001</v>
      </c>
      <c r="K5" s="20">
        <v>1</v>
      </c>
      <c r="L5" s="20">
        <v>0</v>
      </c>
      <c r="M5" s="20">
        <v>0</v>
      </c>
      <c r="N5" s="20">
        <v>0</v>
      </c>
      <c r="O5" s="20">
        <v>0</v>
      </c>
      <c r="P5" s="20">
        <v>0</v>
      </c>
      <c r="Q5" s="20" t="s">
        <v>219</v>
      </c>
      <c r="R5" s="20">
        <v>0</v>
      </c>
      <c r="S5" s="20">
        <v>0</v>
      </c>
      <c r="T5" s="20">
        <v>0</v>
      </c>
      <c r="U5" s="20">
        <v>0</v>
      </c>
      <c r="V5" s="20">
        <v>0</v>
      </c>
      <c r="W5" s="20">
        <v>0</v>
      </c>
      <c r="X5" s="20">
        <v>0</v>
      </c>
      <c r="Y5" s="20">
        <v>0</v>
      </c>
      <c r="Z5" s="20">
        <v>0</v>
      </c>
      <c r="AA5" s="20">
        <v>0</v>
      </c>
      <c r="AB5" s="20">
        <v>0</v>
      </c>
      <c r="AC5" s="20">
        <v>0</v>
      </c>
      <c r="AD5" s="20">
        <v>0</v>
      </c>
      <c r="AE5" s="38">
        <v>0</v>
      </c>
      <c r="AF5" s="33">
        <v>0</v>
      </c>
      <c r="AG5" s="22">
        <v>0</v>
      </c>
      <c r="AH5" s="22">
        <v>0</v>
      </c>
      <c r="AI5" s="22">
        <v>0</v>
      </c>
      <c r="AJ5" s="22">
        <v>0</v>
      </c>
      <c r="AK5" s="22">
        <v>0</v>
      </c>
      <c r="AL5" s="22">
        <v>0</v>
      </c>
      <c r="AM5" s="22">
        <v>0</v>
      </c>
      <c r="AN5" s="22">
        <v>0</v>
      </c>
      <c r="AO5" s="22">
        <v>0</v>
      </c>
      <c r="AP5" s="22">
        <v>0</v>
      </c>
      <c r="AQ5" s="22">
        <v>0</v>
      </c>
      <c r="AR5" s="22">
        <v>0</v>
      </c>
      <c r="AS5" s="22">
        <v>0</v>
      </c>
      <c r="AT5" s="22">
        <v>0</v>
      </c>
      <c r="AU5" s="22">
        <v>0</v>
      </c>
      <c r="AV5" s="22">
        <v>0</v>
      </c>
      <c r="AW5" s="22">
        <v>0</v>
      </c>
      <c r="AX5" s="22">
        <v>0</v>
      </c>
      <c r="AY5" s="22">
        <v>0</v>
      </c>
      <c r="AZ5" s="22">
        <v>0</v>
      </c>
      <c r="BA5" s="22">
        <v>0</v>
      </c>
      <c r="BB5" s="22">
        <v>0</v>
      </c>
      <c r="BC5" s="22">
        <v>0</v>
      </c>
      <c r="BD5" s="22">
        <v>0</v>
      </c>
      <c r="BE5" s="22">
        <v>0</v>
      </c>
      <c r="BF5" s="22">
        <v>0</v>
      </c>
      <c r="BG5" s="22">
        <v>0</v>
      </c>
      <c r="BH5" s="22">
        <v>0</v>
      </c>
      <c r="BI5" s="22">
        <v>0</v>
      </c>
      <c r="BJ5" s="22">
        <v>0</v>
      </c>
      <c r="BK5" s="22">
        <v>0</v>
      </c>
      <c r="BL5" s="22">
        <v>0</v>
      </c>
      <c r="BM5" s="22">
        <v>0</v>
      </c>
      <c r="BN5" s="22">
        <v>0</v>
      </c>
      <c r="BO5" s="22">
        <v>0</v>
      </c>
      <c r="BP5" s="22">
        <v>0</v>
      </c>
      <c r="BQ5" s="22">
        <v>0</v>
      </c>
      <c r="BR5" s="22">
        <v>0</v>
      </c>
      <c r="BS5" s="22">
        <v>0</v>
      </c>
      <c r="BT5" s="22">
        <v>0</v>
      </c>
      <c r="BU5" s="22">
        <v>0</v>
      </c>
      <c r="BV5" s="22">
        <v>0</v>
      </c>
      <c r="BW5" s="22">
        <v>0</v>
      </c>
      <c r="BX5" s="22">
        <v>0</v>
      </c>
      <c r="BY5" s="22">
        <v>0</v>
      </c>
      <c r="BZ5" s="22">
        <v>0</v>
      </c>
      <c r="CA5" s="22">
        <v>0</v>
      </c>
    </row>
    <row r="6" spans="1:79" x14ac:dyDescent="0.3">
      <c r="A6" s="19"/>
      <c r="B6" s="20" t="str">
        <f t="shared" ref="B6:B102" si="0">1&amp;$C6&amp;$D6&amp;IF($K6=99,9,$K6)&amp;REPT("0",4-LEN($E6))&amp;$E6</f>
        <v>11110000</v>
      </c>
      <c r="C6" s="55" t="str">
        <f t="shared" ref="C6:C102" si="1">IF(J6&gt;0,MID(J6,5, 1), 0)</f>
        <v>1</v>
      </c>
      <c r="D6" s="55">
        <f t="shared" ref="D6:D102" si="2">IF(G6&lt;100, G6, G6-100)</f>
        <v>1</v>
      </c>
      <c r="E6" s="49">
        <v>0</v>
      </c>
      <c r="F6" s="20">
        <v>1</v>
      </c>
      <c r="G6" s="20">
        <v>1</v>
      </c>
      <c r="H6" s="20" t="str">
        <f t="shared" ref="H6:H102" si="3">"Item_Name_"&amp;$B6</f>
        <v>Item_Name_11110000</v>
      </c>
      <c r="I6" s="20" t="s">
        <v>373</v>
      </c>
      <c r="J6" s="20">
        <v>10101001</v>
      </c>
      <c r="K6" s="20">
        <v>1</v>
      </c>
      <c r="L6" s="20">
        <v>0</v>
      </c>
      <c r="M6" s="20">
        <v>0</v>
      </c>
      <c r="N6" s="20">
        <v>0</v>
      </c>
      <c r="O6" s="20">
        <v>0</v>
      </c>
      <c r="P6" s="20">
        <v>0</v>
      </c>
      <c r="Q6" s="20" t="s">
        <v>222</v>
      </c>
      <c r="R6" s="20">
        <v>0</v>
      </c>
      <c r="S6" s="20">
        <v>0</v>
      </c>
      <c r="T6" s="20">
        <v>0</v>
      </c>
      <c r="U6" s="20">
        <v>0</v>
      </c>
      <c r="V6" s="20">
        <v>0</v>
      </c>
      <c r="W6" s="20">
        <v>0</v>
      </c>
      <c r="X6" s="20">
        <v>0</v>
      </c>
      <c r="Y6" s="20">
        <v>0</v>
      </c>
      <c r="Z6" s="20">
        <v>0</v>
      </c>
      <c r="AA6" s="20">
        <v>0</v>
      </c>
      <c r="AB6" s="20">
        <v>0</v>
      </c>
      <c r="AC6" s="20">
        <v>0</v>
      </c>
      <c r="AD6" s="20">
        <v>0</v>
      </c>
      <c r="AE6" s="38">
        <v>0</v>
      </c>
      <c r="AF6" s="33">
        <v>0</v>
      </c>
      <c r="AG6" s="22">
        <v>0</v>
      </c>
      <c r="AH6" s="22">
        <v>0</v>
      </c>
      <c r="AI6" s="22">
        <v>0</v>
      </c>
      <c r="AJ6" s="22">
        <v>0</v>
      </c>
      <c r="AK6" s="22">
        <v>0</v>
      </c>
      <c r="AL6" s="22">
        <v>0</v>
      </c>
      <c r="AM6" s="22">
        <v>0</v>
      </c>
      <c r="AN6" s="22">
        <v>0</v>
      </c>
      <c r="AO6" s="22">
        <v>0</v>
      </c>
      <c r="AP6" s="22">
        <v>0</v>
      </c>
      <c r="AQ6" s="22">
        <v>0</v>
      </c>
      <c r="AR6" s="22">
        <v>0</v>
      </c>
      <c r="AS6" s="22">
        <v>0</v>
      </c>
      <c r="AT6" s="22">
        <v>0</v>
      </c>
      <c r="AU6" s="22">
        <v>0</v>
      </c>
      <c r="AV6" s="22">
        <v>0</v>
      </c>
      <c r="AW6" s="22">
        <v>0</v>
      </c>
      <c r="AX6" s="22">
        <v>0</v>
      </c>
      <c r="AY6" s="22">
        <v>0</v>
      </c>
      <c r="AZ6" s="22">
        <v>0</v>
      </c>
      <c r="BA6" s="22">
        <v>0</v>
      </c>
      <c r="BB6" s="22">
        <v>0</v>
      </c>
      <c r="BC6" s="22">
        <v>0</v>
      </c>
      <c r="BD6" s="22">
        <v>0</v>
      </c>
      <c r="BE6" s="22">
        <v>0</v>
      </c>
      <c r="BF6" s="22">
        <v>0</v>
      </c>
      <c r="BG6" s="22">
        <v>0</v>
      </c>
      <c r="BH6" s="22">
        <v>0</v>
      </c>
      <c r="BI6" s="22">
        <v>0</v>
      </c>
      <c r="BJ6" s="22">
        <v>0</v>
      </c>
      <c r="BK6" s="22">
        <v>0</v>
      </c>
      <c r="BL6" s="22">
        <v>0</v>
      </c>
      <c r="BM6" s="22">
        <v>0</v>
      </c>
      <c r="BN6" s="22">
        <v>0</v>
      </c>
      <c r="BO6" s="22">
        <v>0</v>
      </c>
      <c r="BP6" s="22">
        <v>0</v>
      </c>
      <c r="BQ6" s="22">
        <v>0</v>
      </c>
      <c r="BR6" s="22">
        <v>0</v>
      </c>
      <c r="BS6" s="22">
        <v>0</v>
      </c>
      <c r="BT6" s="22">
        <v>0</v>
      </c>
      <c r="BU6" s="22">
        <v>0</v>
      </c>
      <c r="BV6" s="22">
        <v>0</v>
      </c>
      <c r="BW6" s="22">
        <v>0</v>
      </c>
      <c r="BX6" s="22">
        <v>0</v>
      </c>
      <c r="BY6" s="22">
        <v>0</v>
      </c>
      <c r="BZ6" s="22">
        <v>0</v>
      </c>
      <c r="CA6" s="22">
        <v>0</v>
      </c>
    </row>
    <row r="7" spans="1:79" x14ac:dyDescent="0.3">
      <c r="A7" s="19"/>
      <c r="B7" s="20" t="str">
        <f t="shared" si="0"/>
        <v>11210000</v>
      </c>
      <c r="C7" s="55" t="str">
        <f t="shared" si="1"/>
        <v>1</v>
      </c>
      <c r="D7" s="55">
        <f t="shared" si="2"/>
        <v>2</v>
      </c>
      <c r="E7" s="49">
        <v>0</v>
      </c>
      <c r="F7" s="20">
        <v>1</v>
      </c>
      <c r="G7" s="20">
        <v>2</v>
      </c>
      <c r="H7" s="20" t="str">
        <f t="shared" si="3"/>
        <v>Item_Name_11210000</v>
      </c>
      <c r="I7" s="20" t="s">
        <v>374</v>
      </c>
      <c r="J7" s="20">
        <v>10101001</v>
      </c>
      <c r="K7" s="20">
        <v>1</v>
      </c>
      <c r="L7" s="20">
        <v>0</v>
      </c>
      <c r="M7" s="20">
        <v>0</v>
      </c>
      <c r="N7" s="20">
        <v>0</v>
      </c>
      <c r="O7" s="20">
        <v>0</v>
      </c>
      <c r="P7" s="20">
        <v>0</v>
      </c>
      <c r="Q7" s="20" t="s">
        <v>375</v>
      </c>
      <c r="R7" s="20">
        <v>0</v>
      </c>
      <c r="S7" s="20">
        <v>0</v>
      </c>
      <c r="T7" s="20">
        <v>0</v>
      </c>
      <c r="U7" s="20">
        <v>0</v>
      </c>
      <c r="V7" s="20">
        <v>0</v>
      </c>
      <c r="W7" s="20">
        <v>0</v>
      </c>
      <c r="X7" s="20">
        <v>0</v>
      </c>
      <c r="Y7" s="20">
        <v>0</v>
      </c>
      <c r="Z7" s="20">
        <v>0</v>
      </c>
      <c r="AA7" s="20">
        <v>0</v>
      </c>
      <c r="AB7" s="20">
        <v>0</v>
      </c>
      <c r="AC7" s="20">
        <v>0</v>
      </c>
      <c r="AD7" s="20">
        <v>0</v>
      </c>
      <c r="AE7" s="38">
        <v>0</v>
      </c>
      <c r="AF7" s="33">
        <v>0</v>
      </c>
      <c r="AG7" s="22">
        <v>0</v>
      </c>
      <c r="AH7" s="22">
        <v>0</v>
      </c>
      <c r="AI7" s="22">
        <v>0</v>
      </c>
      <c r="AJ7" s="22">
        <v>0</v>
      </c>
      <c r="AK7" s="22">
        <v>0</v>
      </c>
      <c r="AL7" s="22">
        <v>0</v>
      </c>
      <c r="AM7" s="22">
        <v>0</v>
      </c>
      <c r="AN7" s="22">
        <v>0</v>
      </c>
      <c r="AO7" s="22">
        <v>0</v>
      </c>
      <c r="AP7" s="22">
        <v>0</v>
      </c>
      <c r="AQ7" s="22">
        <v>0</v>
      </c>
      <c r="AR7" s="22">
        <v>0</v>
      </c>
      <c r="AS7" s="22">
        <v>0</v>
      </c>
      <c r="AT7" s="22">
        <v>0</v>
      </c>
      <c r="AU7" s="22">
        <v>0</v>
      </c>
      <c r="AV7" s="22">
        <v>0</v>
      </c>
      <c r="AW7" s="22">
        <v>0</v>
      </c>
      <c r="AX7" s="22">
        <v>0</v>
      </c>
      <c r="AY7" s="22">
        <v>0</v>
      </c>
      <c r="AZ7" s="22">
        <v>0</v>
      </c>
      <c r="BA7" s="22">
        <v>0</v>
      </c>
      <c r="BB7" s="22">
        <v>0</v>
      </c>
      <c r="BC7" s="22">
        <v>0</v>
      </c>
      <c r="BD7" s="22">
        <v>0</v>
      </c>
      <c r="BE7" s="22">
        <v>0</v>
      </c>
      <c r="BF7" s="22">
        <v>0</v>
      </c>
      <c r="BG7" s="22">
        <v>0</v>
      </c>
      <c r="BH7" s="22">
        <v>0</v>
      </c>
      <c r="BI7" s="22">
        <v>0</v>
      </c>
      <c r="BJ7" s="22">
        <v>0</v>
      </c>
      <c r="BK7" s="22">
        <v>0</v>
      </c>
      <c r="BL7" s="22">
        <v>0</v>
      </c>
      <c r="BM7" s="22">
        <v>0</v>
      </c>
      <c r="BN7" s="22">
        <v>0</v>
      </c>
      <c r="BO7" s="22">
        <v>0</v>
      </c>
      <c r="BP7" s="22">
        <v>0</v>
      </c>
      <c r="BQ7" s="22">
        <v>0</v>
      </c>
      <c r="BR7" s="22">
        <v>0</v>
      </c>
      <c r="BS7" s="22">
        <v>0</v>
      </c>
      <c r="BT7" s="22">
        <v>0</v>
      </c>
      <c r="BU7" s="22">
        <v>0</v>
      </c>
      <c r="BV7" s="22">
        <v>0</v>
      </c>
      <c r="BW7" s="22">
        <v>0</v>
      </c>
      <c r="BX7" s="22">
        <v>0</v>
      </c>
      <c r="BY7" s="22">
        <v>0</v>
      </c>
      <c r="BZ7" s="22">
        <v>0</v>
      </c>
      <c r="CA7" s="22">
        <v>0</v>
      </c>
    </row>
    <row r="8" spans="1:79" x14ac:dyDescent="0.3">
      <c r="A8" s="19"/>
      <c r="B8" s="20" t="str">
        <f t="shared" si="0"/>
        <v>11310000</v>
      </c>
      <c r="C8" s="55" t="str">
        <f t="shared" si="1"/>
        <v>1</v>
      </c>
      <c r="D8" s="55">
        <f t="shared" si="2"/>
        <v>3</v>
      </c>
      <c r="E8" s="49">
        <v>0</v>
      </c>
      <c r="F8" s="20">
        <v>1</v>
      </c>
      <c r="G8" s="20">
        <v>3</v>
      </c>
      <c r="H8" s="20" t="str">
        <f t="shared" si="3"/>
        <v>Item_Name_11310000</v>
      </c>
      <c r="I8" s="20" t="s">
        <v>376</v>
      </c>
      <c r="J8" s="20">
        <v>10101001</v>
      </c>
      <c r="K8" s="20">
        <v>1</v>
      </c>
      <c r="L8" s="20">
        <v>0</v>
      </c>
      <c r="M8" s="20">
        <v>0</v>
      </c>
      <c r="N8" s="20">
        <v>0</v>
      </c>
      <c r="O8" s="20">
        <v>0</v>
      </c>
      <c r="P8" s="20">
        <v>0</v>
      </c>
      <c r="Q8" s="20" t="s">
        <v>377</v>
      </c>
      <c r="R8" s="20">
        <v>0</v>
      </c>
      <c r="S8" s="20">
        <v>0</v>
      </c>
      <c r="T8" s="20">
        <v>0</v>
      </c>
      <c r="U8" s="20">
        <v>0</v>
      </c>
      <c r="V8" s="20">
        <v>0</v>
      </c>
      <c r="W8" s="20">
        <v>0</v>
      </c>
      <c r="X8" s="20">
        <v>0</v>
      </c>
      <c r="Y8" s="20">
        <v>0</v>
      </c>
      <c r="Z8" s="20">
        <v>0</v>
      </c>
      <c r="AA8" s="20">
        <v>0</v>
      </c>
      <c r="AB8" s="20">
        <v>0</v>
      </c>
      <c r="AC8" s="20">
        <v>0</v>
      </c>
      <c r="AD8" s="20">
        <v>0</v>
      </c>
      <c r="AE8" s="38">
        <v>0</v>
      </c>
      <c r="AF8" s="33">
        <v>0</v>
      </c>
      <c r="AG8" s="22">
        <v>0</v>
      </c>
      <c r="AH8" s="22">
        <v>0</v>
      </c>
      <c r="AI8" s="22">
        <v>0</v>
      </c>
      <c r="AJ8" s="22">
        <v>0</v>
      </c>
      <c r="AK8" s="22">
        <v>0</v>
      </c>
      <c r="AL8" s="22">
        <v>0</v>
      </c>
      <c r="AM8" s="22">
        <v>0</v>
      </c>
      <c r="AN8" s="22">
        <v>0</v>
      </c>
      <c r="AO8" s="22">
        <v>0</v>
      </c>
      <c r="AP8" s="22">
        <v>0</v>
      </c>
      <c r="AQ8" s="22">
        <v>0</v>
      </c>
      <c r="AR8" s="22">
        <v>0</v>
      </c>
      <c r="AS8" s="22">
        <v>0</v>
      </c>
      <c r="AT8" s="22">
        <v>0</v>
      </c>
      <c r="AU8" s="22">
        <v>0</v>
      </c>
      <c r="AV8" s="22">
        <v>0</v>
      </c>
      <c r="AW8" s="22">
        <v>0</v>
      </c>
      <c r="AX8" s="22">
        <v>0</v>
      </c>
      <c r="AY8" s="22">
        <v>0</v>
      </c>
      <c r="AZ8" s="22">
        <v>0</v>
      </c>
      <c r="BA8" s="22">
        <v>0</v>
      </c>
      <c r="BB8" s="22">
        <v>0</v>
      </c>
      <c r="BC8" s="22">
        <v>0</v>
      </c>
      <c r="BD8" s="22">
        <v>0</v>
      </c>
      <c r="BE8" s="22">
        <v>0</v>
      </c>
      <c r="BF8" s="22">
        <v>0</v>
      </c>
      <c r="BG8" s="22">
        <v>0</v>
      </c>
      <c r="BH8" s="22">
        <v>0</v>
      </c>
      <c r="BI8" s="22">
        <v>0</v>
      </c>
      <c r="BJ8" s="22">
        <v>0</v>
      </c>
      <c r="BK8" s="22">
        <v>0</v>
      </c>
      <c r="BL8" s="22">
        <v>0</v>
      </c>
      <c r="BM8" s="22">
        <v>0</v>
      </c>
      <c r="BN8" s="22">
        <v>0</v>
      </c>
      <c r="BO8" s="22">
        <v>0</v>
      </c>
      <c r="BP8" s="22">
        <v>0</v>
      </c>
      <c r="BQ8" s="22">
        <v>0</v>
      </c>
      <c r="BR8" s="22">
        <v>0</v>
      </c>
      <c r="BS8" s="22">
        <v>0</v>
      </c>
      <c r="BT8" s="22">
        <v>0</v>
      </c>
      <c r="BU8" s="22">
        <v>0</v>
      </c>
      <c r="BV8" s="22">
        <v>0</v>
      </c>
      <c r="BW8" s="22">
        <v>0</v>
      </c>
      <c r="BX8" s="22">
        <v>0</v>
      </c>
      <c r="BY8" s="22">
        <v>0</v>
      </c>
      <c r="BZ8" s="22">
        <v>0</v>
      </c>
      <c r="CA8" s="22">
        <v>0</v>
      </c>
    </row>
    <row r="9" spans="1:79" x14ac:dyDescent="0.3">
      <c r="A9" s="19"/>
      <c r="B9" s="20" t="str">
        <f t="shared" si="0"/>
        <v>11410000</v>
      </c>
      <c r="C9" s="55" t="str">
        <f t="shared" si="1"/>
        <v>1</v>
      </c>
      <c r="D9" s="55">
        <f t="shared" si="2"/>
        <v>4</v>
      </c>
      <c r="E9" s="49">
        <v>0</v>
      </c>
      <c r="F9" s="20">
        <v>1</v>
      </c>
      <c r="G9" s="20">
        <v>4</v>
      </c>
      <c r="H9" s="20" t="str">
        <f t="shared" si="3"/>
        <v>Item_Name_11410000</v>
      </c>
      <c r="I9" s="20" t="s">
        <v>378</v>
      </c>
      <c r="J9" s="20">
        <v>10101001</v>
      </c>
      <c r="K9" s="20">
        <v>1</v>
      </c>
      <c r="L9" s="20">
        <v>0</v>
      </c>
      <c r="M9" s="20">
        <v>0</v>
      </c>
      <c r="N9" s="20">
        <v>0</v>
      </c>
      <c r="O9" s="20">
        <v>0</v>
      </c>
      <c r="P9" s="20">
        <v>0</v>
      </c>
      <c r="Q9" s="20" t="s">
        <v>235</v>
      </c>
      <c r="R9" s="20">
        <v>0</v>
      </c>
      <c r="S9" s="20">
        <v>0</v>
      </c>
      <c r="T9" s="20">
        <v>0</v>
      </c>
      <c r="U9" s="20">
        <v>0</v>
      </c>
      <c r="V9" s="20">
        <v>0</v>
      </c>
      <c r="W9" s="20">
        <v>0</v>
      </c>
      <c r="X9" s="20">
        <v>0</v>
      </c>
      <c r="Y9" s="20">
        <v>0</v>
      </c>
      <c r="Z9" s="20">
        <v>0</v>
      </c>
      <c r="AA9" s="20">
        <v>0</v>
      </c>
      <c r="AB9" s="20">
        <v>0</v>
      </c>
      <c r="AC9" s="20">
        <v>0</v>
      </c>
      <c r="AD9" s="20">
        <v>0</v>
      </c>
      <c r="AE9" s="38">
        <v>0</v>
      </c>
      <c r="AF9" s="33">
        <v>0</v>
      </c>
      <c r="AG9" s="22">
        <v>0</v>
      </c>
      <c r="AH9" s="22">
        <v>0</v>
      </c>
      <c r="AI9" s="22">
        <v>0</v>
      </c>
      <c r="AJ9" s="22">
        <v>0</v>
      </c>
      <c r="AK9" s="22">
        <v>0</v>
      </c>
      <c r="AL9" s="22">
        <v>0</v>
      </c>
      <c r="AM9" s="22">
        <v>0</v>
      </c>
      <c r="AN9" s="22">
        <v>0</v>
      </c>
      <c r="AO9" s="22">
        <v>0</v>
      </c>
      <c r="AP9" s="22">
        <v>0</v>
      </c>
      <c r="AQ9" s="22">
        <v>0</v>
      </c>
      <c r="AR9" s="22">
        <v>0</v>
      </c>
      <c r="AS9" s="22">
        <v>0</v>
      </c>
      <c r="AT9" s="22">
        <v>0</v>
      </c>
      <c r="AU9" s="22">
        <v>0</v>
      </c>
      <c r="AV9" s="22">
        <v>0</v>
      </c>
      <c r="AW9" s="22">
        <v>0</v>
      </c>
      <c r="AX9" s="22">
        <v>0</v>
      </c>
      <c r="AY9" s="22">
        <v>0</v>
      </c>
      <c r="AZ9" s="22">
        <v>0</v>
      </c>
      <c r="BA9" s="22">
        <v>0</v>
      </c>
      <c r="BB9" s="22">
        <v>0</v>
      </c>
      <c r="BC9" s="22">
        <v>0</v>
      </c>
      <c r="BD9" s="22">
        <v>0</v>
      </c>
      <c r="BE9" s="22">
        <v>0</v>
      </c>
      <c r="BF9" s="22">
        <v>0</v>
      </c>
      <c r="BG9" s="22">
        <v>0</v>
      </c>
      <c r="BH9" s="22">
        <v>0</v>
      </c>
      <c r="BI9" s="22">
        <v>0</v>
      </c>
      <c r="BJ9" s="22">
        <v>0</v>
      </c>
      <c r="BK9" s="22">
        <v>0</v>
      </c>
      <c r="BL9" s="22">
        <v>0</v>
      </c>
      <c r="BM9" s="22">
        <v>0</v>
      </c>
      <c r="BN9" s="22">
        <v>0</v>
      </c>
      <c r="BO9" s="22">
        <v>0</v>
      </c>
      <c r="BP9" s="22">
        <v>0</v>
      </c>
      <c r="BQ9" s="22">
        <v>0</v>
      </c>
      <c r="BR9" s="22">
        <v>0</v>
      </c>
      <c r="BS9" s="22">
        <v>0</v>
      </c>
      <c r="BT9" s="22">
        <v>0</v>
      </c>
      <c r="BU9" s="22">
        <v>0</v>
      </c>
      <c r="BV9" s="22">
        <v>0</v>
      </c>
      <c r="BW9" s="22">
        <v>0</v>
      </c>
      <c r="BX9" s="22">
        <v>0</v>
      </c>
      <c r="BY9" s="22">
        <v>0</v>
      </c>
      <c r="BZ9" s="22">
        <v>0</v>
      </c>
      <c r="CA9" s="22">
        <v>0</v>
      </c>
    </row>
    <row r="10" spans="1:79" x14ac:dyDescent="0.3">
      <c r="A10" s="19"/>
      <c r="B10" s="20" t="str">
        <f t="shared" si="0"/>
        <v>11510000</v>
      </c>
      <c r="C10" s="55" t="str">
        <f t="shared" si="1"/>
        <v>1</v>
      </c>
      <c r="D10" s="55">
        <f t="shared" si="2"/>
        <v>5</v>
      </c>
      <c r="E10" s="49">
        <v>0</v>
      </c>
      <c r="F10" s="20">
        <v>1</v>
      </c>
      <c r="G10" s="20">
        <v>5</v>
      </c>
      <c r="H10" s="20" t="str">
        <f t="shared" si="3"/>
        <v>Item_Name_11510000</v>
      </c>
      <c r="I10" s="20" t="s">
        <v>379</v>
      </c>
      <c r="J10" s="20">
        <v>10101001</v>
      </c>
      <c r="K10" s="20">
        <v>1</v>
      </c>
      <c r="L10" s="20">
        <v>0</v>
      </c>
      <c r="M10" s="20">
        <v>0</v>
      </c>
      <c r="N10" s="20">
        <v>0</v>
      </c>
      <c r="O10" s="20">
        <v>0</v>
      </c>
      <c r="P10" s="20">
        <v>0</v>
      </c>
      <c r="Q10" s="20" t="s">
        <v>380</v>
      </c>
      <c r="R10" s="20">
        <v>0</v>
      </c>
      <c r="S10" s="20">
        <v>0</v>
      </c>
      <c r="T10" s="20">
        <v>0</v>
      </c>
      <c r="U10" s="20">
        <v>0</v>
      </c>
      <c r="V10" s="20">
        <v>0</v>
      </c>
      <c r="W10" s="20">
        <v>0</v>
      </c>
      <c r="X10" s="20">
        <v>0</v>
      </c>
      <c r="Y10" s="20">
        <v>0</v>
      </c>
      <c r="Z10" s="20">
        <v>0</v>
      </c>
      <c r="AA10" s="20">
        <v>0</v>
      </c>
      <c r="AB10" s="20">
        <v>0</v>
      </c>
      <c r="AC10" s="20">
        <v>0</v>
      </c>
      <c r="AD10" s="20">
        <v>0</v>
      </c>
      <c r="AE10" s="38">
        <v>0</v>
      </c>
      <c r="AF10" s="33">
        <v>0</v>
      </c>
      <c r="AG10" s="22">
        <v>0</v>
      </c>
      <c r="AH10" s="22">
        <v>0</v>
      </c>
      <c r="AI10" s="22">
        <v>0</v>
      </c>
      <c r="AJ10" s="22">
        <v>0</v>
      </c>
      <c r="AK10" s="22">
        <v>0</v>
      </c>
      <c r="AL10" s="22">
        <v>0</v>
      </c>
      <c r="AM10" s="22">
        <v>0</v>
      </c>
      <c r="AN10" s="22">
        <v>0</v>
      </c>
      <c r="AO10" s="22">
        <v>0</v>
      </c>
      <c r="AP10" s="22">
        <v>0</v>
      </c>
      <c r="AQ10" s="22">
        <v>0</v>
      </c>
      <c r="AR10" s="22">
        <v>0</v>
      </c>
      <c r="AS10" s="22">
        <v>0</v>
      </c>
      <c r="AT10" s="22">
        <v>0</v>
      </c>
      <c r="AU10" s="22">
        <v>0</v>
      </c>
      <c r="AV10" s="22">
        <v>0</v>
      </c>
      <c r="AW10" s="22">
        <v>0</v>
      </c>
      <c r="AX10" s="22">
        <v>0</v>
      </c>
      <c r="AY10" s="22">
        <v>0</v>
      </c>
      <c r="AZ10" s="22">
        <v>0</v>
      </c>
      <c r="BA10" s="22">
        <v>0</v>
      </c>
      <c r="BB10" s="22">
        <v>0</v>
      </c>
      <c r="BC10" s="22">
        <v>0</v>
      </c>
      <c r="BD10" s="22">
        <v>0</v>
      </c>
      <c r="BE10" s="22">
        <v>0</v>
      </c>
      <c r="BF10" s="22">
        <v>0</v>
      </c>
      <c r="BG10" s="22">
        <v>0</v>
      </c>
      <c r="BH10" s="22">
        <v>0</v>
      </c>
      <c r="BI10" s="22">
        <v>0</v>
      </c>
      <c r="BJ10" s="22">
        <v>0</v>
      </c>
      <c r="BK10" s="22">
        <v>0</v>
      </c>
      <c r="BL10" s="22">
        <v>0</v>
      </c>
      <c r="BM10" s="22">
        <v>0</v>
      </c>
      <c r="BN10" s="22">
        <v>0</v>
      </c>
      <c r="BO10" s="22">
        <v>0</v>
      </c>
      <c r="BP10" s="22">
        <v>0</v>
      </c>
      <c r="BQ10" s="22">
        <v>0</v>
      </c>
      <c r="BR10" s="22">
        <v>0</v>
      </c>
      <c r="BS10" s="22">
        <v>0</v>
      </c>
      <c r="BT10" s="22">
        <v>0</v>
      </c>
      <c r="BU10" s="22">
        <v>0</v>
      </c>
      <c r="BV10" s="22">
        <v>0</v>
      </c>
      <c r="BW10" s="22">
        <v>0</v>
      </c>
      <c r="BX10" s="22">
        <v>0</v>
      </c>
      <c r="BY10" s="22">
        <v>0</v>
      </c>
      <c r="BZ10" s="22">
        <v>0</v>
      </c>
      <c r="CA10" s="22">
        <v>0</v>
      </c>
    </row>
    <row r="11" spans="1:79" x14ac:dyDescent="0.3">
      <c r="A11" s="19"/>
      <c r="B11" s="20" t="str">
        <f t="shared" si="0"/>
        <v>11610000</v>
      </c>
      <c r="C11" s="55" t="str">
        <f t="shared" si="1"/>
        <v>1</v>
      </c>
      <c r="D11" s="55">
        <f t="shared" si="2"/>
        <v>6</v>
      </c>
      <c r="E11" s="49">
        <v>0</v>
      </c>
      <c r="F11" s="20">
        <v>1</v>
      </c>
      <c r="G11" s="20">
        <v>6</v>
      </c>
      <c r="H11" s="20" t="str">
        <f t="shared" si="3"/>
        <v>Item_Name_11610000</v>
      </c>
      <c r="I11" s="20" t="s">
        <v>381</v>
      </c>
      <c r="J11" s="20">
        <v>10101001</v>
      </c>
      <c r="K11" s="20">
        <v>1</v>
      </c>
      <c r="L11" s="20">
        <v>0</v>
      </c>
      <c r="M11" s="20">
        <v>0</v>
      </c>
      <c r="N11" s="20">
        <v>0</v>
      </c>
      <c r="O11" s="20">
        <v>0</v>
      </c>
      <c r="P11" s="20">
        <v>0</v>
      </c>
      <c r="Q11" s="20" t="s">
        <v>232</v>
      </c>
      <c r="R11" s="20">
        <v>0</v>
      </c>
      <c r="S11" s="20">
        <v>0</v>
      </c>
      <c r="T11" s="20">
        <v>0</v>
      </c>
      <c r="U11" s="20">
        <v>0</v>
      </c>
      <c r="V11" s="20">
        <v>0</v>
      </c>
      <c r="W11" s="20">
        <v>0</v>
      </c>
      <c r="X11" s="20">
        <v>0</v>
      </c>
      <c r="Y11" s="20">
        <v>0</v>
      </c>
      <c r="Z11" s="20">
        <v>0</v>
      </c>
      <c r="AA11" s="20">
        <v>0</v>
      </c>
      <c r="AB11" s="20">
        <v>0</v>
      </c>
      <c r="AC11" s="20">
        <v>0</v>
      </c>
      <c r="AD11" s="20">
        <v>0</v>
      </c>
      <c r="AE11" s="38">
        <v>0</v>
      </c>
      <c r="AF11" s="33">
        <v>0</v>
      </c>
      <c r="AG11" s="22">
        <v>0</v>
      </c>
      <c r="AH11" s="22">
        <v>0</v>
      </c>
      <c r="AI11" s="22">
        <v>0</v>
      </c>
      <c r="AJ11" s="22">
        <v>0</v>
      </c>
      <c r="AK11" s="22">
        <v>0</v>
      </c>
      <c r="AL11" s="22">
        <v>0</v>
      </c>
      <c r="AM11" s="22">
        <v>0</v>
      </c>
      <c r="AN11" s="22">
        <v>0</v>
      </c>
      <c r="AO11" s="22">
        <v>0</v>
      </c>
      <c r="AP11" s="22">
        <v>0</v>
      </c>
      <c r="AQ11" s="22">
        <v>0</v>
      </c>
      <c r="AR11" s="22">
        <v>0</v>
      </c>
      <c r="AS11" s="22">
        <v>0</v>
      </c>
      <c r="AT11" s="22">
        <v>0</v>
      </c>
      <c r="AU11" s="22">
        <v>0</v>
      </c>
      <c r="AV11" s="22">
        <v>0</v>
      </c>
      <c r="AW11" s="22">
        <v>0</v>
      </c>
      <c r="AX11" s="22">
        <v>0</v>
      </c>
      <c r="AY11" s="22">
        <v>0</v>
      </c>
      <c r="AZ11" s="22">
        <v>0</v>
      </c>
      <c r="BA11" s="22">
        <v>0</v>
      </c>
      <c r="BB11" s="22">
        <v>0</v>
      </c>
      <c r="BC11" s="22">
        <v>0</v>
      </c>
      <c r="BD11" s="22">
        <v>0</v>
      </c>
      <c r="BE11" s="22">
        <v>0</v>
      </c>
      <c r="BF11" s="22">
        <v>0</v>
      </c>
      <c r="BG11" s="22">
        <v>0</v>
      </c>
      <c r="BH11" s="22">
        <v>0</v>
      </c>
      <c r="BI11" s="22">
        <v>0</v>
      </c>
      <c r="BJ11" s="22">
        <v>0</v>
      </c>
      <c r="BK11" s="22">
        <v>0</v>
      </c>
      <c r="BL11" s="22">
        <v>0</v>
      </c>
      <c r="BM11" s="22">
        <v>0</v>
      </c>
      <c r="BN11" s="22">
        <v>0</v>
      </c>
      <c r="BO11" s="22">
        <v>0</v>
      </c>
      <c r="BP11" s="22">
        <v>0</v>
      </c>
      <c r="BQ11" s="22">
        <v>0</v>
      </c>
      <c r="BR11" s="22">
        <v>0</v>
      </c>
      <c r="BS11" s="22">
        <v>0</v>
      </c>
      <c r="BT11" s="22">
        <v>0</v>
      </c>
      <c r="BU11" s="22">
        <v>0</v>
      </c>
      <c r="BV11" s="22">
        <v>0</v>
      </c>
      <c r="BW11" s="22">
        <v>0</v>
      </c>
      <c r="BX11" s="22">
        <v>0</v>
      </c>
      <c r="BY11" s="22">
        <v>0</v>
      </c>
      <c r="BZ11" s="22">
        <v>0</v>
      </c>
      <c r="CA11" s="22">
        <v>0</v>
      </c>
    </row>
    <row r="12" spans="1:79" x14ac:dyDescent="0.3">
      <c r="A12" s="19"/>
      <c r="B12" s="20" t="str">
        <f t="shared" si="0"/>
        <v>12010000</v>
      </c>
      <c r="C12" s="55" t="str">
        <f t="shared" si="1"/>
        <v>2</v>
      </c>
      <c r="D12" s="55">
        <f t="shared" si="2"/>
        <v>0</v>
      </c>
      <c r="E12" s="49">
        <v>0</v>
      </c>
      <c r="F12" s="20">
        <v>1</v>
      </c>
      <c r="G12" s="20">
        <v>0</v>
      </c>
      <c r="H12" s="20" t="str">
        <f t="shared" si="3"/>
        <v>Item_Name_12010000</v>
      </c>
      <c r="I12" s="20" t="s">
        <v>278</v>
      </c>
      <c r="J12" s="20">
        <v>10102001</v>
      </c>
      <c r="K12" s="20">
        <v>1</v>
      </c>
      <c r="L12" s="20">
        <v>0</v>
      </c>
      <c r="M12" s="20">
        <v>0</v>
      </c>
      <c r="N12" s="20">
        <v>0</v>
      </c>
      <c r="O12" s="20">
        <v>0</v>
      </c>
      <c r="P12" s="20">
        <v>0</v>
      </c>
      <c r="Q12" s="20" t="s">
        <v>220</v>
      </c>
      <c r="R12" s="20">
        <v>0</v>
      </c>
      <c r="S12" s="20">
        <v>0</v>
      </c>
      <c r="T12" s="20">
        <v>0</v>
      </c>
      <c r="U12" s="20">
        <v>0</v>
      </c>
      <c r="V12" s="20">
        <v>0</v>
      </c>
      <c r="W12" s="20">
        <v>0</v>
      </c>
      <c r="X12" s="20">
        <v>0</v>
      </c>
      <c r="Y12" s="20">
        <v>0</v>
      </c>
      <c r="Z12" s="20">
        <v>0</v>
      </c>
      <c r="AA12" s="20">
        <v>0</v>
      </c>
      <c r="AB12" s="20">
        <v>0</v>
      </c>
      <c r="AC12" s="20">
        <v>0</v>
      </c>
      <c r="AD12" s="20">
        <v>0</v>
      </c>
      <c r="AE12" s="38">
        <v>0</v>
      </c>
      <c r="AF12" s="33">
        <v>0</v>
      </c>
      <c r="AG12" s="22">
        <v>0</v>
      </c>
      <c r="AH12" s="22">
        <v>0</v>
      </c>
      <c r="AI12" s="22">
        <v>0</v>
      </c>
      <c r="AJ12" s="22">
        <v>0</v>
      </c>
      <c r="AK12" s="22">
        <v>0</v>
      </c>
      <c r="AL12" s="22">
        <v>0</v>
      </c>
      <c r="AM12" s="22">
        <v>0</v>
      </c>
      <c r="AN12" s="22">
        <v>0</v>
      </c>
      <c r="AO12" s="22">
        <v>0</v>
      </c>
      <c r="AP12" s="22">
        <v>0</v>
      </c>
      <c r="AQ12" s="22">
        <v>0</v>
      </c>
      <c r="AR12" s="22">
        <v>0</v>
      </c>
      <c r="AS12" s="22">
        <v>0</v>
      </c>
      <c r="AT12" s="22">
        <v>0</v>
      </c>
      <c r="AU12" s="22">
        <v>0</v>
      </c>
      <c r="AV12" s="22">
        <v>0</v>
      </c>
      <c r="AW12" s="22">
        <v>0</v>
      </c>
      <c r="AX12" s="22">
        <v>0</v>
      </c>
      <c r="AY12" s="22">
        <v>0</v>
      </c>
      <c r="AZ12" s="22">
        <v>0</v>
      </c>
      <c r="BA12" s="22">
        <v>0</v>
      </c>
      <c r="BB12" s="22">
        <v>0</v>
      </c>
      <c r="BC12" s="22">
        <v>0</v>
      </c>
      <c r="BD12" s="22">
        <v>0</v>
      </c>
      <c r="BE12" s="22">
        <v>0</v>
      </c>
      <c r="BF12" s="22">
        <v>0</v>
      </c>
      <c r="BG12" s="22">
        <v>0</v>
      </c>
      <c r="BH12" s="22">
        <v>0</v>
      </c>
      <c r="BI12" s="22">
        <v>0</v>
      </c>
      <c r="BJ12" s="22">
        <v>0</v>
      </c>
      <c r="BK12" s="22">
        <v>0</v>
      </c>
      <c r="BL12" s="22">
        <v>0</v>
      </c>
      <c r="BM12" s="22">
        <v>0</v>
      </c>
      <c r="BN12" s="22">
        <v>0</v>
      </c>
      <c r="BO12" s="22">
        <v>0</v>
      </c>
      <c r="BP12" s="22">
        <v>0</v>
      </c>
      <c r="BQ12" s="22">
        <v>0</v>
      </c>
      <c r="BR12" s="22">
        <v>0</v>
      </c>
      <c r="BS12" s="22">
        <v>0</v>
      </c>
      <c r="BT12" s="22">
        <v>0</v>
      </c>
      <c r="BU12" s="22">
        <v>0</v>
      </c>
      <c r="BV12" s="22">
        <v>0</v>
      </c>
      <c r="BW12" s="22">
        <v>0</v>
      </c>
      <c r="BX12" s="22">
        <v>0</v>
      </c>
      <c r="BY12" s="22">
        <v>0</v>
      </c>
      <c r="BZ12" s="22">
        <v>0</v>
      </c>
      <c r="CA12" s="22">
        <v>0</v>
      </c>
    </row>
    <row r="13" spans="1:79" x14ac:dyDescent="0.3">
      <c r="A13" s="19"/>
      <c r="B13" s="20" t="str">
        <f t="shared" si="0"/>
        <v>12110000</v>
      </c>
      <c r="C13" s="55" t="str">
        <f t="shared" si="1"/>
        <v>2</v>
      </c>
      <c r="D13" s="55">
        <f t="shared" si="2"/>
        <v>1</v>
      </c>
      <c r="E13" s="49">
        <v>0</v>
      </c>
      <c r="F13" s="20">
        <v>1</v>
      </c>
      <c r="G13" s="20">
        <v>1</v>
      </c>
      <c r="H13" s="20" t="str">
        <f t="shared" si="3"/>
        <v>Item_Name_12110000</v>
      </c>
      <c r="I13" s="20" t="s">
        <v>279</v>
      </c>
      <c r="J13" s="20">
        <v>10102001</v>
      </c>
      <c r="K13" s="20">
        <v>1</v>
      </c>
      <c r="L13" s="20">
        <v>0</v>
      </c>
      <c r="M13" s="20">
        <v>0</v>
      </c>
      <c r="N13" s="20">
        <v>0</v>
      </c>
      <c r="O13" s="20">
        <v>0</v>
      </c>
      <c r="P13" s="20">
        <v>0</v>
      </c>
      <c r="Q13" s="20" t="s">
        <v>223</v>
      </c>
      <c r="R13" s="20">
        <v>0</v>
      </c>
      <c r="S13" s="20">
        <v>0</v>
      </c>
      <c r="T13" s="20">
        <v>0</v>
      </c>
      <c r="U13" s="20">
        <v>0</v>
      </c>
      <c r="V13" s="20">
        <v>0</v>
      </c>
      <c r="W13" s="20">
        <v>0</v>
      </c>
      <c r="X13" s="20">
        <v>0</v>
      </c>
      <c r="Y13" s="20">
        <v>0</v>
      </c>
      <c r="Z13" s="20">
        <v>0</v>
      </c>
      <c r="AA13" s="20">
        <v>0</v>
      </c>
      <c r="AB13" s="20">
        <v>0</v>
      </c>
      <c r="AC13" s="20">
        <v>0</v>
      </c>
      <c r="AD13" s="20">
        <v>0</v>
      </c>
      <c r="AE13" s="38">
        <v>0</v>
      </c>
      <c r="AF13" s="33">
        <v>0</v>
      </c>
      <c r="AG13" s="22">
        <v>0</v>
      </c>
      <c r="AH13" s="22">
        <v>0</v>
      </c>
      <c r="AI13" s="22">
        <v>0</v>
      </c>
      <c r="AJ13" s="22">
        <v>0</v>
      </c>
      <c r="AK13" s="22">
        <v>0</v>
      </c>
      <c r="AL13" s="22">
        <v>0</v>
      </c>
      <c r="AM13" s="22">
        <v>0</v>
      </c>
      <c r="AN13" s="22">
        <v>0</v>
      </c>
      <c r="AO13" s="22">
        <v>0</v>
      </c>
      <c r="AP13" s="22">
        <v>0</v>
      </c>
      <c r="AQ13" s="22">
        <v>0</v>
      </c>
      <c r="AR13" s="22">
        <v>0</v>
      </c>
      <c r="AS13" s="22">
        <v>0</v>
      </c>
      <c r="AT13" s="22">
        <v>0</v>
      </c>
      <c r="AU13" s="22">
        <v>0</v>
      </c>
      <c r="AV13" s="22">
        <v>0</v>
      </c>
      <c r="AW13" s="22">
        <v>0</v>
      </c>
      <c r="AX13" s="22">
        <v>0</v>
      </c>
      <c r="AY13" s="22">
        <v>0</v>
      </c>
      <c r="AZ13" s="22">
        <v>0</v>
      </c>
      <c r="BA13" s="22">
        <v>0</v>
      </c>
      <c r="BB13" s="22">
        <v>0</v>
      </c>
      <c r="BC13" s="22">
        <v>0</v>
      </c>
      <c r="BD13" s="22">
        <v>0</v>
      </c>
      <c r="BE13" s="22">
        <v>0</v>
      </c>
      <c r="BF13" s="22">
        <v>0</v>
      </c>
      <c r="BG13" s="22">
        <v>0</v>
      </c>
      <c r="BH13" s="22">
        <v>0</v>
      </c>
      <c r="BI13" s="22">
        <v>0</v>
      </c>
      <c r="BJ13" s="22">
        <v>0</v>
      </c>
      <c r="BK13" s="22">
        <v>0</v>
      </c>
      <c r="BL13" s="22">
        <v>0</v>
      </c>
      <c r="BM13" s="22">
        <v>0</v>
      </c>
      <c r="BN13" s="22">
        <v>0</v>
      </c>
      <c r="BO13" s="22">
        <v>0</v>
      </c>
      <c r="BP13" s="22">
        <v>0</v>
      </c>
      <c r="BQ13" s="22">
        <v>0</v>
      </c>
      <c r="BR13" s="22">
        <v>0</v>
      </c>
      <c r="BS13" s="22">
        <v>0</v>
      </c>
      <c r="BT13" s="22">
        <v>0</v>
      </c>
      <c r="BU13" s="22">
        <v>0</v>
      </c>
      <c r="BV13" s="22">
        <v>0</v>
      </c>
      <c r="BW13" s="22">
        <v>0</v>
      </c>
      <c r="BX13" s="22">
        <v>0</v>
      </c>
      <c r="BY13" s="22">
        <v>0</v>
      </c>
      <c r="BZ13" s="22">
        <v>0</v>
      </c>
      <c r="CA13" s="22">
        <v>0</v>
      </c>
    </row>
    <row r="14" spans="1:79" x14ac:dyDescent="0.3">
      <c r="A14" s="19"/>
      <c r="B14" s="20" t="str">
        <f t="shared" si="0"/>
        <v>12210000</v>
      </c>
      <c r="C14" s="55" t="str">
        <f t="shared" si="1"/>
        <v>2</v>
      </c>
      <c r="D14" s="55">
        <f t="shared" si="2"/>
        <v>2</v>
      </c>
      <c r="E14" s="49">
        <v>0</v>
      </c>
      <c r="F14" s="20">
        <v>1</v>
      </c>
      <c r="G14" s="20">
        <v>2</v>
      </c>
      <c r="H14" s="20" t="str">
        <f t="shared" si="3"/>
        <v>Item_Name_12210000</v>
      </c>
      <c r="I14" s="20" t="s">
        <v>280</v>
      </c>
      <c r="J14" s="20">
        <v>10102001</v>
      </c>
      <c r="K14" s="20">
        <v>1</v>
      </c>
      <c r="L14" s="20">
        <v>0</v>
      </c>
      <c r="M14" s="20">
        <v>0</v>
      </c>
      <c r="N14" s="20">
        <v>0</v>
      </c>
      <c r="O14" s="20">
        <v>0</v>
      </c>
      <c r="P14" s="20">
        <v>0</v>
      </c>
      <c r="Q14" s="20" t="s">
        <v>382</v>
      </c>
      <c r="R14" s="20">
        <v>0</v>
      </c>
      <c r="S14" s="20">
        <v>0</v>
      </c>
      <c r="T14" s="20">
        <v>0</v>
      </c>
      <c r="U14" s="20">
        <v>0</v>
      </c>
      <c r="V14" s="20">
        <v>0</v>
      </c>
      <c r="W14" s="20">
        <v>0</v>
      </c>
      <c r="X14" s="20">
        <v>0</v>
      </c>
      <c r="Y14" s="20">
        <v>0</v>
      </c>
      <c r="Z14" s="20">
        <v>0</v>
      </c>
      <c r="AA14" s="20">
        <v>0</v>
      </c>
      <c r="AB14" s="20">
        <v>0</v>
      </c>
      <c r="AC14" s="20">
        <v>0</v>
      </c>
      <c r="AD14" s="20">
        <v>0</v>
      </c>
      <c r="AE14" s="38">
        <v>0</v>
      </c>
      <c r="AF14" s="33">
        <v>0</v>
      </c>
      <c r="AG14" s="22">
        <v>0</v>
      </c>
      <c r="AH14" s="22">
        <v>0</v>
      </c>
      <c r="AI14" s="22">
        <v>0</v>
      </c>
      <c r="AJ14" s="22">
        <v>0</v>
      </c>
      <c r="AK14" s="22">
        <v>0</v>
      </c>
      <c r="AL14" s="22">
        <v>0</v>
      </c>
      <c r="AM14" s="22">
        <v>0</v>
      </c>
      <c r="AN14" s="22">
        <v>0</v>
      </c>
      <c r="AO14" s="22">
        <v>0</v>
      </c>
      <c r="AP14" s="22">
        <v>0</v>
      </c>
      <c r="AQ14" s="22">
        <v>0</v>
      </c>
      <c r="AR14" s="22">
        <v>0</v>
      </c>
      <c r="AS14" s="22">
        <v>0</v>
      </c>
      <c r="AT14" s="22">
        <v>0</v>
      </c>
      <c r="AU14" s="22">
        <v>0</v>
      </c>
      <c r="AV14" s="22">
        <v>0</v>
      </c>
      <c r="AW14" s="22">
        <v>0</v>
      </c>
      <c r="AX14" s="22">
        <v>0</v>
      </c>
      <c r="AY14" s="22">
        <v>0</v>
      </c>
      <c r="AZ14" s="22">
        <v>0</v>
      </c>
      <c r="BA14" s="22">
        <v>0</v>
      </c>
      <c r="BB14" s="22">
        <v>0</v>
      </c>
      <c r="BC14" s="22">
        <v>0</v>
      </c>
      <c r="BD14" s="22">
        <v>0</v>
      </c>
      <c r="BE14" s="22">
        <v>0</v>
      </c>
      <c r="BF14" s="22">
        <v>0</v>
      </c>
      <c r="BG14" s="22">
        <v>0</v>
      </c>
      <c r="BH14" s="22">
        <v>0</v>
      </c>
      <c r="BI14" s="22">
        <v>0</v>
      </c>
      <c r="BJ14" s="22">
        <v>0</v>
      </c>
      <c r="BK14" s="22">
        <v>0</v>
      </c>
      <c r="BL14" s="22">
        <v>0</v>
      </c>
      <c r="BM14" s="22">
        <v>0</v>
      </c>
      <c r="BN14" s="22">
        <v>0</v>
      </c>
      <c r="BO14" s="22">
        <v>0</v>
      </c>
      <c r="BP14" s="22">
        <v>0</v>
      </c>
      <c r="BQ14" s="22">
        <v>0</v>
      </c>
      <c r="BR14" s="22">
        <v>0</v>
      </c>
      <c r="BS14" s="22">
        <v>0</v>
      </c>
      <c r="BT14" s="22">
        <v>0</v>
      </c>
      <c r="BU14" s="22">
        <v>0</v>
      </c>
      <c r="BV14" s="22">
        <v>0</v>
      </c>
      <c r="BW14" s="22">
        <v>0</v>
      </c>
      <c r="BX14" s="22">
        <v>0</v>
      </c>
      <c r="BY14" s="22">
        <v>0</v>
      </c>
      <c r="BZ14" s="22">
        <v>0</v>
      </c>
      <c r="CA14" s="22">
        <v>0</v>
      </c>
    </row>
    <row r="15" spans="1:79" x14ac:dyDescent="0.3">
      <c r="A15" s="19"/>
      <c r="B15" s="20" t="str">
        <f t="shared" si="0"/>
        <v>12310000</v>
      </c>
      <c r="C15" s="55" t="str">
        <f t="shared" si="1"/>
        <v>2</v>
      </c>
      <c r="D15" s="55">
        <f t="shared" si="2"/>
        <v>3</v>
      </c>
      <c r="E15" s="49">
        <v>0</v>
      </c>
      <c r="F15" s="20">
        <v>1</v>
      </c>
      <c r="G15" s="20">
        <v>3</v>
      </c>
      <c r="H15" s="20" t="str">
        <f t="shared" si="3"/>
        <v>Item_Name_12310000</v>
      </c>
      <c r="I15" s="20" t="s">
        <v>281</v>
      </c>
      <c r="J15" s="20">
        <v>10102001</v>
      </c>
      <c r="K15" s="20">
        <v>1</v>
      </c>
      <c r="L15" s="20">
        <v>0</v>
      </c>
      <c r="M15" s="20">
        <v>0</v>
      </c>
      <c r="N15" s="20">
        <v>0</v>
      </c>
      <c r="O15" s="20">
        <v>0</v>
      </c>
      <c r="P15" s="20">
        <v>0</v>
      </c>
      <c r="Q15" s="20" t="s">
        <v>383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0</v>
      </c>
      <c r="AA15" s="20">
        <v>0</v>
      </c>
      <c r="AB15" s="20">
        <v>0</v>
      </c>
      <c r="AC15" s="20">
        <v>0</v>
      </c>
      <c r="AD15" s="20">
        <v>0</v>
      </c>
      <c r="AE15" s="38">
        <v>0</v>
      </c>
      <c r="AF15" s="33">
        <v>0</v>
      </c>
      <c r="AG15" s="22">
        <v>0</v>
      </c>
      <c r="AH15" s="22">
        <v>0</v>
      </c>
      <c r="AI15" s="22">
        <v>0</v>
      </c>
      <c r="AJ15" s="22">
        <v>0</v>
      </c>
      <c r="AK15" s="22">
        <v>0</v>
      </c>
      <c r="AL15" s="22">
        <v>0</v>
      </c>
      <c r="AM15" s="22">
        <v>0</v>
      </c>
      <c r="AN15" s="22">
        <v>0</v>
      </c>
      <c r="AO15" s="22">
        <v>0</v>
      </c>
      <c r="AP15" s="22">
        <v>0</v>
      </c>
      <c r="AQ15" s="22">
        <v>0</v>
      </c>
      <c r="AR15" s="22">
        <v>0</v>
      </c>
      <c r="AS15" s="22">
        <v>0</v>
      </c>
      <c r="AT15" s="22">
        <v>0</v>
      </c>
      <c r="AU15" s="22">
        <v>0</v>
      </c>
      <c r="AV15" s="22">
        <v>0</v>
      </c>
      <c r="AW15" s="22">
        <v>0</v>
      </c>
      <c r="AX15" s="22">
        <v>0</v>
      </c>
      <c r="AY15" s="22">
        <v>0</v>
      </c>
      <c r="AZ15" s="22">
        <v>0</v>
      </c>
      <c r="BA15" s="22">
        <v>0</v>
      </c>
      <c r="BB15" s="22">
        <v>0</v>
      </c>
      <c r="BC15" s="22">
        <v>0</v>
      </c>
      <c r="BD15" s="22">
        <v>0</v>
      </c>
      <c r="BE15" s="22">
        <v>0</v>
      </c>
      <c r="BF15" s="22">
        <v>0</v>
      </c>
      <c r="BG15" s="22">
        <v>0</v>
      </c>
      <c r="BH15" s="22">
        <v>0</v>
      </c>
      <c r="BI15" s="22">
        <v>0</v>
      </c>
      <c r="BJ15" s="22">
        <v>0</v>
      </c>
      <c r="BK15" s="22">
        <v>0</v>
      </c>
      <c r="BL15" s="22">
        <v>0</v>
      </c>
      <c r="BM15" s="22">
        <v>0</v>
      </c>
      <c r="BN15" s="22">
        <v>0</v>
      </c>
      <c r="BO15" s="22">
        <v>0</v>
      </c>
      <c r="BP15" s="22">
        <v>0</v>
      </c>
      <c r="BQ15" s="22">
        <v>0</v>
      </c>
      <c r="BR15" s="22">
        <v>0</v>
      </c>
      <c r="BS15" s="22">
        <v>0</v>
      </c>
      <c r="BT15" s="22">
        <v>0</v>
      </c>
      <c r="BU15" s="22">
        <v>0</v>
      </c>
      <c r="BV15" s="22">
        <v>0</v>
      </c>
      <c r="BW15" s="22">
        <v>0</v>
      </c>
      <c r="BX15" s="22">
        <v>0</v>
      </c>
      <c r="BY15" s="22">
        <v>0</v>
      </c>
      <c r="BZ15" s="22">
        <v>0</v>
      </c>
      <c r="CA15" s="22">
        <v>0</v>
      </c>
    </row>
    <row r="16" spans="1:79" x14ac:dyDescent="0.3">
      <c r="A16" s="19"/>
      <c r="B16" s="20" t="str">
        <f t="shared" si="0"/>
        <v>12410000</v>
      </c>
      <c r="C16" s="55" t="str">
        <f t="shared" si="1"/>
        <v>2</v>
      </c>
      <c r="D16" s="55">
        <f t="shared" si="2"/>
        <v>4</v>
      </c>
      <c r="E16" s="49">
        <v>0</v>
      </c>
      <c r="F16" s="20">
        <v>1</v>
      </c>
      <c r="G16" s="20">
        <v>4</v>
      </c>
      <c r="H16" s="20" t="str">
        <f t="shared" si="3"/>
        <v>Item_Name_12410000</v>
      </c>
      <c r="I16" s="20" t="s">
        <v>284</v>
      </c>
      <c r="J16" s="20">
        <v>10102001</v>
      </c>
      <c r="K16" s="20">
        <v>1</v>
      </c>
      <c r="L16" s="20">
        <v>0</v>
      </c>
      <c r="M16" s="20">
        <v>0</v>
      </c>
      <c r="N16" s="20">
        <v>0</v>
      </c>
      <c r="O16" s="20">
        <v>0</v>
      </c>
      <c r="P16" s="20">
        <v>0</v>
      </c>
      <c r="Q16" s="20" t="s">
        <v>236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0</v>
      </c>
      <c r="AA16" s="20">
        <v>0</v>
      </c>
      <c r="AB16" s="20">
        <v>0</v>
      </c>
      <c r="AC16" s="20">
        <v>0</v>
      </c>
      <c r="AD16" s="20">
        <v>0</v>
      </c>
      <c r="AE16" s="38">
        <v>0</v>
      </c>
      <c r="AF16" s="33">
        <v>0</v>
      </c>
      <c r="AG16" s="22">
        <v>0</v>
      </c>
      <c r="AH16" s="22">
        <v>0</v>
      </c>
      <c r="AI16" s="22">
        <v>0</v>
      </c>
      <c r="AJ16" s="22">
        <v>0</v>
      </c>
      <c r="AK16" s="22">
        <v>0</v>
      </c>
      <c r="AL16" s="22">
        <v>0</v>
      </c>
      <c r="AM16" s="22">
        <v>0</v>
      </c>
      <c r="AN16" s="22">
        <v>0</v>
      </c>
      <c r="AO16" s="22">
        <v>0</v>
      </c>
      <c r="AP16" s="22">
        <v>0</v>
      </c>
      <c r="AQ16" s="22">
        <v>0</v>
      </c>
      <c r="AR16" s="22">
        <v>0</v>
      </c>
      <c r="AS16" s="22">
        <v>0</v>
      </c>
      <c r="AT16" s="22">
        <v>0</v>
      </c>
      <c r="AU16" s="22">
        <v>0</v>
      </c>
      <c r="AV16" s="22">
        <v>0</v>
      </c>
      <c r="AW16" s="22">
        <v>0</v>
      </c>
      <c r="AX16" s="22">
        <v>0</v>
      </c>
      <c r="AY16" s="22">
        <v>0</v>
      </c>
      <c r="AZ16" s="22">
        <v>0</v>
      </c>
      <c r="BA16" s="22">
        <v>0</v>
      </c>
      <c r="BB16" s="22">
        <v>0</v>
      </c>
      <c r="BC16" s="22">
        <v>0</v>
      </c>
      <c r="BD16" s="22">
        <v>0</v>
      </c>
      <c r="BE16" s="22">
        <v>0</v>
      </c>
      <c r="BF16" s="22">
        <v>0</v>
      </c>
      <c r="BG16" s="22">
        <v>0</v>
      </c>
      <c r="BH16" s="22">
        <v>0</v>
      </c>
      <c r="BI16" s="22">
        <v>0</v>
      </c>
      <c r="BJ16" s="22">
        <v>0</v>
      </c>
      <c r="BK16" s="22">
        <v>0</v>
      </c>
      <c r="BL16" s="22">
        <v>0</v>
      </c>
      <c r="BM16" s="22">
        <v>0</v>
      </c>
      <c r="BN16" s="22">
        <v>0</v>
      </c>
      <c r="BO16" s="22">
        <v>0</v>
      </c>
      <c r="BP16" s="22">
        <v>0</v>
      </c>
      <c r="BQ16" s="22">
        <v>0</v>
      </c>
      <c r="BR16" s="22">
        <v>0</v>
      </c>
      <c r="BS16" s="22">
        <v>0</v>
      </c>
      <c r="BT16" s="22">
        <v>0</v>
      </c>
      <c r="BU16" s="22">
        <v>0</v>
      </c>
      <c r="BV16" s="22">
        <v>0</v>
      </c>
      <c r="BW16" s="22">
        <v>0</v>
      </c>
      <c r="BX16" s="22">
        <v>0</v>
      </c>
      <c r="BY16" s="22">
        <v>0</v>
      </c>
      <c r="BZ16" s="22">
        <v>0</v>
      </c>
      <c r="CA16" s="22">
        <v>0</v>
      </c>
    </row>
    <row r="17" spans="1:79" x14ac:dyDescent="0.3">
      <c r="A17" s="19"/>
      <c r="B17" s="20" t="str">
        <f t="shared" si="0"/>
        <v>12510000</v>
      </c>
      <c r="C17" s="55" t="str">
        <f t="shared" si="1"/>
        <v>2</v>
      </c>
      <c r="D17" s="55">
        <f t="shared" si="2"/>
        <v>5</v>
      </c>
      <c r="E17" s="49">
        <v>0</v>
      </c>
      <c r="F17" s="20">
        <v>1</v>
      </c>
      <c r="G17" s="20">
        <v>5</v>
      </c>
      <c r="H17" s="20" t="str">
        <f t="shared" si="3"/>
        <v>Item_Name_12510000</v>
      </c>
      <c r="I17" s="20" t="s">
        <v>282</v>
      </c>
      <c r="J17" s="20">
        <v>10102001</v>
      </c>
      <c r="K17" s="20">
        <v>1</v>
      </c>
      <c r="L17" s="20">
        <v>0</v>
      </c>
      <c r="M17" s="20">
        <v>0</v>
      </c>
      <c r="N17" s="20">
        <v>0</v>
      </c>
      <c r="O17" s="20">
        <v>0</v>
      </c>
      <c r="P17" s="20">
        <v>0</v>
      </c>
      <c r="Q17" s="20" t="s">
        <v>384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0</v>
      </c>
      <c r="AA17" s="20">
        <v>0</v>
      </c>
      <c r="AB17" s="20">
        <v>0</v>
      </c>
      <c r="AC17" s="20">
        <v>0</v>
      </c>
      <c r="AD17" s="20">
        <v>0</v>
      </c>
      <c r="AE17" s="38">
        <v>0</v>
      </c>
      <c r="AF17" s="33">
        <v>0</v>
      </c>
      <c r="AG17" s="22">
        <v>0</v>
      </c>
      <c r="AH17" s="22">
        <v>0</v>
      </c>
      <c r="AI17" s="22">
        <v>0</v>
      </c>
      <c r="AJ17" s="22">
        <v>0</v>
      </c>
      <c r="AK17" s="22">
        <v>0</v>
      </c>
      <c r="AL17" s="22">
        <v>0</v>
      </c>
      <c r="AM17" s="22">
        <v>0</v>
      </c>
      <c r="AN17" s="22">
        <v>0</v>
      </c>
      <c r="AO17" s="22">
        <v>0</v>
      </c>
      <c r="AP17" s="22">
        <v>0</v>
      </c>
      <c r="AQ17" s="22">
        <v>0</v>
      </c>
      <c r="AR17" s="22">
        <v>0</v>
      </c>
      <c r="AS17" s="22">
        <v>0</v>
      </c>
      <c r="AT17" s="22">
        <v>0</v>
      </c>
      <c r="AU17" s="22">
        <v>0</v>
      </c>
      <c r="AV17" s="22">
        <v>0</v>
      </c>
      <c r="AW17" s="22">
        <v>0</v>
      </c>
      <c r="AX17" s="22">
        <v>0</v>
      </c>
      <c r="AY17" s="22">
        <v>0</v>
      </c>
      <c r="AZ17" s="22">
        <v>0</v>
      </c>
      <c r="BA17" s="22">
        <v>0</v>
      </c>
      <c r="BB17" s="22">
        <v>0</v>
      </c>
      <c r="BC17" s="22">
        <v>0</v>
      </c>
      <c r="BD17" s="22">
        <v>0</v>
      </c>
      <c r="BE17" s="22">
        <v>0</v>
      </c>
      <c r="BF17" s="22">
        <v>0</v>
      </c>
      <c r="BG17" s="22">
        <v>0</v>
      </c>
      <c r="BH17" s="22">
        <v>0</v>
      </c>
      <c r="BI17" s="22">
        <v>0</v>
      </c>
      <c r="BJ17" s="22">
        <v>0</v>
      </c>
      <c r="BK17" s="22">
        <v>0</v>
      </c>
      <c r="BL17" s="22">
        <v>0</v>
      </c>
      <c r="BM17" s="22">
        <v>0</v>
      </c>
      <c r="BN17" s="22">
        <v>0</v>
      </c>
      <c r="BO17" s="22">
        <v>0</v>
      </c>
      <c r="BP17" s="22">
        <v>0</v>
      </c>
      <c r="BQ17" s="22">
        <v>0</v>
      </c>
      <c r="BR17" s="22">
        <v>0</v>
      </c>
      <c r="BS17" s="22">
        <v>0</v>
      </c>
      <c r="BT17" s="22">
        <v>0</v>
      </c>
      <c r="BU17" s="22">
        <v>0</v>
      </c>
      <c r="BV17" s="22">
        <v>0</v>
      </c>
      <c r="BW17" s="22">
        <v>0</v>
      </c>
      <c r="BX17" s="22">
        <v>0</v>
      </c>
      <c r="BY17" s="22">
        <v>0</v>
      </c>
      <c r="BZ17" s="22">
        <v>0</v>
      </c>
      <c r="CA17" s="22">
        <v>0</v>
      </c>
    </row>
    <row r="18" spans="1:79" x14ac:dyDescent="0.3">
      <c r="A18" s="19"/>
      <c r="B18" s="20" t="str">
        <f t="shared" si="0"/>
        <v>12610000</v>
      </c>
      <c r="C18" s="55" t="str">
        <f t="shared" si="1"/>
        <v>2</v>
      </c>
      <c r="D18" s="55">
        <f t="shared" si="2"/>
        <v>6</v>
      </c>
      <c r="E18" s="49">
        <v>0</v>
      </c>
      <c r="F18" s="20">
        <v>1</v>
      </c>
      <c r="G18" s="20">
        <v>6</v>
      </c>
      <c r="H18" s="20" t="str">
        <f t="shared" si="3"/>
        <v>Item_Name_12610000</v>
      </c>
      <c r="I18" s="20" t="s">
        <v>283</v>
      </c>
      <c r="J18" s="20">
        <v>10102001</v>
      </c>
      <c r="K18" s="20">
        <v>1</v>
      </c>
      <c r="L18" s="20">
        <v>0</v>
      </c>
      <c r="M18" s="20">
        <v>0</v>
      </c>
      <c r="N18" s="20">
        <v>0</v>
      </c>
      <c r="O18" s="20">
        <v>0</v>
      </c>
      <c r="P18" s="20">
        <v>0</v>
      </c>
      <c r="Q18" s="20" t="s">
        <v>233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0</v>
      </c>
      <c r="AA18" s="20">
        <v>0</v>
      </c>
      <c r="AB18" s="20">
        <v>0</v>
      </c>
      <c r="AC18" s="20">
        <v>0</v>
      </c>
      <c r="AD18" s="20">
        <v>0</v>
      </c>
      <c r="AE18" s="38">
        <v>0</v>
      </c>
      <c r="AF18" s="33">
        <v>0</v>
      </c>
      <c r="AG18" s="22">
        <v>0</v>
      </c>
      <c r="AH18" s="22">
        <v>0</v>
      </c>
      <c r="AI18" s="22">
        <v>0</v>
      </c>
      <c r="AJ18" s="22">
        <v>0</v>
      </c>
      <c r="AK18" s="22">
        <v>0</v>
      </c>
      <c r="AL18" s="22">
        <v>0</v>
      </c>
      <c r="AM18" s="22">
        <v>0</v>
      </c>
      <c r="AN18" s="22">
        <v>0</v>
      </c>
      <c r="AO18" s="22">
        <v>0</v>
      </c>
      <c r="AP18" s="22">
        <v>0</v>
      </c>
      <c r="AQ18" s="22">
        <v>0</v>
      </c>
      <c r="AR18" s="22">
        <v>0</v>
      </c>
      <c r="AS18" s="22">
        <v>0</v>
      </c>
      <c r="AT18" s="22">
        <v>0</v>
      </c>
      <c r="AU18" s="22">
        <v>0</v>
      </c>
      <c r="AV18" s="22">
        <v>0</v>
      </c>
      <c r="AW18" s="22">
        <v>0</v>
      </c>
      <c r="AX18" s="22">
        <v>0</v>
      </c>
      <c r="AY18" s="22">
        <v>0</v>
      </c>
      <c r="AZ18" s="22">
        <v>0</v>
      </c>
      <c r="BA18" s="22">
        <v>0</v>
      </c>
      <c r="BB18" s="22">
        <v>0</v>
      </c>
      <c r="BC18" s="22">
        <v>0</v>
      </c>
      <c r="BD18" s="22">
        <v>0</v>
      </c>
      <c r="BE18" s="22">
        <v>0</v>
      </c>
      <c r="BF18" s="22">
        <v>0</v>
      </c>
      <c r="BG18" s="22">
        <v>0</v>
      </c>
      <c r="BH18" s="22">
        <v>0</v>
      </c>
      <c r="BI18" s="22">
        <v>0</v>
      </c>
      <c r="BJ18" s="22">
        <v>0</v>
      </c>
      <c r="BK18" s="22">
        <v>0</v>
      </c>
      <c r="BL18" s="22">
        <v>0</v>
      </c>
      <c r="BM18" s="22">
        <v>0</v>
      </c>
      <c r="BN18" s="22">
        <v>0</v>
      </c>
      <c r="BO18" s="22">
        <v>0</v>
      </c>
      <c r="BP18" s="22">
        <v>0</v>
      </c>
      <c r="BQ18" s="22">
        <v>0</v>
      </c>
      <c r="BR18" s="22">
        <v>0</v>
      </c>
      <c r="BS18" s="22">
        <v>0</v>
      </c>
      <c r="BT18" s="22">
        <v>0</v>
      </c>
      <c r="BU18" s="22">
        <v>0</v>
      </c>
      <c r="BV18" s="22">
        <v>0</v>
      </c>
      <c r="BW18" s="22">
        <v>0</v>
      </c>
      <c r="BX18" s="22">
        <v>0</v>
      </c>
      <c r="BY18" s="22">
        <v>0</v>
      </c>
      <c r="BZ18" s="22">
        <v>0</v>
      </c>
      <c r="CA18" s="22">
        <v>0</v>
      </c>
    </row>
    <row r="19" spans="1:79" x14ac:dyDescent="0.3">
      <c r="A19" s="19"/>
      <c r="B19" s="20" t="str">
        <f t="shared" si="0"/>
        <v>13010000</v>
      </c>
      <c r="C19" s="55" t="str">
        <f t="shared" si="1"/>
        <v>3</v>
      </c>
      <c r="D19" s="55">
        <f t="shared" si="2"/>
        <v>0</v>
      </c>
      <c r="E19" s="49">
        <v>0</v>
      </c>
      <c r="F19" s="20">
        <v>1</v>
      </c>
      <c r="G19" s="20">
        <v>0</v>
      </c>
      <c r="H19" s="20" t="str">
        <f t="shared" si="3"/>
        <v>Item_Name_13010000</v>
      </c>
      <c r="I19" s="20" t="s">
        <v>285</v>
      </c>
      <c r="J19" s="20">
        <v>10103001</v>
      </c>
      <c r="K19" s="20">
        <v>1</v>
      </c>
      <c r="L19" s="20">
        <v>0</v>
      </c>
      <c r="M19" s="20">
        <v>0</v>
      </c>
      <c r="N19" s="20">
        <v>0</v>
      </c>
      <c r="O19" s="20">
        <v>0</v>
      </c>
      <c r="P19" s="20">
        <v>0</v>
      </c>
      <c r="Q19" s="20" t="s">
        <v>299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0</v>
      </c>
      <c r="AA19" s="20">
        <v>0</v>
      </c>
      <c r="AB19" s="20">
        <v>0</v>
      </c>
      <c r="AC19" s="20">
        <v>0</v>
      </c>
      <c r="AD19" s="20">
        <v>0</v>
      </c>
      <c r="AE19" s="38">
        <v>0</v>
      </c>
      <c r="AF19" s="33">
        <v>0</v>
      </c>
      <c r="AG19" s="22">
        <v>0</v>
      </c>
      <c r="AH19" s="22">
        <v>0</v>
      </c>
      <c r="AI19" s="22">
        <v>0</v>
      </c>
      <c r="AJ19" s="22">
        <v>0</v>
      </c>
      <c r="AK19" s="22">
        <v>0</v>
      </c>
      <c r="AL19" s="22">
        <v>0</v>
      </c>
      <c r="AM19" s="22">
        <v>0</v>
      </c>
      <c r="AN19" s="22">
        <v>0</v>
      </c>
      <c r="AO19" s="22">
        <v>0</v>
      </c>
      <c r="AP19" s="22">
        <v>0</v>
      </c>
      <c r="AQ19" s="22">
        <v>0</v>
      </c>
      <c r="AR19" s="22">
        <v>0</v>
      </c>
      <c r="AS19" s="22">
        <v>0</v>
      </c>
      <c r="AT19" s="22">
        <v>0</v>
      </c>
      <c r="AU19" s="22">
        <v>0</v>
      </c>
      <c r="AV19" s="22">
        <v>0</v>
      </c>
      <c r="AW19" s="22">
        <v>0</v>
      </c>
      <c r="AX19" s="22">
        <v>0</v>
      </c>
      <c r="AY19" s="22">
        <v>0</v>
      </c>
      <c r="AZ19" s="22">
        <v>0</v>
      </c>
      <c r="BA19" s="22">
        <v>0</v>
      </c>
      <c r="BB19" s="22">
        <v>0</v>
      </c>
      <c r="BC19" s="22">
        <v>0</v>
      </c>
      <c r="BD19" s="22">
        <v>0</v>
      </c>
      <c r="BE19" s="22">
        <v>0</v>
      </c>
      <c r="BF19" s="22">
        <v>0</v>
      </c>
      <c r="BG19" s="22">
        <v>0</v>
      </c>
      <c r="BH19" s="22">
        <v>0</v>
      </c>
      <c r="BI19" s="22">
        <v>0</v>
      </c>
      <c r="BJ19" s="22">
        <v>0</v>
      </c>
      <c r="BK19" s="22">
        <v>0</v>
      </c>
      <c r="BL19" s="22">
        <v>0</v>
      </c>
      <c r="BM19" s="22">
        <v>0</v>
      </c>
      <c r="BN19" s="22">
        <v>0</v>
      </c>
      <c r="BO19" s="22">
        <v>0</v>
      </c>
      <c r="BP19" s="22">
        <v>0</v>
      </c>
      <c r="BQ19" s="22">
        <v>0</v>
      </c>
      <c r="BR19" s="22">
        <v>0</v>
      </c>
      <c r="BS19" s="22">
        <v>0</v>
      </c>
      <c r="BT19" s="22">
        <v>0</v>
      </c>
      <c r="BU19" s="22">
        <v>0</v>
      </c>
      <c r="BV19" s="22">
        <v>0</v>
      </c>
      <c r="BW19" s="22">
        <v>0</v>
      </c>
      <c r="BX19" s="22">
        <v>0</v>
      </c>
      <c r="BY19" s="22">
        <v>0</v>
      </c>
      <c r="BZ19" s="22">
        <v>0</v>
      </c>
      <c r="CA19" s="22">
        <v>0</v>
      </c>
    </row>
    <row r="20" spans="1:79" x14ac:dyDescent="0.3">
      <c r="A20" s="19"/>
      <c r="B20" s="20" t="str">
        <f t="shared" si="0"/>
        <v>13110000</v>
      </c>
      <c r="C20" s="55" t="str">
        <f t="shared" si="1"/>
        <v>3</v>
      </c>
      <c r="D20" s="55">
        <f t="shared" si="2"/>
        <v>1</v>
      </c>
      <c r="E20" s="49">
        <v>0</v>
      </c>
      <c r="F20" s="20">
        <v>1</v>
      </c>
      <c r="G20" s="20">
        <v>1</v>
      </c>
      <c r="H20" s="20" t="str">
        <f t="shared" si="3"/>
        <v>Item_Name_13110000</v>
      </c>
      <c r="I20" s="20" t="s">
        <v>286</v>
      </c>
      <c r="J20" s="20">
        <v>10103001</v>
      </c>
      <c r="K20" s="20">
        <v>1</v>
      </c>
      <c r="L20" s="20">
        <v>0</v>
      </c>
      <c r="M20" s="20">
        <v>0</v>
      </c>
      <c r="N20" s="20">
        <v>0</v>
      </c>
      <c r="O20" s="20">
        <v>0</v>
      </c>
      <c r="P20" s="20">
        <v>0</v>
      </c>
      <c r="Q20" s="20" t="s">
        <v>300</v>
      </c>
      <c r="R20" s="20">
        <v>0</v>
      </c>
      <c r="S20" s="20">
        <v>0</v>
      </c>
      <c r="T20" s="20">
        <v>0</v>
      </c>
      <c r="U20" s="20">
        <v>0</v>
      </c>
      <c r="V20" s="20">
        <v>0</v>
      </c>
      <c r="W20" s="20">
        <v>0</v>
      </c>
      <c r="X20" s="20">
        <v>0</v>
      </c>
      <c r="Y20" s="20">
        <v>0</v>
      </c>
      <c r="Z20" s="20">
        <v>0</v>
      </c>
      <c r="AA20" s="20">
        <v>0</v>
      </c>
      <c r="AB20" s="20">
        <v>0</v>
      </c>
      <c r="AC20" s="20">
        <v>0</v>
      </c>
      <c r="AD20" s="20">
        <v>0</v>
      </c>
      <c r="AE20" s="38">
        <v>0</v>
      </c>
      <c r="AF20" s="33">
        <v>0</v>
      </c>
      <c r="AG20" s="22">
        <v>0</v>
      </c>
      <c r="AH20" s="22">
        <v>0</v>
      </c>
      <c r="AI20" s="22">
        <v>0</v>
      </c>
      <c r="AJ20" s="22">
        <v>0</v>
      </c>
      <c r="AK20" s="22">
        <v>0</v>
      </c>
      <c r="AL20" s="22">
        <v>0</v>
      </c>
      <c r="AM20" s="22">
        <v>0</v>
      </c>
      <c r="AN20" s="22">
        <v>0</v>
      </c>
      <c r="AO20" s="22">
        <v>0</v>
      </c>
      <c r="AP20" s="22">
        <v>0</v>
      </c>
      <c r="AQ20" s="22">
        <v>0</v>
      </c>
      <c r="AR20" s="22">
        <v>0</v>
      </c>
      <c r="AS20" s="22">
        <v>0</v>
      </c>
      <c r="AT20" s="22">
        <v>0</v>
      </c>
      <c r="AU20" s="22">
        <v>0</v>
      </c>
      <c r="AV20" s="22">
        <v>0</v>
      </c>
      <c r="AW20" s="22">
        <v>0</v>
      </c>
      <c r="AX20" s="22">
        <v>0</v>
      </c>
      <c r="AY20" s="22">
        <v>0</v>
      </c>
      <c r="AZ20" s="22">
        <v>0</v>
      </c>
      <c r="BA20" s="22">
        <v>0</v>
      </c>
      <c r="BB20" s="22">
        <v>0</v>
      </c>
      <c r="BC20" s="22">
        <v>0</v>
      </c>
      <c r="BD20" s="22">
        <v>0</v>
      </c>
      <c r="BE20" s="22">
        <v>0</v>
      </c>
      <c r="BF20" s="22">
        <v>0</v>
      </c>
      <c r="BG20" s="22">
        <v>0</v>
      </c>
      <c r="BH20" s="22">
        <v>0</v>
      </c>
      <c r="BI20" s="22">
        <v>0</v>
      </c>
      <c r="BJ20" s="22">
        <v>0</v>
      </c>
      <c r="BK20" s="22">
        <v>0</v>
      </c>
      <c r="BL20" s="22">
        <v>0</v>
      </c>
      <c r="BM20" s="22">
        <v>0</v>
      </c>
      <c r="BN20" s="22">
        <v>0</v>
      </c>
      <c r="BO20" s="22">
        <v>0</v>
      </c>
      <c r="BP20" s="22">
        <v>0</v>
      </c>
      <c r="BQ20" s="22">
        <v>0</v>
      </c>
      <c r="BR20" s="22">
        <v>0</v>
      </c>
      <c r="BS20" s="22">
        <v>0</v>
      </c>
      <c r="BT20" s="22">
        <v>0</v>
      </c>
      <c r="BU20" s="22">
        <v>0</v>
      </c>
      <c r="BV20" s="22">
        <v>0</v>
      </c>
      <c r="BW20" s="22">
        <v>0</v>
      </c>
      <c r="BX20" s="22">
        <v>0</v>
      </c>
      <c r="BY20" s="22">
        <v>0</v>
      </c>
      <c r="BZ20" s="22">
        <v>0</v>
      </c>
      <c r="CA20" s="22">
        <v>0</v>
      </c>
    </row>
    <row r="21" spans="1:79" x14ac:dyDescent="0.3">
      <c r="A21" s="19"/>
      <c r="B21" s="20" t="str">
        <f t="shared" si="0"/>
        <v>13210000</v>
      </c>
      <c r="C21" s="55" t="str">
        <f t="shared" si="1"/>
        <v>3</v>
      </c>
      <c r="D21" s="55">
        <f t="shared" si="2"/>
        <v>2</v>
      </c>
      <c r="E21" s="49">
        <v>0</v>
      </c>
      <c r="F21" s="20">
        <v>1</v>
      </c>
      <c r="G21" s="20">
        <v>2</v>
      </c>
      <c r="H21" s="20" t="str">
        <f t="shared" si="3"/>
        <v>Item_Name_13210000</v>
      </c>
      <c r="I21" s="20" t="s">
        <v>287</v>
      </c>
      <c r="J21" s="20">
        <v>10103001</v>
      </c>
      <c r="K21" s="20">
        <v>1</v>
      </c>
      <c r="L21" s="20">
        <v>0</v>
      </c>
      <c r="M21" s="20">
        <v>0</v>
      </c>
      <c r="N21" s="20">
        <v>0</v>
      </c>
      <c r="O21" s="20">
        <v>0</v>
      </c>
      <c r="P21" s="20">
        <v>0</v>
      </c>
      <c r="Q21" s="20" t="s">
        <v>301</v>
      </c>
      <c r="R21" s="20">
        <v>0</v>
      </c>
      <c r="S21" s="20">
        <v>0</v>
      </c>
      <c r="T21" s="20">
        <v>0</v>
      </c>
      <c r="U21" s="20">
        <v>0</v>
      </c>
      <c r="V21" s="20">
        <v>0</v>
      </c>
      <c r="W21" s="20">
        <v>0</v>
      </c>
      <c r="X21" s="20">
        <v>0</v>
      </c>
      <c r="Y21" s="20">
        <v>0</v>
      </c>
      <c r="Z21" s="20">
        <v>0</v>
      </c>
      <c r="AA21" s="20">
        <v>0</v>
      </c>
      <c r="AB21" s="20">
        <v>0</v>
      </c>
      <c r="AC21" s="20">
        <v>0</v>
      </c>
      <c r="AD21" s="20">
        <v>0</v>
      </c>
      <c r="AE21" s="38">
        <v>0</v>
      </c>
      <c r="AF21" s="33">
        <v>0</v>
      </c>
      <c r="AG21" s="22">
        <v>0</v>
      </c>
      <c r="AH21" s="22">
        <v>0</v>
      </c>
      <c r="AI21" s="22">
        <v>0</v>
      </c>
      <c r="AJ21" s="22">
        <v>0</v>
      </c>
      <c r="AK21" s="22">
        <v>0</v>
      </c>
      <c r="AL21" s="22">
        <v>0</v>
      </c>
      <c r="AM21" s="22">
        <v>0</v>
      </c>
      <c r="AN21" s="22">
        <v>0</v>
      </c>
      <c r="AO21" s="22">
        <v>0</v>
      </c>
      <c r="AP21" s="22">
        <v>0</v>
      </c>
      <c r="AQ21" s="22">
        <v>0</v>
      </c>
      <c r="AR21" s="22">
        <v>0</v>
      </c>
      <c r="AS21" s="22">
        <v>0</v>
      </c>
      <c r="AT21" s="22">
        <v>0</v>
      </c>
      <c r="AU21" s="22">
        <v>0</v>
      </c>
      <c r="AV21" s="22">
        <v>0</v>
      </c>
      <c r="AW21" s="22">
        <v>0</v>
      </c>
      <c r="AX21" s="22">
        <v>0</v>
      </c>
      <c r="AY21" s="22">
        <v>0</v>
      </c>
      <c r="AZ21" s="22">
        <v>0</v>
      </c>
      <c r="BA21" s="22">
        <v>0</v>
      </c>
      <c r="BB21" s="22">
        <v>0</v>
      </c>
      <c r="BC21" s="22">
        <v>0</v>
      </c>
      <c r="BD21" s="22">
        <v>0</v>
      </c>
      <c r="BE21" s="22">
        <v>0</v>
      </c>
      <c r="BF21" s="22">
        <v>0</v>
      </c>
      <c r="BG21" s="22">
        <v>0</v>
      </c>
      <c r="BH21" s="22">
        <v>0</v>
      </c>
      <c r="BI21" s="22">
        <v>0</v>
      </c>
      <c r="BJ21" s="22">
        <v>0</v>
      </c>
      <c r="BK21" s="22">
        <v>0</v>
      </c>
      <c r="BL21" s="22">
        <v>0</v>
      </c>
      <c r="BM21" s="22">
        <v>0</v>
      </c>
      <c r="BN21" s="22">
        <v>0</v>
      </c>
      <c r="BO21" s="22">
        <v>0</v>
      </c>
      <c r="BP21" s="22">
        <v>0</v>
      </c>
      <c r="BQ21" s="22">
        <v>0</v>
      </c>
      <c r="BR21" s="22">
        <v>0</v>
      </c>
      <c r="BS21" s="22">
        <v>0</v>
      </c>
      <c r="BT21" s="22">
        <v>0</v>
      </c>
      <c r="BU21" s="22">
        <v>0</v>
      </c>
      <c r="BV21" s="22">
        <v>0</v>
      </c>
      <c r="BW21" s="22">
        <v>0</v>
      </c>
      <c r="BX21" s="22">
        <v>0</v>
      </c>
      <c r="BY21" s="22">
        <v>0</v>
      </c>
      <c r="BZ21" s="22">
        <v>0</v>
      </c>
      <c r="CA21" s="22">
        <v>0</v>
      </c>
    </row>
    <row r="22" spans="1:79" x14ac:dyDescent="0.3">
      <c r="A22" s="19"/>
      <c r="B22" s="20" t="str">
        <f t="shared" si="0"/>
        <v>13310000</v>
      </c>
      <c r="C22" s="55" t="str">
        <f t="shared" si="1"/>
        <v>3</v>
      </c>
      <c r="D22" s="55">
        <f t="shared" si="2"/>
        <v>3</v>
      </c>
      <c r="E22" s="49">
        <v>0</v>
      </c>
      <c r="F22" s="20">
        <v>1</v>
      </c>
      <c r="G22" s="20">
        <v>3</v>
      </c>
      <c r="H22" s="20" t="str">
        <f t="shared" si="3"/>
        <v>Item_Name_13310000</v>
      </c>
      <c r="I22" s="20" t="s">
        <v>288</v>
      </c>
      <c r="J22" s="20">
        <v>10103001</v>
      </c>
      <c r="K22" s="20">
        <v>1</v>
      </c>
      <c r="L22" s="20">
        <v>0</v>
      </c>
      <c r="M22" s="20">
        <v>0</v>
      </c>
      <c r="N22" s="20">
        <v>0</v>
      </c>
      <c r="O22" s="20">
        <v>0</v>
      </c>
      <c r="P22" s="20">
        <v>0</v>
      </c>
      <c r="Q22" s="20" t="s">
        <v>302</v>
      </c>
      <c r="R22" s="20">
        <v>0</v>
      </c>
      <c r="S22" s="20">
        <v>0</v>
      </c>
      <c r="T22" s="20">
        <v>0</v>
      </c>
      <c r="U22" s="20">
        <v>0</v>
      </c>
      <c r="V22" s="20">
        <v>0</v>
      </c>
      <c r="W22" s="20">
        <v>0</v>
      </c>
      <c r="X22" s="20">
        <v>0</v>
      </c>
      <c r="Y22" s="20">
        <v>0</v>
      </c>
      <c r="Z22" s="20">
        <v>0</v>
      </c>
      <c r="AA22" s="20">
        <v>0</v>
      </c>
      <c r="AB22" s="20">
        <v>0</v>
      </c>
      <c r="AC22" s="20">
        <v>0</v>
      </c>
      <c r="AD22" s="20">
        <v>0</v>
      </c>
      <c r="AE22" s="38">
        <v>0</v>
      </c>
      <c r="AF22" s="33">
        <v>0</v>
      </c>
      <c r="AG22" s="22">
        <v>0</v>
      </c>
      <c r="AH22" s="22">
        <v>0</v>
      </c>
      <c r="AI22" s="22">
        <v>0</v>
      </c>
      <c r="AJ22" s="22">
        <v>0</v>
      </c>
      <c r="AK22" s="22">
        <v>0</v>
      </c>
      <c r="AL22" s="22">
        <v>0</v>
      </c>
      <c r="AM22" s="22">
        <v>0</v>
      </c>
      <c r="AN22" s="22">
        <v>0</v>
      </c>
      <c r="AO22" s="22">
        <v>0</v>
      </c>
      <c r="AP22" s="22">
        <v>0</v>
      </c>
      <c r="AQ22" s="22">
        <v>0</v>
      </c>
      <c r="AR22" s="22">
        <v>0</v>
      </c>
      <c r="AS22" s="22">
        <v>0</v>
      </c>
      <c r="AT22" s="22">
        <v>0</v>
      </c>
      <c r="AU22" s="22">
        <v>0</v>
      </c>
      <c r="AV22" s="22">
        <v>0</v>
      </c>
      <c r="AW22" s="22">
        <v>0</v>
      </c>
      <c r="AX22" s="22">
        <v>0</v>
      </c>
      <c r="AY22" s="22">
        <v>0</v>
      </c>
      <c r="AZ22" s="22">
        <v>0</v>
      </c>
      <c r="BA22" s="22">
        <v>0</v>
      </c>
      <c r="BB22" s="22">
        <v>0</v>
      </c>
      <c r="BC22" s="22">
        <v>0</v>
      </c>
      <c r="BD22" s="22">
        <v>0</v>
      </c>
      <c r="BE22" s="22">
        <v>0</v>
      </c>
      <c r="BF22" s="22">
        <v>0</v>
      </c>
      <c r="BG22" s="22">
        <v>0</v>
      </c>
      <c r="BH22" s="22">
        <v>0</v>
      </c>
      <c r="BI22" s="22">
        <v>0</v>
      </c>
      <c r="BJ22" s="22">
        <v>0</v>
      </c>
      <c r="BK22" s="22">
        <v>0</v>
      </c>
      <c r="BL22" s="22">
        <v>0</v>
      </c>
      <c r="BM22" s="22">
        <v>0</v>
      </c>
      <c r="BN22" s="22">
        <v>0</v>
      </c>
      <c r="BO22" s="22">
        <v>0</v>
      </c>
      <c r="BP22" s="22">
        <v>0</v>
      </c>
      <c r="BQ22" s="22">
        <v>0</v>
      </c>
      <c r="BR22" s="22">
        <v>0</v>
      </c>
      <c r="BS22" s="22">
        <v>0</v>
      </c>
      <c r="BT22" s="22">
        <v>0</v>
      </c>
      <c r="BU22" s="22">
        <v>0</v>
      </c>
      <c r="BV22" s="22">
        <v>0</v>
      </c>
      <c r="BW22" s="22">
        <v>0</v>
      </c>
      <c r="BX22" s="22">
        <v>0</v>
      </c>
      <c r="BY22" s="22">
        <v>0</v>
      </c>
      <c r="BZ22" s="22">
        <v>0</v>
      </c>
      <c r="CA22" s="22">
        <v>0</v>
      </c>
    </row>
    <row r="23" spans="1:79" x14ac:dyDescent="0.3">
      <c r="A23" s="19"/>
      <c r="B23" s="20" t="str">
        <f t="shared" si="0"/>
        <v>13410000</v>
      </c>
      <c r="C23" s="55" t="str">
        <f t="shared" si="1"/>
        <v>3</v>
      </c>
      <c r="D23" s="55">
        <f t="shared" si="2"/>
        <v>4</v>
      </c>
      <c r="E23" s="49">
        <v>0</v>
      </c>
      <c r="F23" s="20">
        <v>1</v>
      </c>
      <c r="G23" s="20">
        <v>4</v>
      </c>
      <c r="H23" s="20" t="str">
        <f t="shared" si="3"/>
        <v>Item_Name_13410000</v>
      </c>
      <c r="I23" s="20" t="s">
        <v>291</v>
      </c>
      <c r="J23" s="20">
        <v>10103001</v>
      </c>
      <c r="K23" s="20">
        <v>1</v>
      </c>
      <c r="L23" s="20">
        <v>0</v>
      </c>
      <c r="M23" s="20">
        <v>0</v>
      </c>
      <c r="N23" s="20">
        <v>0</v>
      </c>
      <c r="O23" s="20">
        <v>0</v>
      </c>
      <c r="P23" s="20">
        <v>0</v>
      </c>
      <c r="Q23" s="20" t="s">
        <v>303</v>
      </c>
      <c r="R23" s="20">
        <v>0</v>
      </c>
      <c r="S23" s="20">
        <v>0</v>
      </c>
      <c r="T23" s="20">
        <v>0</v>
      </c>
      <c r="U23" s="20">
        <v>0</v>
      </c>
      <c r="V23" s="20">
        <v>0</v>
      </c>
      <c r="W23" s="20">
        <v>0</v>
      </c>
      <c r="X23" s="20">
        <v>0</v>
      </c>
      <c r="Y23" s="20">
        <v>0</v>
      </c>
      <c r="Z23" s="20">
        <v>0</v>
      </c>
      <c r="AA23" s="20">
        <v>0</v>
      </c>
      <c r="AB23" s="20">
        <v>0</v>
      </c>
      <c r="AC23" s="20">
        <v>0</v>
      </c>
      <c r="AD23" s="20">
        <v>0</v>
      </c>
      <c r="AE23" s="38">
        <v>0</v>
      </c>
      <c r="AF23" s="33">
        <v>0</v>
      </c>
      <c r="AG23" s="22">
        <v>0</v>
      </c>
      <c r="AH23" s="22">
        <v>0</v>
      </c>
      <c r="AI23" s="22">
        <v>0</v>
      </c>
      <c r="AJ23" s="22">
        <v>0</v>
      </c>
      <c r="AK23" s="22">
        <v>0</v>
      </c>
      <c r="AL23" s="22">
        <v>0</v>
      </c>
      <c r="AM23" s="22">
        <v>0</v>
      </c>
      <c r="AN23" s="22">
        <v>0</v>
      </c>
      <c r="AO23" s="22">
        <v>0</v>
      </c>
      <c r="AP23" s="22">
        <v>0</v>
      </c>
      <c r="AQ23" s="22">
        <v>0</v>
      </c>
      <c r="AR23" s="22">
        <v>0</v>
      </c>
      <c r="AS23" s="22">
        <v>0</v>
      </c>
      <c r="AT23" s="22">
        <v>0</v>
      </c>
      <c r="AU23" s="22">
        <v>0</v>
      </c>
      <c r="AV23" s="22">
        <v>0</v>
      </c>
      <c r="AW23" s="22">
        <v>0</v>
      </c>
      <c r="AX23" s="22">
        <v>0</v>
      </c>
      <c r="AY23" s="22">
        <v>0</v>
      </c>
      <c r="AZ23" s="22">
        <v>0</v>
      </c>
      <c r="BA23" s="22">
        <v>0</v>
      </c>
      <c r="BB23" s="22">
        <v>0</v>
      </c>
      <c r="BC23" s="22">
        <v>0</v>
      </c>
      <c r="BD23" s="22">
        <v>0</v>
      </c>
      <c r="BE23" s="22">
        <v>0</v>
      </c>
      <c r="BF23" s="22">
        <v>0</v>
      </c>
      <c r="BG23" s="22">
        <v>0</v>
      </c>
      <c r="BH23" s="22">
        <v>0</v>
      </c>
      <c r="BI23" s="22">
        <v>0</v>
      </c>
      <c r="BJ23" s="22">
        <v>0</v>
      </c>
      <c r="BK23" s="22">
        <v>0</v>
      </c>
      <c r="BL23" s="22">
        <v>0</v>
      </c>
      <c r="BM23" s="22">
        <v>0</v>
      </c>
      <c r="BN23" s="22">
        <v>0</v>
      </c>
      <c r="BO23" s="22">
        <v>0</v>
      </c>
      <c r="BP23" s="22">
        <v>0</v>
      </c>
      <c r="BQ23" s="22">
        <v>0</v>
      </c>
      <c r="BR23" s="22">
        <v>0</v>
      </c>
      <c r="BS23" s="22">
        <v>0</v>
      </c>
      <c r="BT23" s="22">
        <v>0</v>
      </c>
      <c r="BU23" s="22">
        <v>0</v>
      </c>
      <c r="BV23" s="22">
        <v>0</v>
      </c>
      <c r="BW23" s="22">
        <v>0</v>
      </c>
      <c r="BX23" s="22">
        <v>0</v>
      </c>
      <c r="BY23" s="22">
        <v>0</v>
      </c>
      <c r="BZ23" s="22">
        <v>0</v>
      </c>
      <c r="CA23" s="22">
        <v>0</v>
      </c>
    </row>
    <row r="24" spans="1:79" x14ac:dyDescent="0.3">
      <c r="A24" s="19"/>
      <c r="B24" s="20" t="str">
        <f t="shared" si="0"/>
        <v>13510000</v>
      </c>
      <c r="C24" s="55" t="str">
        <f t="shared" si="1"/>
        <v>3</v>
      </c>
      <c r="D24" s="55">
        <f t="shared" si="2"/>
        <v>5</v>
      </c>
      <c r="E24" s="49">
        <v>0</v>
      </c>
      <c r="F24" s="20">
        <v>1</v>
      </c>
      <c r="G24" s="20">
        <v>5</v>
      </c>
      <c r="H24" s="20" t="str">
        <f t="shared" si="3"/>
        <v>Item_Name_13510000</v>
      </c>
      <c r="I24" s="20" t="s">
        <v>289</v>
      </c>
      <c r="J24" s="20">
        <v>10103001</v>
      </c>
      <c r="K24" s="20">
        <v>1</v>
      </c>
      <c r="L24" s="20">
        <v>0</v>
      </c>
      <c r="M24" s="20">
        <v>0</v>
      </c>
      <c r="N24" s="20">
        <v>0</v>
      </c>
      <c r="O24" s="20">
        <v>0</v>
      </c>
      <c r="P24" s="20">
        <v>0</v>
      </c>
      <c r="Q24" s="20" t="s">
        <v>304</v>
      </c>
      <c r="R24" s="20">
        <v>0</v>
      </c>
      <c r="S24" s="20">
        <v>0</v>
      </c>
      <c r="T24" s="20">
        <v>0</v>
      </c>
      <c r="U24" s="20">
        <v>0</v>
      </c>
      <c r="V24" s="20">
        <v>0</v>
      </c>
      <c r="W24" s="20">
        <v>0</v>
      </c>
      <c r="X24" s="20">
        <v>0</v>
      </c>
      <c r="Y24" s="20">
        <v>0</v>
      </c>
      <c r="Z24" s="20">
        <v>0</v>
      </c>
      <c r="AA24" s="20">
        <v>0</v>
      </c>
      <c r="AB24" s="20">
        <v>0</v>
      </c>
      <c r="AC24" s="20">
        <v>0</v>
      </c>
      <c r="AD24" s="20">
        <v>0</v>
      </c>
      <c r="AE24" s="38">
        <v>0</v>
      </c>
      <c r="AF24" s="33">
        <v>0</v>
      </c>
      <c r="AG24" s="22">
        <v>0</v>
      </c>
      <c r="AH24" s="22">
        <v>0</v>
      </c>
      <c r="AI24" s="22">
        <v>0</v>
      </c>
      <c r="AJ24" s="22">
        <v>0</v>
      </c>
      <c r="AK24" s="22">
        <v>0</v>
      </c>
      <c r="AL24" s="22">
        <v>0</v>
      </c>
      <c r="AM24" s="22">
        <v>0</v>
      </c>
      <c r="AN24" s="22">
        <v>0</v>
      </c>
      <c r="AO24" s="22">
        <v>0</v>
      </c>
      <c r="AP24" s="22">
        <v>0</v>
      </c>
      <c r="AQ24" s="22">
        <v>0</v>
      </c>
      <c r="AR24" s="22">
        <v>0</v>
      </c>
      <c r="AS24" s="22">
        <v>0</v>
      </c>
      <c r="AT24" s="22">
        <v>0</v>
      </c>
      <c r="AU24" s="22">
        <v>0</v>
      </c>
      <c r="AV24" s="22">
        <v>0</v>
      </c>
      <c r="AW24" s="22">
        <v>0</v>
      </c>
      <c r="AX24" s="22">
        <v>0</v>
      </c>
      <c r="AY24" s="22">
        <v>0</v>
      </c>
      <c r="AZ24" s="22">
        <v>0</v>
      </c>
      <c r="BA24" s="22">
        <v>0</v>
      </c>
      <c r="BB24" s="22">
        <v>0</v>
      </c>
      <c r="BC24" s="22">
        <v>0</v>
      </c>
      <c r="BD24" s="22">
        <v>0</v>
      </c>
      <c r="BE24" s="22">
        <v>0</v>
      </c>
      <c r="BF24" s="22">
        <v>0</v>
      </c>
      <c r="BG24" s="22">
        <v>0</v>
      </c>
      <c r="BH24" s="22">
        <v>0</v>
      </c>
      <c r="BI24" s="22">
        <v>0</v>
      </c>
      <c r="BJ24" s="22">
        <v>0</v>
      </c>
      <c r="BK24" s="22">
        <v>0</v>
      </c>
      <c r="BL24" s="22">
        <v>0</v>
      </c>
      <c r="BM24" s="22">
        <v>0</v>
      </c>
      <c r="BN24" s="22">
        <v>0</v>
      </c>
      <c r="BO24" s="22">
        <v>0</v>
      </c>
      <c r="BP24" s="22">
        <v>0</v>
      </c>
      <c r="BQ24" s="22">
        <v>0</v>
      </c>
      <c r="BR24" s="22">
        <v>0</v>
      </c>
      <c r="BS24" s="22">
        <v>0</v>
      </c>
      <c r="BT24" s="22">
        <v>0</v>
      </c>
      <c r="BU24" s="22">
        <v>0</v>
      </c>
      <c r="BV24" s="22">
        <v>0</v>
      </c>
      <c r="BW24" s="22">
        <v>0</v>
      </c>
      <c r="BX24" s="22">
        <v>0</v>
      </c>
      <c r="BY24" s="22">
        <v>0</v>
      </c>
      <c r="BZ24" s="22">
        <v>0</v>
      </c>
      <c r="CA24" s="22">
        <v>0</v>
      </c>
    </row>
    <row r="25" spans="1:79" x14ac:dyDescent="0.3">
      <c r="A25" s="19"/>
      <c r="B25" s="20" t="str">
        <f t="shared" si="0"/>
        <v>13610000</v>
      </c>
      <c r="C25" s="55" t="str">
        <f t="shared" si="1"/>
        <v>3</v>
      </c>
      <c r="D25" s="55">
        <f t="shared" si="2"/>
        <v>6</v>
      </c>
      <c r="E25" s="49">
        <v>0</v>
      </c>
      <c r="F25" s="20">
        <v>1</v>
      </c>
      <c r="G25" s="20">
        <v>6</v>
      </c>
      <c r="H25" s="20" t="str">
        <f t="shared" si="3"/>
        <v>Item_Name_13610000</v>
      </c>
      <c r="I25" s="20" t="s">
        <v>290</v>
      </c>
      <c r="J25" s="20">
        <v>10103001</v>
      </c>
      <c r="K25" s="20">
        <v>1</v>
      </c>
      <c r="L25" s="20">
        <v>0</v>
      </c>
      <c r="M25" s="20">
        <v>0</v>
      </c>
      <c r="N25" s="20">
        <v>0</v>
      </c>
      <c r="O25" s="20">
        <v>0</v>
      </c>
      <c r="P25" s="20">
        <v>0</v>
      </c>
      <c r="Q25" s="20" t="s">
        <v>305</v>
      </c>
      <c r="R25" s="20">
        <v>0</v>
      </c>
      <c r="S25" s="20">
        <v>0</v>
      </c>
      <c r="T25" s="20">
        <v>0</v>
      </c>
      <c r="U25" s="20">
        <v>0</v>
      </c>
      <c r="V25" s="20">
        <v>0</v>
      </c>
      <c r="W25" s="20">
        <v>0</v>
      </c>
      <c r="X25" s="20">
        <v>0</v>
      </c>
      <c r="Y25" s="20">
        <v>0</v>
      </c>
      <c r="Z25" s="20">
        <v>0</v>
      </c>
      <c r="AA25" s="20">
        <v>0</v>
      </c>
      <c r="AB25" s="20">
        <v>0</v>
      </c>
      <c r="AC25" s="20">
        <v>0</v>
      </c>
      <c r="AD25" s="20">
        <v>0</v>
      </c>
      <c r="AE25" s="38">
        <v>0</v>
      </c>
      <c r="AF25" s="33">
        <v>0</v>
      </c>
      <c r="AG25" s="22">
        <v>0</v>
      </c>
      <c r="AH25" s="22">
        <v>0</v>
      </c>
      <c r="AI25" s="22">
        <v>0</v>
      </c>
      <c r="AJ25" s="22">
        <v>0</v>
      </c>
      <c r="AK25" s="22">
        <v>0</v>
      </c>
      <c r="AL25" s="22">
        <v>0</v>
      </c>
      <c r="AM25" s="22">
        <v>0</v>
      </c>
      <c r="AN25" s="22">
        <v>0</v>
      </c>
      <c r="AO25" s="22">
        <v>0</v>
      </c>
      <c r="AP25" s="22">
        <v>0</v>
      </c>
      <c r="AQ25" s="22">
        <v>0</v>
      </c>
      <c r="AR25" s="22">
        <v>0</v>
      </c>
      <c r="AS25" s="22">
        <v>0</v>
      </c>
      <c r="AT25" s="22">
        <v>0</v>
      </c>
      <c r="AU25" s="22">
        <v>0</v>
      </c>
      <c r="AV25" s="22">
        <v>0</v>
      </c>
      <c r="AW25" s="22">
        <v>0</v>
      </c>
      <c r="AX25" s="22">
        <v>0</v>
      </c>
      <c r="AY25" s="22">
        <v>0</v>
      </c>
      <c r="AZ25" s="22">
        <v>0</v>
      </c>
      <c r="BA25" s="22">
        <v>0</v>
      </c>
      <c r="BB25" s="22">
        <v>0</v>
      </c>
      <c r="BC25" s="22">
        <v>0</v>
      </c>
      <c r="BD25" s="22">
        <v>0</v>
      </c>
      <c r="BE25" s="22">
        <v>0</v>
      </c>
      <c r="BF25" s="22">
        <v>0</v>
      </c>
      <c r="BG25" s="22">
        <v>0</v>
      </c>
      <c r="BH25" s="22">
        <v>0</v>
      </c>
      <c r="BI25" s="22">
        <v>0</v>
      </c>
      <c r="BJ25" s="22">
        <v>0</v>
      </c>
      <c r="BK25" s="22">
        <v>0</v>
      </c>
      <c r="BL25" s="22">
        <v>0</v>
      </c>
      <c r="BM25" s="22">
        <v>0</v>
      </c>
      <c r="BN25" s="22">
        <v>0</v>
      </c>
      <c r="BO25" s="22">
        <v>0</v>
      </c>
      <c r="BP25" s="22">
        <v>0</v>
      </c>
      <c r="BQ25" s="22">
        <v>0</v>
      </c>
      <c r="BR25" s="22">
        <v>0</v>
      </c>
      <c r="BS25" s="22">
        <v>0</v>
      </c>
      <c r="BT25" s="22">
        <v>0</v>
      </c>
      <c r="BU25" s="22">
        <v>0</v>
      </c>
      <c r="BV25" s="22">
        <v>0</v>
      </c>
      <c r="BW25" s="22">
        <v>0</v>
      </c>
      <c r="BX25" s="22">
        <v>0</v>
      </c>
      <c r="BY25" s="22">
        <v>0</v>
      </c>
      <c r="BZ25" s="22">
        <v>0</v>
      </c>
      <c r="CA25" s="22">
        <v>0</v>
      </c>
    </row>
    <row r="26" spans="1:79" x14ac:dyDescent="0.3">
      <c r="A26" s="19"/>
      <c r="B26" s="20" t="str">
        <f t="shared" si="0"/>
        <v>14010000</v>
      </c>
      <c r="C26" s="55" t="str">
        <f t="shared" si="1"/>
        <v>4</v>
      </c>
      <c r="D26" s="55">
        <f t="shared" si="2"/>
        <v>0</v>
      </c>
      <c r="E26" s="49">
        <v>0</v>
      </c>
      <c r="F26" s="20">
        <v>1</v>
      </c>
      <c r="G26" s="20">
        <v>0</v>
      </c>
      <c r="H26" s="20" t="str">
        <f t="shared" si="3"/>
        <v>Item_Name_14010000</v>
      </c>
      <c r="I26" s="20" t="s">
        <v>292</v>
      </c>
      <c r="J26" s="20">
        <v>10104001</v>
      </c>
      <c r="K26" s="20">
        <v>1</v>
      </c>
      <c r="L26" s="20">
        <v>0</v>
      </c>
      <c r="M26" s="20">
        <v>0</v>
      </c>
      <c r="N26" s="20">
        <v>0</v>
      </c>
      <c r="O26" s="20">
        <v>0</v>
      </c>
      <c r="P26" s="20">
        <v>0</v>
      </c>
      <c r="Q26" s="20" t="s">
        <v>306</v>
      </c>
      <c r="R26" s="20">
        <v>0</v>
      </c>
      <c r="S26" s="20">
        <v>0</v>
      </c>
      <c r="T26" s="20">
        <v>0</v>
      </c>
      <c r="U26" s="20">
        <v>0</v>
      </c>
      <c r="V26" s="20">
        <v>0</v>
      </c>
      <c r="W26" s="20">
        <v>0</v>
      </c>
      <c r="X26" s="20">
        <v>0</v>
      </c>
      <c r="Y26" s="20">
        <v>0</v>
      </c>
      <c r="Z26" s="20">
        <v>0</v>
      </c>
      <c r="AA26" s="20">
        <v>0</v>
      </c>
      <c r="AB26" s="20">
        <v>0</v>
      </c>
      <c r="AC26" s="20">
        <v>0</v>
      </c>
      <c r="AD26" s="20">
        <v>0</v>
      </c>
      <c r="AE26" s="38">
        <v>0</v>
      </c>
      <c r="AF26" s="33">
        <v>0</v>
      </c>
      <c r="AG26" s="22">
        <v>0</v>
      </c>
      <c r="AH26" s="22">
        <v>0</v>
      </c>
      <c r="AI26" s="22">
        <v>0</v>
      </c>
      <c r="AJ26" s="22">
        <v>0</v>
      </c>
      <c r="AK26" s="22">
        <v>0</v>
      </c>
      <c r="AL26" s="22">
        <v>0</v>
      </c>
      <c r="AM26" s="22">
        <v>0</v>
      </c>
      <c r="AN26" s="22">
        <v>0</v>
      </c>
      <c r="AO26" s="22">
        <v>0</v>
      </c>
      <c r="AP26" s="22">
        <v>0</v>
      </c>
      <c r="AQ26" s="22">
        <v>0</v>
      </c>
      <c r="AR26" s="22">
        <v>0</v>
      </c>
      <c r="AS26" s="22">
        <v>0</v>
      </c>
      <c r="AT26" s="22">
        <v>0</v>
      </c>
      <c r="AU26" s="22">
        <v>0</v>
      </c>
      <c r="AV26" s="22">
        <v>0</v>
      </c>
      <c r="AW26" s="22">
        <v>0</v>
      </c>
      <c r="AX26" s="22">
        <v>0</v>
      </c>
      <c r="AY26" s="22">
        <v>0</v>
      </c>
      <c r="AZ26" s="22">
        <v>0</v>
      </c>
      <c r="BA26" s="22">
        <v>0</v>
      </c>
      <c r="BB26" s="22">
        <v>0</v>
      </c>
      <c r="BC26" s="22">
        <v>0</v>
      </c>
      <c r="BD26" s="22">
        <v>0</v>
      </c>
      <c r="BE26" s="22">
        <v>0</v>
      </c>
      <c r="BF26" s="22">
        <v>0</v>
      </c>
      <c r="BG26" s="22">
        <v>0</v>
      </c>
      <c r="BH26" s="22">
        <v>0</v>
      </c>
      <c r="BI26" s="22">
        <v>0</v>
      </c>
      <c r="BJ26" s="22">
        <v>0</v>
      </c>
      <c r="BK26" s="22">
        <v>0</v>
      </c>
      <c r="BL26" s="22">
        <v>0</v>
      </c>
      <c r="BM26" s="22">
        <v>0</v>
      </c>
      <c r="BN26" s="22">
        <v>0</v>
      </c>
      <c r="BO26" s="22">
        <v>0</v>
      </c>
      <c r="BP26" s="22">
        <v>0</v>
      </c>
      <c r="BQ26" s="22">
        <v>0</v>
      </c>
      <c r="BR26" s="22">
        <v>0</v>
      </c>
      <c r="BS26" s="22">
        <v>0</v>
      </c>
      <c r="BT26" s="22">
        <v>0</v>
      </c>
      <c r="BU26" s="22">
        <v>0</v>
      </c>
      <c r="BV26" s="22">
        <v>0</v>
      </c>
      <c r="BW26" s="22">
        <v>0</v>
      </c>
      <c r="BX26" s="22">
        <v>0</v>
      </c>
      <c r="BY26" s="22">
        <v>0</v>
      </c>
      <c r="BZ26" s="22">
        <v>0</v>
      </c>
      <c r="CA26" s="22">
        <v>0</v>
      </c>
    </row>
    <row r="27" spans="1:79" x14ac:dyDescent="0.3">
      <c r="A27" s="19"/>
      <c r="B27" s="20" t="str">
        <f t="shared" si="0"/>
        <v>14110000</v>
      </c>
      <c r="C27" s="55" t="str">
        <f t="shared" si="1"/>
        <v>4</v>
      </c>
      <c r="D27" s="55">
        <f t="shared" si="2"/>
        <v>1</v>
      </c>
      <c r="E27" s="49">
        <v>0</v>
      </c>
      <c r="F27" s="20">
        <v>1</v>
      </c>
      <c r="G27" s="20">
        <v>1</v>
      </c>
      <c r="H27" s="20" t="str">
        <f t="shared" si="3"/>
        <v>Item_Name_14110000</v>
      </c>
      <c r="I27" s="20" t="s">
        <v>293</v>
      </c>
      <c r="J27" s="20">
        <v>10104001</v>
      </c>
      <c r="K27" s="20">
        <v>1</v>
      </c>
      <c r="L27" s="20">
        <v>0</v>
      </c>
      <c r="M27" s="20">
        <v>0</v>
      </c>
      <c r="N27" s="20">
        <v>0</v>
      </c>
      <c r="O27" s="20">
        <v>0</v>
      </c>
      <c r="P27" s="20">
        <v>0</v>
      </c>
      <c r="Q27" s="20" t="s">
        <v>307</v>
      </c>
      <c r="R27" s="20">
        <v>0</v>
      </c>
      <c r="S27" s="20">
        <v>0</v>
      </c>
      <c r="T27" s="20">
        <v>0</v>
      </c>
      <c r="U27" s="20">
        <v>0</v>
      </c>
      <c r="V27" s="20">
        <v>0</v>
      </c>
      <c r="W27" s="20">
        <v>0</v>
      </c>
      <c r="X27" s="20">
        <v>0</v>
      </c>
      <c r="Y27" s="20">
        <v>0</v>
      </c>
      <c r="Z27" s="20">
        <v>0</v>
      </c>
      <c r="AA27" s="20">
        <v>0</v>
      </c>
      <c r="AB27" s="20">
        <v>0</v>
      </c>
      <c r="AC27" s="20">
        <v>0</v>
      </c>
      <c r="AD27" s="20">
        <v>0</v>
      </c>
      <c r="AE27" s="38">
        <v>0</v>
      </c>
      <c r="AF27" s="33">
        <v>0</v>
      </c>
      <c r="AG27" s="22">
        <v>0</v>
      </c>
      <c r="AH27" s="22">
        <v>0</v>
      </c>
      <c r="AI27" s="22">
        <v>0</v>
      </c>
      <c r="AJ27" s="22">
        <v>0</v>
      </c>
      <c r="AK27" s="22">
        <v>0</v>
      </c>
      <c r="AL27" s="22">
        <v>0</v>
      </c>
      <c r="AM27" s="22">
        <v>0</v>
      </c>
      <c r="AN27" s="22">
        <v>0</v>
      </c>
      <c r="AO27" s="22">
        <v>0</v>
      </c>
      <c r="AP27" s="22">
        <v>0</v>
      </c>
      <c r="AQ27" s="22">
        <v>0</v>
      </c>
      <c r="AR27" s="22">
        <v>0</v>
      </c>
      <c r="AS27" s="22">
        <v>0</v>
      </c>
      <c r="AT27" s="22">
        <v>0</v>
      </c>
      <c r="AU27" s="22">
        <v>0</v>
      </c>
      <c r="AV27" s="22">
        <v>0</v>
      </c>
      <c r="AW27" s="22">
        <v>0</v>
      </c>
      <c r="AX27" s="22">
        <v>0</v>
      </c>
      <c r="AY27" s="22">
        <v>0</v>
      </c>
      <c r="AZ27" s="22">
        <v>0</v>
      </c>
      <c r="BA27" s="22">
        <v>0</v>
      </c>
      <c r="BB27" s="22">
        <v>0</v>
      </c>
      <c r="BC27" s="22">
        <v>0</v>
      </c>
      <c r="BD27" s="22">
        <v>0</v>
      </c>
      <c r="BE27" s="22">
        <v>0</v>
      </c>
      <c r="BF27" s="22">
        <v>0</v>
      </c>
      <c r="BG27" s="22">
        <v>0</v>
      </c>
      <c r="BH27" s="22">
        <v>0</v>
      </c>
      <c r="BI27" s="22">
        <v>0</v>
      </c>
      <c r="BJ27" s="22">
        <v>0</v>
      </c>
      <c r="BK27" s="22">
        <v>0</v>
      </c>
      <c r="BL27" s="22">
        <v>0</v>
      </c>
      <c r="BM27" s="22">
        <v>0</v>
      </c>
      <c r="BN27" s="22">
        <v>0</v>
      </c>
      <c r="BO27" s="22">
        <v>0</v>
      </c>
      <c r="BP27" s="22">
        <v>0</v>
      </c>
      <c r="BQ27" s="22">
        <v>0</v>
      </c>
      <c r="BR27" s="22">
        <v>0</v>
      </c>
      <c r="BS27" s="22">
        <v>0</v>
      </c>
      <c r="BT27" s="22">
        <v>0</v>
      </c>
      <c r="BU27" s="22">
        <v>0</v>
      </c>
      <c r="BV27" s="22">
        <v>0</v>
      </c>
      <c r="BW27" s="22">
        <v>0</v>
      </c>
      <c r="BX27" s="22">
        <v>0</v>
      </c>
      <c r="BY27" s="22">
        <v>0</v>
      </c>
      <c r="BZ27" s="22">
        <v>0</v>
      </c>
      <c r="CA27" s="22">
        <v>0</v>
      </c>
    </row>
    <row r="28" spans="1:79" x14ac:dyDescent="0.3">
      <c r="A28" s="19"/>
      <c r="B28" s="20" t="str">
        <f t="shared" si="0"/>
        <v>14210000</v>
      </c>
      <c r="C28" s="55" t="str">
        <f t="shared" si="1"/>
        <v>4</v>
      </c>
      <c r="D28" s="55">
        <f t="shared" si="2"/>
        <v>2</v>
      </c>
      <c r="E28" s="49">
        <v>0</v>
      </c>
      <c r="F28" s="20">
        <v>1</v>
      </c>
      <c r="G28" s="20">
        <v>2</v>
      </c>
      <c r="H28" s="20" t="str">
        <f t="shared" si="3"/>
        <v>Item_Name_14210000</v>
      </c>
      <c r="I28" s="20" t="s">
        <v>294</v>
      </c>
      <c r="J28" s="20">
        <v>10104001</v>
      </c>
      <c r="K28" s="20">
        <v>1</v>
      </c>
      <c r="L28" s="20">
        <v>0</v>
      </c>
      <c r="M28" s="20">
        <v>0</v>
      </c>
      <c r="N28" s="20">
        <v>0</v>
      </c>
      <c r="O28" s="20">
        <v>0</v>
      </c>
      <c r="P28" s="20">
        <v>0</v>
      </c>
      <c r="Q28" s="20" t="s">
        <v>308</v>
      </c>
      <c r="R28" s="20">
        <v>0</v>
      </c>
      <c r="S28" s="20">
        <v>0</v>
      </c>
      <c r="T28" s="20">
        <v>0</v>
      </c>
      <c r="U28" s="20">
        <v>0</v>
      </c>
      <c r="V28" s="20">
        <v>0</v>
      </c>
      <c r="W28" s="20">
        <v>0</v>
      </c>
      <c r="X28" s="20">
        <v>0</v>
      </c>
      <c r="Y28" s="20">
        <v>0</v>
      </c>
      <c r="Z28" s="20">
        <v>0</v>
      </c>
      <c r="AA28" s="20">
        <v>0</v>
      </c>
      <c r="AB28" s="20">
        <v>0</v>
      </c>
      <c r="AC28" s="20">
        <v>0</v>
      </c>
      <c r="AD28" s="20">
        <v>0</v>
      </c>
      <c r="AE28" s="38">
        <v>0</v>
      </c>
      <c r="AF28" s="33">
        <v>0</v>
      </c>
      <c r="AG28" s="22">
        <v>0</v>
      </c>
      <c r="AH28" s="22">
        <v>0</v>
      </c>
      <c r="AI28" s="22">
        <v>0</v>
      </c>
      <c r="AJ28" s="22">
        <v>0</v>
      </c>
      <c r="AK28" s="22">
        <v>0</v>
      </c>
      <c r="AL28" s="22">
        <v>0</v>
      </c>
      <c r="AM28" s="22">
        <v>0</v>
      </c>
      <c r="AN28" s="22">
        <v>0</v>
      </c>
      <c r="AO28" s="22">
        <v>0</v>
      </c>
      <c r="AP28" s="22">
        <v>0</v>
      </c>
      <c r="AQ28" s="22">
        <v>0</v>
      </c>
      <c r="AR28" s="22">
        <v>0</v>
      </c>
      <c r="AS28" s="22">
        <v>0</v>
      </c>
      <c r="AT28" s="22">
        <v>0</v>
      </c>
      <c r="AU28" s="22">
        <v>0</v>
      </c>
      <c r="AV28" s="22">
        <v>0</v>
      </c>
      <c r="AW28" s="22">
        <v>0</v>
      </c>
      <c r="AX28" s="22">
        <v>0</v>
      </c>
      <c r="AY28" s="22">
        <v>0</v>
      </c>
      <c r="AZ28" s="22">
        <v>0</v>
      </c>
      <c r="BA28" s="22">
        <v>0</v>
      </c>
      <c r="BB28" s="22">
        <v>0</v>
      </c>
      <c r="BC28" s="22">
        <v>0</v>
      </c>
      <c r="BD28" s="22">
        <v>0</v>
      </c>
      <c r="BE28" s="22">
        <v>0</v>
      </c>
      <c r="BF28" s="22">
        <v>0</v>
      </c>
      <c r="BG28" s="22">
        <v>0</v>
      </c>
      <c r="BH28" s="22">
        <v>0</v>
      </c>
      <c r="BI28" s="22">
        <v>0</v>
      </c>
      <c r="BJ28" s="22">
        <v>0</v>
      </c>
      <c r="BK28" s="22">
        <v>0</v>
      </c>
      <c r="BL28" s="22">
        <v>0</v>
      </c>
      <c r="BM28" s="22">
        <v>0</v>
      </c>
      <c r="BN28" s="22">
        <v>0</v>
      </c>
      <c r="BO28" s="22">
        <v>0</v>
      </c>
      <c r="BP28" s="22">
        <v>0</v>
      </c>
      <c r="BQ28" s="22">
        <v>0</v>
      </c>
      <c r="BR28" s="22">
        <v>0</v>
      </c>
      <c r="BS28" s="22">
        <v>0</v>
      </c>
      <c r="BT28" s="22">
        <v>0</v>
      </c>
      <c r="BU28" s="22">
        <v>0</v>
      </c>
      <c r="BV28" s="22">
        <v>0</v>
      </c>
      <c r="BW28" s="22">
        <v>0</v>
      </c>
      <c r="BX28" s="22">
        <v>0</v>
      </c>
      <c r="BY28" s="22">
        <v>0</v>
      </c>
      <c r="BZ28" s="22">
        <v>0</v>
      </c>
      <c r="CA28" s="22">
        <v>0</v>
      </c>
    </row>
    <row r="29" spans="1:79" x14ac:dyDescent="0.3">
      <c r="A29" s="19"/>
      <c r="B29" s="20" t="str">
        <f t="shared" si="0"/>
        <v>14310000</v>
      </c>
      <c r="C29" s="55" t="str">
        <f t="shared" si="1"/>
        <v>4</v>
      </c>
      <c r="D29" s="55">
        <f t="shared" si="2"/>
        <v>3</v>
      </c>
      <c r="E29" s="49">
        <v>0</v>
      </c>
      <c r="F29" s="20">
        <v>1</v>
      </c>
      <c r="G29" s="20">
        <v>3</v>
      </c>
      <c r="H29" s="20" t="str">
        <f t="shared" si="3"/>
        <v>Item_Name_14310000</v>
      </c>
      <c r="I29" s="20" t="s">
        <v>295</v>
      </c>
      <c r="J29" s="20">
        <v>10104001</v>
      </c>
      <c r="K29" s="20">
        <v>1</v>
      </c>
      <c r="L29" s="20">
        <v>0</v>
      </c>
      <c r="M29" s="20">
        <v>0</v>
      </c>
      <c r="N29" s="20">
        <v>0</v>
      </c>
      <c r="O29" s="20">
        <v>0</v>
      </c>
      <c r="P29" s="20">
        <v>0</v>
      </c>
      <c r="Q29" s="20" t="s">
        <v>309</v>
      </c>
      <c r="R29" s="20">
        <v>0</v>
      </c>
      <c r="S29" s="20">
        <v>0</v>
      </c>
      <c r="T29" s="20">
        <v>0</v>
      </c>
      <c r="U29" s="20">
        <v>0</v>
      </c>
      <c r="V29" s="20">
        <v>0</v>
      </c>
      <c r="W29" s="20">
        <v>0</v>
      </c>
      <c r="X29" s="20">
        <v>0</v>
      </c>
      <c r="Y29" s="20">
        <v>0</v>
      </c>
      <c r="Z29" s="20">
        <v>0</v>
      </c>
      <c r="AA29" s="20">
        <v>0</v>
      </c>
      <c r="AB29" s="20">
        <v>0</v>
      </c>
      <c r="AC29" s="20">
        <v>0</v>
      </c>
      <c r="AD29" s="20">
        <v>0</v>
      </c>
      <c r="AE29" s="38">
        <v>0</v>
      </c>
      <c r="AF29" s="33">
        <v>0</v>
      </c>
      <c r="AG29" s="22">
        <v>0</v>
      </c>
      <c r="AH29" s="22">
        <v>0</v>
      </c>
      <c r="AI29" s="22">
        <v>0</v>
      </c>
      <c r="AJ29" s="22">
        <v>0</v>
      </c>
      <c r="AK29" s="22">
        <v>0</v>
      </c>
      <c r="AL29" s="22">
        <v>0</v>
      </c>
      <c r="AM29" s="22">
        <v>0</v>
      </c>
      <c r="AN29" s="22">
        <v>0</v>
      </c>
      <c r="AO29" s="22">
        <v>0</v>
      </c>
      <c r="AP29" s="22">
        <v>0</v>
      </c>
      <c r="AQ29" s="22">
        <v>0</v>
      </c>
      <c r="AR29" s="22">
        <v>0</v>
      </c>
      <c r="AS29" s="22">
        <v>0</v>
      </c>
      <c r="AT29" s="22">
        <v>0</v>
      </c>
      <c r="AU29" s="22">
        <v>0</v>
      </c>
      <c r="AV29" s="22">
        <v>0</v>
      </c>
      <c r="AW29" s="22">
        <v>0</v>
      </c>
      <c r="AX29" s="22">
        <v>0</v>
      </c>
      <c r="AY29" s="22">
        <v>0</v>
      </c>
      <c r="AZ29" s="22">
        <v>0</v>
      </c>
      <c r="BA29" s="22">
        <v>0</v>
      </c>
      <c r="BB29" s="22">
        <v>0</v>
      </c>
      <c r="BC29" s="22">
        <v>0</v>
      </c>
      <c r="BD29" s="22">
        <v>0</v>
      </c>
      <c r="BE29" s="22">
        <v>0</v>
      </c>
      <c r="BF29" s="22">
        <v>0</v>
      </c>
      <c r="BG29" s="22">
        <v>0</v>
      </c>
      <c r="BH29" s="22">
        <v>0</v>
      </c>
      <c r="BI29" s="22">
        <v>0</v>
      </c>
      <c r="BJ29" s="22">
        <v>0</v>
      </c>
      <c r="BK29" s="22">
        <v>0</v>
      </c>
      <c r="BL29" s="22">
        <v>0</v>
      </c>
      <c r="BM29" s="22">
        <v>0</v>
      </c>
      <c r="BN29" s="22">
        <v>0</v>
      </c>
      <c r="BO29" s="22">
        <v>0</v>
      </c>
      <c r="BP29" s="22">
        <v>0</v>
      </c>
      <c r="BQ29" s="22">
        <v>0</v>
      </c>
      <c r="BR29" s="22">
        <v>0</v>
      </c>
      <c r="BS29" s="22">
        <v>0</v>
      </c>
      <c r="BT29" s="22">
        <v>0</v>
      </c>
      <c r="BU29" s="22">
        <v>0</v>
      </c>
      <c r="BV29" s="22">
        <v>0</v>
      </c>
      <c r="BW29" s="22">
        <v>0</v>
      </c>
      <c r="BX29" s="22">
        <v>0</v>
      </c>
      <c r="BY29" s="22">
        <v>0</v>
      </c>
      <c r="BZ29" s="22">
        <v>0</v>
      </c>
      <c r="CA29" s="22">
        <v>0</v>
      </c>
    </row>
    <row r="30" spans="1:79" x14ac:dyDescent="0.3">
      <c r="A30" s="19"/>
      <c r="B30" s="20" t="str">
        <f t="shared" si="0"/>
        <v>14410000</v>
      </c>
      <c r="C30" s="55" t="str">
        <f t="shared" si="1"/>
        <v>4</v>
      </c>
      <c r="D30" s="55">
        <f t="shared" si="2"/>
        <v>4</v>
      </c>
      <c r="E30" s="49">
        <v>0</v>
      </c>
      <c r="F30" s="20">
        <v>1</v>
      </c>
      <c r="G30" s="20">
        <v>4</v>
      </c>
      <c r="H30" s="20" t="str">
        <f t="shared" si="3"/>
        <v>Item_Name_14410000</v>
      </c>
      <c r="I30" s="20" t="s">
        <v>298</v>
      </c>
      <c r="J30" s="20">
        <v>10104001</v>
      </c>
      <c r="K30" s="20">
        <v>1</v>
      </c>
      <c r="L30" s="20">
        <v>0</v>
      </c>
      <c r="M30" s="20">
        <v>0</v>
      </c>
      <c r="N30" s="20">
        <v>0</v>
      </c>
      <c r="O30" s="20">
        <v>0</v>
      </c>
      <c r="P30" s="20">
        <v>0</v>
      </c>
      <c r="Q30" s="20" t="s">
        <v>310</v>
      </c>
      <c r="R30" s="20">
        <v>0</v>
      </c>
      <c r="S30" s="20">
        <v>0</v>
      </c>
      <c r="T30" s="20">
        <v>0</v>
      </c>
      <c r="U30" s="20">
        <v>0</v>
      </c>
      <c r="V30" s="20">
        <v>0</v>
      </c>
      <c r="W30" s="20">
        <v>0</v>
      </c>
      <c r="X30" s="20">
        <v>0</v>
      </c>
      <c r="Y30" s="20">
        <v>0</v>
      </c>
      <c r="Z30" s="20">
        <v>0</v>
      </c>
      <c r="AA30" s="20">
        <v>0</v>
      </c>
      <c r="AB30" s="20">
        <v>0</v>
      </c>
      <c r="AC30" s="20">
        <v>0</v>
      </c>
      <c r="AD30" s="20">
        <v>0</v>
      </c>
      <c r="AE30" s="38">
        <v>0</v>
      </c>
      <c r="AF30" s="33">
        <v>0</v>
      </c>
      <c r="AG30" s="22">
        <v>0</v>
      </c>
      <c r="AH30" s="22">
        <v>0</v>
      </c>
      <c r="AI30" s="22">
        <v>0</v>
      </c>
      <c r="AJ30" s="22">
        <v>0</v>
      </c>
      <c r="AK30" s="22">
        <v>0</v>
      </c>
      <c r="AL30" s="22">
        <v>0</v>
      </c>
      <c r="AM30" s="22">
        <v>0</v>
      </c>
      <c r="AN30" s="22">
        <v>0</v>
      </c>
      <c r="AO30" s="22">
        <v>0</v>
      </c>
      <c r="AP30" s="22">
        <v>0</v>
      </c>
      <c r="AQ30" s="22">
        <v>0</v>
      </c>
      <c r="AR30" s="22">
        <v>0</v>
      </c>
      <c r="AS30" s="22">
        <v>0</v>
      </c>
      <c r="AT30" s="22">
        <v>0</v>
      </c>
      <c r="AU30" s="22">
        <v>0</v>
      </c>
      <c r="AV30" s="22">
        <v>0</v>
      </c>
      <c r="AW30" s="22">
        <v>0</v>
      </c>
      <c r="AX30" s="22">
        <v>0</v>
      </c>
      <c r="AY30" s="22">
        <v>0</v>
      </c>
      <c r="AZ30" s="22">
        <v>0</v>
      </c>
      <c r="BA30" s="22">
        <v>0</v>
      </c>
      <c r="BB30" s="22">
        <v>0</v>
      </c>
      <c r="BC30" s="22">
        <v>0</v>
      </c>
      <c r="BD30" s="22">
        <v>0</v>
      </c>
      <c r="BE30" s="22">
        <v>0</v>
      </c>
      <c r="BF30" s="22">
        <v>0</v>
      </c>
      <c r="BG30" s="22">
        <v>0</v>
      </c>
      <c r="BH30" s="22">
        <v>0</v>
      </c>
      <c r="BI30" s="22">
        <v>0</v>
      </c>
      <c r="BJ30" s="22">
        <v>0</v>
      </c>
      <c r="BK30" s="22">
        <v>0</v>
      </c>
      <c r="BL30" s="22">
        <v>0</v>
      </c>
      <c r="BM30" s="22">
        <v>0</v>
      </c>
      <c r="BN30" s="22">
        <v>0</v>
      </c>
      <c r="BO30" s="22">
        <v>0</v>
      </c>
      <c r="BP30" s="22">
        <v>0</v>
      </c>
      <c r="BQ30" s="22">
        <v>0</v>
      </c>
      <c r="BR30" s="22">
        <v>0</v>
      </c>
      <c r="BS30" s="22">
        <v>0</v>
      </c>
      <c r="BT30" s="22">
        <v>0</v>
      </c>
      <c r="BU30" s="22">
        <v>0</v>
      </c>
      <c r="BV30" s="22">
        <v>0</v>
      </c>
      <c r="BW30" s="22">
        <v>0</v>
      </c>
      <c r="BX30" s="22">
        <v>0</v>
      </c>
      <c r="BY30" s="22">
        <v>0</v>
      </c>
      <c r="BZ30" s="22">
        <v>0</v>
      </c>
      <c r="CA30" s="22">
        <v>0</v>
      </c>
    </row>
    <row r="31" spans="1:79" x14ac:dyDescent="0.3">
      <c r="A31" s="19"/>
      <c r="B31" s="20" t="str">
        <f t="shared" si="0"/>
        <v>14510000</v>
      </c>
      <c r="C31" s="55" t="str">
        <f t="shared" si="1"/>
        <v>4</v>
      </c>
      <c r="D31" s="55">
        <f t="shared" si="2"/>
        <v>5</v>
      </c>
      <c r="E31" s="49">
        <v>0</v>
      </c>
      <c r="F31" s="20">
        <v>1</v>
      </c>
      <c r="G31" s="20">
        <v>5</v>
      </c>
      <c r="H31" s="20" t="str">
        <f t="shared" si="3"/>
        <v>Item_Name_14510000</v>
      </c>
      <c r="I31" s="20" t="s">
        <v>296</v>
      </c>
      <c r="J31" s="20">
        <v>10104001</v>
      </c>
      <c r="K31" s="20">
        <v>1</v>
      </c>
      <c r="L31" s="20">
        <v>0</v>
      </c>
      <c r="M31" s="20">
        <v>0</v>
      </c>
      <c r="N31" s="20">
        <v>0</v>
      </c>
      <c r="O31" s="20">
        <v>0</v>
      </c>
      <c r="P31" s="20">
        <v>0</v>
      </c>
      <c r="Q31" s="20" t="s">
        <v>311</v>
      </c>
      <c r="R31" s="20">
        <v>0</v>
      </c>
      <c r="S31" s="20">
        <v>0</v>
      </c>
      <c r="T31" s="20">
        <v>0</v>
      </c>
      <c r="U31" s="20">
        <v>0</v>
      </c>
      <c r="V31" s="20">
        <v>0</v>
      </c>
      <c r="W31" s="20">
        <v>0</v>
      </c>
      <c r="X31" s="20">
        <v>0</v>
      </c>
      <c r="Y31" s="20">
        <v>0</v>
      </c>
      <c r="Z31" s="20">
        <v>0</v>
      </c>
      <c r="AA31" s="20">
        <v>0</v>
      </c>
      <c r="AB31" s="20">
        <v>0</v>
      </c>
      <c r="AC31" s="20">
        <v>0</v>
      </c>
      <c r="AD31" s="20">
        <v>0</v>
      </c>
      <c r="AE31" s="38">
        <v>0</v>
      </c>
      <c r="AF31" s="33">
        <v>0</v>
      </c>
      <c r="AG31" s="22">
        <v>0</v>
      </c>
      <c r="AH31" s="22">
        <v>0</v>
      </c>
      <c r="AI31" s="22">
        <v>0</v>
      </c>
      <c r="AJ31" s="22">
        <v>0</v>
      </c>
      <c r="AK31" s="22">
        <v>0</v>
      </c>
      <c r="AL31" s="22">
        <v>0</v>
      </c>
      <c r="AM31" s="22">
        <v>0</v>
      </c>
      <c r="AN31" s="22">
        <v>0</v>
      </c>
      <c r="AO31" s="22">
        <v>0</v>
      </c>
      <c r="AP31" s="22">
        <v>0</v>
      </c>
      <c r="AQ31" s="22">
        <v>0</v>
      </c>
      <c r="AR31" s="22">
        <v>0</v>
      </c>
      <c r="AS31" s="22">
        <v>0</v>
      </c>
      <c r="AT31" s="22">
        <v>0</v>
      </c>
      <c r="AU31" s="22">
        <v>0</v>
      </c>
      <c r="AV31" s="22">
        <v>0</v>
      </c>
      <c r="AW31" s="22">
        <v>0</v>
      </c>
      <c r="AX31" s="22">
        <v>0</v>
      </c>
      <c r="AY31" s="22">
        <v>0</v>
      </c>
      <c r="AZ31" s="22">
        <v>0</v>
      </c>
      <c r="BA31" s="22">
        <v>0</v>
      </c>
      <c r="BB31" s="22">
        <v>0</v>
      </c>
      <c r="BC31" s="22">
        <v>0</v>
      </c>
      <c r="BD31" s="22">
        <v>0</v>
      </c>
      <c r="BE31" s="22">
        <v>0</v>
      </c>
      <c r="BF31" s="22">
        <v>0</v>
      </c>
      <c r="BG31" s="22">
        <v>0</v>
      </c>
      <c r="BH31" s="22">
        <v>0</v>
      </c>
      <c r="BI31" s="22">
        <v>0</v>
      </c>
      <c r="BJ31" s="22">
        <v>0</v>
      </c>
      <c r="BK31" s="22">
        <v>0</v>
      </c>
      <c r="BL31" s="22">
        <v>0</v>
      </c>
      <c r="BM31" s="22">
        <v>0</v>
      </c>
      <c r="BN31" s="22">
        <v>0</v>
      </c>
      <c r="BO31" s="22">
        <v>0</v>
      </c>
      <c r="BP31" s="22">
        <v>0</v>
      </c>
      <c r="BQ31" s="22">
        <v>0</v>
      </c>
      <c r="BR31" s="22">
        <v>0</v>
      </c>
      <c r="BS31" s="22">
        <v>0</v>
      </c>
      <c r="BT31" s="22">
        <v>0</v>
      </c>
      <c r="BU31" s="22">
        <v>0</v>
      </c>
      <c r="BV31" s="22">
        <v>0</v>
      </c>
      <c r="BW31" s="22">
        <v>0</v>
      </c>
      <c r="BX31" s="22">
        <v>0</v>
      </c>
      <c r="BY31" s="22">
        <v>0</v>
      </c>
      <c r="BZ31" s="22">
        <v>0</v>
      </c>
      <c r="CA31" s="22">
        <v>0</v>
      </c>
    </row>
    <row r="32" spans="1:79" x14ac:dyDescent="0.3">
      <c r="A32" s="19"/>
      <c r="B32" s="20" t="str">
        <f t="shared" si="0"/>
        <v>14610000</v>
      </c>
      <c r="C32" s="55" t="str">
        <f t="shared" si="1"/>
        <v>4</v>
      </c>
      <c r="D32" s="55">
        <f t="shared" si="2"/>
        <v>6</v>
      </c>
      <c r="E32" s="49">
        <v>0</v>
      </c>
      <c r="F32" s="20">
        <v>1</v>
      </c>
      <c r="G32" s="20">
        <v>6</v>
      </c>
      <c r="H32" s="20" t="str">
        <f t="shared" si="3"/>
        <v>Item_Name_14610000</v>
      </c>
      <c r="I32" s="20" t="s">
        <v>297</v>
      </c>
      <c r="J32" s="20">
        <v>10104001</v>
      </c>
      <c r="K32" s="20">
        <v>1</v>
      </c>
      <c r="L32" s="20">
        <v>0</v>
      </c>
      <c r="M32" s="20">
        <v>0</v>
      </c>
      <c r="N32" s="20">
        <v>0</v>
      </c>
      <c r="O32" s="20">
        <v>0</v>
      </c>
      <c r="P32" s="20">
        <v>0</v>
      </c>
      <c r="Q32" s="20" t="s">
        <v>312</v>
      </c>
      <c r="R32" s="20">
        <v>0</v>
      </c>
      <c r="S32" s="20">
        <v>0</v>
      </c>
      <c r="T32" s="20">
        <v>0</v>
      </c>
      <c r="U32" s="20">
        <v>0</v>
      </c>
      <c r="V32" s="20">
        <v>0</v>
      </c>
      <c r="W32" s="20">
        <v>0</v>
      </c>
      <c r="X32" s="20">
        <v>0</v>
      </c>
      <c r="Y32" s="20">
        <v>0</v>
      </c>
      <c r="Z32" s="20">
        <v>0</v>
      </c>
      <c r="AA32" s="20">
        <v>0</v>
      </c>
      <c r="AB32" s="20">
        <v>0</v>
      </c>
      <c r="AC32" s="20">
        <v>0</v>
      </c>
      <c r="AD32" s="20">
        <v>0</v>
      </c>
      <c r="AE32" s="38">
        <v>0</v>
      </c>
      <c r="AF32" s="33">
        <v>0</v>
      </c>
      <c r="AG32" s="22">
        <v>0</v>
      </c>
      <c r="AH32" s="22">
        <v>0</v>
      </c>
      <c r="AI32" s="22">
        <v>0</v>
      </c>
      <c r="AJ32" s="22">
        <v>0</v>
      </c>
      <c r="AK32" s="22">
        <v>0</v>
      </c>
      <c r="AL32" s="22">
        <v>0</v>
      </c>
      <c r="AM32" s="22">
        <v>0</v>
      </c>
      <c r="AN32" s="22">
        <v>0</v>
      </c>
      <c r="AO32" s="22">
        <v>0</v>
      </c>
      <c r="AP32" s="22">
        <v>0</v>
      </c>
      <c r="AQ32" s="22">
        <v>0</v>
      </c>
      <c r="AR32" s="22">
        <v>0</v>
      </c>
      <c r="AS32" s="22">
        <v>0</v>
      </c>
      <c r="AT32" s="22">
        <v>0</v>
      </c>
      <c r="AU32" s="22">
        <v>0</v>
      </c>
      <c r="AV32" s="22">
        <v>0</v>
      </c>
      <c r="AW32" s="22">
        <v>0</v>
      </c>
      <c r="AX32" s="22">
        <v>0</v>
      </c>
      <c r="AY32" s="22">
        <v>0</v>
      </c>
      <c r="AZ32" s="22">
        <v>0</v>
      </c>
      <c r="BA32" s="22">
        <v>0</v>
      </c>
      <c r="BB32" s="22">
        <v>0</v>
      </c>
      <c r="BC32" s="22">
        <v>0</v>
      </c>
      <c r="BD32" s="22">
        <v>0</v>
      </c>
      <c r="BE32" s="22">
        <v>0</v>
      </c>
      <c r="BF32" s="22">
        <v>0</v>
      </c>
      <c r="BG32" s="22">
        <v>0</v>
      </c>
      <c r="BH32" s="22">
        <v>0</v>
      </c>
      <c r="BI32" s="22">
        <v>0</v>
      </c>
      <c r="BJ32" s="22">
        <v>0</v>
      </c>
      <c r="BK32" s="22">
        <v>0</v>
      </c>
      <c r="BL32" s="22">
        <v>0</v>
      </c>
      <c r="BM32" s="22">
        <v>0</v>
      </c>
      <c r="BN32" s="22">
        <v>0</v>
      </c>
      <c r="BO32" s="22">
        <v>0</v>
      </c>
      <c r="BP32" s="22">
        <v>0</v>
      </c>
      <c r="BQ32" s="22">
        <v>0</v>
      </c>
      <c r="BR32" s="22">
        <v>0</v>
      </c>
      <c r="BS32" s="22">
        <v>0</v>
      </c>
      <c r="BT32" s="22">
        <v>0</v>
      </c>
      <c r="BU32" s="22">
        <v>0</v>
      </c>
      <c r="BV32" s="22">
        <v>0</v>
      </c>
      <c r="BW32" s="22">
        <v>0</v>
      </c>
      <c r="BX32" s="22">
        <v>0</v>
      </c>
      <c r="BY32" s="22">
        <v>0</v>
      </c>
      <c r="BZ32" s="22">
        <v>0</v>
      </c>
      <c r="CA32" s="22">
        <v>0</v>
      </c>
    </row>
    <row r="33" spans="1:79" x14ac:dyDescent="0.3">
      <c r="A33" s="19"/>
      <c r="B33" s="20" t="str">
        <f t="shared" si="0"/>
        <v>11010001</v>
      </c>
      <c r="C33" s="55" t="str">
        <f t="shared" si="1"/>
        <v>1</v>
      </c>
      <c r="D33" s="55">
        <f t="shared" si="2"/>
        <v>0</v>
      </c>
      <c r="E33" s="49">
        <v>1</v>
      </c>
      <c r="F33" s="20">
        <v>1</v>
      </c>
      <c r="G33" s="20">
        <v>0</v>
      </c>
      <c r="H33" s="20" t="str">
        <f t="shared" si="3"/>
        <v>Item_Name_11010001</v>
      </c>
      <c r="I33" s="20" t="s">
        <v>385</v>
      </c>
      <c r="J33" s="20">
        <v>10101001</v>
      </c>
      <c r="K33" s="20">
        <v>1</v>
      </c>
      <c r="L33" s="20">
        <v>0</v>
      </c>
      <c r="M33" s="20">
        <v>0</v>
      </c>
      <c r="N33" s="20">
        <v>15</v>
      </c>
      <c r="O33" s="20">
        <v>100</v>
      </c>
      <c r="P33" s="20">
        <v>1</v>
      </c>
      <c r="Q33" s="20" t="s">
        <v>219</v>
      </c>
      <c r="R33" s="20" t="s">
        <v>171</v>
      </c>
      <c r="S33" s="20" t="s">
        <v>317</v>
      </c>
      <c r="T33" s="20" t="s">
        <v>329</v>
      </c>
      <c r="U33" s="20">
        <v>6</v>
      </c>
      <c r="V33" s="20">
        <v>13</v>
      </c>
      <c r="W33" s="20">
        <v>0</v>
      </c>
      <c r="X33" s="20">
        <v>0</v>
      </c>
      <c r="Y33" s="20">
        <v>1001</v>
      </c>
      <c r="Z33" s="20">
        <v>0</v>
      </c>
      <c r="AA33" s="20">
        <v>0</v>
      </c>
      <c r="AB33" s="20">
        <v>0</v>
      </c>
      <c r="AC33" s="20">
        <v>0</v>
      </c>
      <c r="AD33" s="20">
        <v>0</v>
      </c>
      <c r="AE33" s="39">
        <v>0</v>
      </c>
      <c r="AF33" s="31">
        <v>0</v>
      </c>
      <c r="AG33" s="20">
        <v>0</v>
      </c>
      <c r="AH33" s="20">
        <v>0</v>
      </c>
      <c r="AI33" s="20">
        <v>0</v>
      </c>
      <c r="AJ33" s="20">
        <v>0</v>
      </c>
      <c r="AK33" s="20">
        <v>0</v>
      </c>
      <c r="AL33" s="20">
        <v>0</v>
      </c>
      <c r="AM33" s="20">
        <v>0</v>
      </c>
      <c r="AN33" s="20">
        <v>0</v>
      </c>
      <c r="AO33" s="20">
        <v>0</v>
      </c>
      <c r="AP33" s="20">
        <v>0</v>
      </c>
      <c r="AQ33" s="20">
        <v>0</v>
      </c>
      <c r="AR33" s="20">
        <v>0</v>
      </c>
      <c r="AS33" s="20">
        <v>0</v>
      </c>
      <c r="AT33" s="20">
        <v>0</v>
      </c>
      <c r="AU33" s="20">
        <v>0</v>
      </c>
      <c r="AV33" s="20">
        <v>0</v>
      </c>
      <c r="AW33" s="20">
        <v>0</v>
      </c>
      <c r="AX33" s="20">
        <v>0</v>
      </c>
      <c r="AY33" s="20">
        <v>0</v>
      </c>
      <c r="AZ33" s="20">
        <v>0</v>
      </c>
      <c r="BA33" s="20">
        <v>0</v>
      </c>
      <c r="BB33" s="20">
        <v>0</v>
      </c>
      <c r="BC33" s="20">
        <v>0</v>
      </c>
      <c r="BD33" s="20">
        <v>0</v>
      </c>
      <c r="BE33" s="20">
        <v>0</v>
      </c>
      <c r="BF33" s="20">
        <v>0</v>
      </c>
      <c r="BG33" s="20">
        <v>0</v>
      </c>
      <c r="BH33" s="20">
        <v>0</v>
      </c>
      <c r="BI33" s="20">
        <v>0</v>
      </c>
      <c r="BJ33" s="20">
        <v>0</v>
      </c>
      <c r="BK33" s="20">
        <v>0</v>
      </c>
      <c r="BL33" s="20">
        <v>0</v>
      </c>
      <c r="BM33" s="20">
        <v>0</v>
      </c>
      <c r="BN33" s="20">
        <v>0</v>
      </c>
      <c r="BO33" s="20">
        <v>0</v>
      </c>
      <c r="BP33" s="20">
        <v>0</v>
      </c>
      <c r="BQ33" s="20">
        <v>0</v>
      </c>
      <c r="BR33" s="20">
        <v>0</v>
      </c>
      <c r="BS33" s="20">
        <v>0</v>
      </c>
      <c r="BT33" s="20">
        <v>0</v>
      </c>
      <c r="BU33" s="20">
        <v>0</v>
      </c>
      <c r="BV33" s="20">
        <v>0</v>
      </c>
      <c r="BW33" s="20">
        <v>0</v>
      </c>
      <c r="BX33" s="20">
        <v>0</v>
      </c>
      <c r="BY33" s="20">
        <v>0</v>
      </c>
      <c r="BZ33" s="20">
        <v>0</v>
      </c>
      <c r="CA33" s="20">
        <v>0</v>
      </c>
    </row>
    <row r="34" spans="1:79" x14ac:dyDescent="0.3">
      <c r="A34" s="19"/>
      <c r="B34" s="20" t="str">
        <f t="shared" si="0"/>
        <v>11020001</v>
      </c>
      <c r="C34" s="55" t="str">
        <f t="shared" si="1"/>
        <v>1</v>
      </c>
      <c r="D34" s="55">
        <f t="shared" si="2"/>
        <v>0</v>
      </c>
      <c r="E34" s="49">
        <v>1</v>
      </c>
      <c r="F34" s="20">
        <v>1</v>
      </c>
      <c r="G34" s="20">
        <v>0</v>
      </c>
      <c r="H34" s="20" t="str">
        <f t="shared" si="3"/>
        <v>Item_Name_11020001</v>
      </c>
      <c r="I34" s="20" t="s">
        <v>172</v>
      </c>
      <c r="J34" s="20">
        <v>10101001</v>
      </c>
      <c r="K34" s="20">
        <v>2</v>
      </c>
      <c r="L34" s="20">
        <v>0</v>
      </c>
      <c r="M34" s="20">
        <v>0</v>
      </c>
      <c r="N34" s="20">
        <v>15</v>
      </c>
      <c r="O34" s="20">
        <v>100</v>
      </c>
      <c r="P34" s="20">
        <v>1</v>
      </c>
      <c r="Q34" s="20" t="s">
        <v>386</v>
      </c>
      <c r="R34" s="20" t="s">
        <v>256</v>
      </c>
      <c r="S34" s="20" t="s">
        <v>317</v>
      </c>
      <c r="T34" s="20" t="s">
        <v>329</v>
      </c>
      <c r="U34" s="20">
        <v>14</v>
      </c>
      <c r="V34" s="20">
        <v>34</v>
      </c>
      <c r="W34" s="20">
        <v>0</v>
      </c>
      <c r="X34" s="20">
        <v>0</v>
      </c>
      <c r="Y34" s="20">
        <v>1001</v>
      </c>
      <c r="Z34" s="20">
        <v>1101</v>
      </c>
      <c r="AA34" s="20">
        <v>0</v>
      </c>
      <c r="AB34" s="20">
        <v>0</v>
      </c>
      <c r="AC34" s="20">
        <v>0</v>
      </c>
      <c r="AD34" s="20">
        <v>0</v>
      </c>
      <c r="AE34" s="39">
        <v>0</v>
      </c>
      <c r="AF34" s="31">
        <v>0</v>
      </c>
      <c r="AG34" s="20">
        <v>0</v>
      </c>
      <c r="AH34" s="20">
        <v>0</v>
      </c>
      <c r="AI34" s="20">
        <v>0</v>
      </c>
      <c r="AJ34" s="20">
        <v>0</v>
      </c>
      <c r="AK34" s="20">
        <v>0</v>
      </c>
      <c r="AL34" s="20">
        <v>0</v>
      </c>
      <c r="AM34" s="20">
        <v>0</v>
      </c>
      <c r="AN34" s="20">
        <v>0</v>
      </c>
      <c r="AO34" s="20">
        <v>0</v>
      </c>
      <c r="AP34" s="20">
        <v>0</v>
      </c>
      <c r="AQ34" s="20">
        <v>0</v>
      </c>
      <c r="AR34" s="20">
        <v>0</v>
      </c>
      <c r="AS34" s="20">
        <v>0</v>
      </c>
      <c r="AT34" s="20">
        <v>0</v>
      </c>
      <c r="AU34" s="20">
        <v>0</v>
      </c>
      <c r="AV34" s="20">
        <v>0</v>
      </c>
      <c r="AW34" s="20">
        <v>0</v>
      </c>
      <c r="AX34" s="20">
        <v>0</v>
      </c>
      <c r="AY34" s="20">
        <v>0</v>
      </c>
      <c r="AZ34" s="20">
        <v>0</v>
      </c>
      <c r="BA34" s="20">
        <v>0</v>
      </c>
      <c r="BB34" s="20">
        <v>0</v>
      </c>
      <c r="BC34" s="20">
        <v>0</v>
      </c>
      <c r="BD34" s="20">
        <v>0</v>
      </c>
      <c r="BE34" s="20">
        <v>0</v>
      </c>
      <c r="BF34" s="20">
        <v>0</v>
      </c>
      <c r="BG34" s="20">
        <v>0</v>
      </c>
      <c r="BH34" s="20">
        <v>0</v>
      </c>
      <c r="BI34" s="20">
        <v>0</v>
      </c>
      <c r="BJ34" s="20">
        <v>0</v>
      </c>
      <c r="BK34" s="20">
        <v>0</v>
      </c>
      <c r="BL34" s="20">
        <v>0</v>
      </c>
      <c r="BM34" s="20">
        <v>0</v>
      </c>
      <c r="BN34" s="20">
        <v>0</v>
      </c>
      <c r="BO34" s="20">
        <v>0</v>
      </c>
      <c r="BP34" s="20">
        <v>0</v>
      </c>
      <c r="BQ34" s="20">
        <v>0</v>
      </c>
      <c r="BR34" s="20">
        <v>0</v>
      </c>
      <c r="BS34" s="20">
        <v>0</v>
      </c>
      <c r="BT34" s="20">
        <v>0</v>
      </c>
      <c r="BU34" s="20">
        <v>0</v>
      </c>
      <c r="BV34" s="20">
        <v>0</v>
      </c>
      <c r="BW34" s="20">
        <v>0</v>
      </c>
      <c r="BX34" s="20">
        <v>0</v>
      </c>
      <c r="BY34" s="20">
        <v>0</v>
      </c>
      <c r="BZ34" s="20">
        <v>0</v>
      </c>
      <c r="CA34" s="20">
        <v>0</v>
      </c>
    </row>
    <row r="35" spans="1:79" x14ac:dyDescent="0.3">
      <c r="A35" s="19"/>
      <c r="B35" s="20" t="str">
        <f t="shared" si="0"/>
        <v>11030001</v>
      </c>
      <c r="C35" s="55" t="str">
        <f t="shared" si="1"/>
        <v>1</v>
      </c>
      <c r="D35" s="55">
        <f t="shared" si="2"/>
        <v>0</v>
      </c>
      <c r="E35" s="49">
        <v>1</v>
      </c>
      <c r="F35" s="20">
        <v>1</v>
      </c>
      <c r="G35" s="20">
        <v>0</v>
      </c>
      <c r="H35" s="20" t="str">
        <f t="shared" si="3"/>
        <v>Item_Name_11030001</v>
      </c>
      <c r="I35" s="20" t="s">
        <v>173</v>
      </c>
      <c r="J35" s="20">
        <v>10101001</v>
      </c>
      <c r="K35" s="20">
        <v>3</v>
      </c>
      <c r="L35" s="20">
        <v>0</v>
      </c>
      <c r="M35" s="20">
        <v>0</v>
      </c>
      <c r="N35" s="20">
        <v>15</v>
      </c>
      <c r="O35" s="20">
        <v>100</v>
      </c>
      <c r="P35" s="20">
        <v>1</v>
      </c>
      <c r="Q35" s="20" t="s">
        <v>387</v>
      </c>
      <c r="R35" s="20" t="s">
        <v>257</v>
      </c>
      <c r="S35" s="20" t="s">
        <v>317</v>
      </c>
      <c r="T35" s="20" t="s">
        <v>329</v>
      </c>
      <c r="U35" s="20">
        <v>25</v>
      </c>
      <c r="V35" s="20">
        <v>123</v>
      </c>
      <c r="W35" s="20">
        <v>0</v>
      </c>
      <c r="X35" s="20">
        <v>0</v>
      </c>
      <c r="Y35" s="20">
        <v>1001</v>
      </c>
      <c r="Z35" s="20">
        <v>1101</v>
      </c>
      <c r="AA35" s="20">
        <v>1201</v>
      </c>
      <c r="AB35" s="20">
        <v>0</v>
      </c>
      <c r="AC35" s="20">
        <v>0</v>
      </c>
      <c r="AD35" s="20">
        <v>0</v>
      </c>
      <c r="AE35" s="39">
        <v>0</v>
      </c>
      <c r="AF35" s="31">
        <v>0</v>
      </c>
      <c r="AG35" s="20">
        <v>0</v>
      </c>
      <c r="AH35" s="20">
        <v>0</v>
      </c>
      <c r="AI35" s="20">
        <v>0</v>
      </c>
      <c r="AJ35" s="20">
        <v>0</v>
      </c>
      <c r="AK35" s="20">
        <v>0</v>
      </c>
      <c r="AL35" s="20">
        <v>0</v>
      </c>
      <c r="AM35" s="20">
        <v>0</v>
      </c>
      <c r="AN35" s="20">
        <v>0</v>
      </c>
      <c r="AO35" s="20">
        <v>0</v>
      </c>
      <c r="AP35" s="20">
        <v>0</v>
      </c>
      <c r="AQ35" s="20">
        <v>0</v>
      </c>
      <c r="AR35" s="20">
        <v>0</v>
      </c>
      <c r="AS35" s="20">
        <v>0</v>
      </c>
      <c r="AT35" s="20">
        <v>0</v>
      </c>
      <c r="AU35" s="20">
        <v>0</v>
      </c>
      <c r="AV35" s="20">
        <v>0</v>
      </c>
      <c r="AW35" s="20">
        <v>0</v>
      </c>
      <c r="AX35" s="20">
        <v>0</v>
      </c>
      <c r="AY35" s="20">
        <v>0</v>
      </c>
      <c r="AZ35" s="20">
        <v>0</v>
      </c>
      <c r="BA35" s="20">
        <v>0</v>
      </c>
      <c r="BB35" s="20">
        <v>0</v>
      </c>
      <c r="BC35" s="20">
        <v>0</v>
      </c>
      <c r="BD35" s="20">
        <v>0</v>
      </c>
      <c r="BE35" s="20">
        <v>0</v>
      </c>
      <c r="BF35" s="20">
        <v>0</v>
      </c>
      <c r="BG35" s="20">
        <v>0</v>
      </c>
      <c r="BH35" s="20">
        <v>0</v>
      </c>
      <c r="BI35" s="20">
        <v>0</v>
      </c>
      <c r="BJ35" s="20">
        <v>0</v>
      </c>
      <c r="BK35" s="20">
        <v>0</v>
      </c>
      <c r="BL35" s="20">
        <v>0</v>
      </c>
      <c r="BM35" s="20">
        <v>0</v>
      </c>
      <c r="BN35" s="20">
        <v>0</v>
      </c>
      <c r="BO35" s="20">
        <v>0</v>
      </c>
      <c r="BP35" s="20">
        <v>0</v>
      </c>
      <c r="BQ35" s="20">
        <v>0</v>
      </c>
      <c r="BR35" s="20">
        <v>0</v>
      </c>
      <c r="BS35" s="20">
        <v>0</v>
      </c>
      <c r="BT35" s="20">
        <v>0</v>
      </c>
      <c r="BU35" s="20">
        <v>0</v>
      </c>
      <c r="BV35" s="20">
        <v>0</v>
      </c>
      <c r="BW35" s="20">
        <v>0</v>
      </c>
      <c r="BX35" s="20">
        <v>0</v>
      </c>
      <c r="BY35" s="20">
        <v>0</v>
      </c>
      <c r="BZ35" s="20">
        <v>0</v>
      </c>
      <c r="CA35" s="20">
        <v>0</v>
      </c>
    </row>
    <row r="36" spans="1:79" x14ac:dyDescent="0.3">
      <c r="A36" s="19"/>
      <c r="B36" s="20" t="str">
        <f t="shared" si="0"/>
        <v>11040001</v>
      </c>
      <c r="C36" s="55" t="str">
        <f t="shared" ref="C36" si="4">IF(J36&gt;0,MID(J36,5, 1), 0)</f>
        <v>1</v>
      </c>
      <c r="D36" s="55">
        <f t="shared" ref="D36" si="5">IF(G36&lt;100, G36, G36-100)</f>
        <v>0</v>
      </c>
      <c r="E36" s="49">
        <v>1</v>
      </c>
      <c r="F36" s="57">
        <v>1</v>
      </c>
      <c r="G36" s="57">
        <v>0</v>
      </c>
      <c r="H36" s="57" t="str">
        <f t="shared" si="3"/>
        <v>Item_Name_11040001</v>
      </c>
      <c r="I36" s="57" t="s">
        <v>532</v>
      </c>
      <c r="J36" s="57">
        <v>10101001</v>
      </c>
      <c r="K36" s="57">
        <v>4</v>
      </c>
      <c r="L36" s="57">
        <v>0</v>
      </c>
      <c r="M36" s="57">
        <v>0</v>
      </c>
      <c r="N36" s="57">
        <v>15</v>
      </c>
      <c r="O36" s="57">
        <v>100</v>
      </c>
      <c r="P36" s="57">
        <v>1</v>
      </c>
      <c r="Q36" s="57" t="s">
        <v>529</v>
      </c>
      <c r="R36" s="57" t="s">
        <v>531</v>
      </c>
      <c r="S36" s="57" t="s">
        <v>317</v>
      </c>
      <c r="T36" s="57" t="s">
        <v>329</v>
      </c>
      <c r="U36" s="57">
        <v>39</v>
      </c>
      <c r="V36" s="57">
        <v>298</v>
      </c>
      <c r="W36" s="57">
        <v>0</v>
      </c>
      <c r="X36" s="57">
        <v>0</v>
      </c>
      <c r="Y36" s="57">
        <v>1001</v>
      </c>
      <c r="Z36" s="57">
        <v>1101</v>
      </c>
      <c r="AA36" s="57">
        <v>1201</v>
      </c>
      <c r="AB36" s="57">
        <v>1205</v>
      </c>
      <c r="AC36" s="57">
        <v>0</v>
      </c>
      <c r="AD36" s="57">
        <v>0</v>
      </c>
      <c r="AE36" s="58">
        <v>0</v>
      </c>
      <c r="AF36" s="30">
        <v>0</v>
      </c>
      <c r="AG36" s="57">
        <v>0</v>
      </c>
      <c r="AH36" s="57">
        <v>0</v>
      </c>
      <c r="AI36" s="57">
        <v>0</v>
      </c>
      <c r="AJ36" s="57">
        <v>0</v>
      </c>
      <c r="AK36" s="57">
        <v>0</v>
      </c>
      <c r="AL36" s="57">
        <v>0</v>
      </c>
      <c r="AM36" s="57">
        <v>0</v>
      </c>
      <c r="AN36" s="57">
        <v>0</v>
      </c>
      <c r="AO36" s="57">
        <v>0</v>
      </c>
      <c r="AP36" s="57">
        <v>0</v>
      </c>
      <c r="AQ36" s="57">
        <v>0</v>
      </c>
      <c r="AR36" s="57">
        <v>0</v>
      </c>
      <c r="AS36" s="57">
        <v>0</v>
      </c>
      <c r="AT36" s="57">
        <v>0</v>
      </c>
      <c r="AU36" s="57">
        <v>0</v>
      </c>
      <c r="AV36" s="57">
        <v>0</v>
      </c>
      <c r="AW36" s="57">
        <v>0</v>
      </c>
      <c r="AX36" s="57">
        <v>0</v>
      </c>
      <c r="AY36" s="57">
        <v>0</v>
      </c>
      <c r="AZ36" s="57">
        <v>0</v>
      </c>
      <c r="BA36" s="57">
        <v>0</v>
      </c>
      <c r="BB36" s="57">
        <v>0</v>
      </c>
      <c r="BC36" s="57">
        <v>0</v>
      </c>
      <c r="BD36" s="57">
        <v>0</v>
      </c>
      <c r="BE36" s="57">
        <v>0</v>
      </c>
      <c r="BF36" s="57">
        <v>0</v>
      </c>
      <c r="BG36" s="57">
        <v>0</v>
      </c>
      <c r="BH36" s="57">
        <v>0</v>
      </c>
      <c r="BI36" s="57">
        <v>0</v>
      </c>
      <c r="BJ36" s="57">
        <v>0</v>
      </c>
      <c r="BK36" s="57">
        <v>0</v>
      </c>
      <c r="BL36" s="57">
        <v>0</v>
      </c>
      <c r="BM36" s="57">
        <v>0</v>
      </c>
      <c r="BN36" s="57">
        <v>0</v>
      </c>
      <c r="BO36" s="57">
        <v>0</v>
      </c>
      <c r="BP36" s="57">
        <v>0</v>
      </c>
      <c r="BQ36" s="57">
        <v>0</v>
      </c>
      <c r="BR36" s="57">
        <v>0</v>
      </c>
      <c r="BS36" s="57">
        <v>0</v>
      </c>
      <c r="BT36" s="57">
        <v>0</v>
      </c>
      <c r="BU36" s="57">
        <v>0</v>
      </c>
      <c r="BV36" s="57">
        <v>0</v>
      </c>
      <c r="BW36" s="57">
        <v>0</v>
      </c>
      <c r="BX36" s="57">
        <v>0</v>
      </c>
      <c r="BY36" s="57">
        <v>0</v>
      </c>
      <c r="BZ36" s="57">
        <v>0</v>
      </c>
      <c r="CA36" s="57">
        <v>0</v>
      </c>
    </row>
    <row r="37" spans="1:79" x14ac:dyDescent="0.3">
      <c r="A37" s="19"/>
      <c r="B37" s="20" t="str">
        <f t="shared" si="0"/>
        <v>12010001</v>
      </c>
      <c r="C37" s="55" t="str">
        <f t="shared" si="1"/>
        <v>2</v>
      </c>
      <c r="D37" s="55">
        <f t="shared" si="2"/>
        <v>0</v>
      </c>
      <c r="E37" s="49">
        <v>1</v>
      </c>
      <c r="F37" s="20">
        <v>1</v>
      </c>
      <c r="G37" s="20">
        <v>0</v>
      </c>
      <c r="H37" s="20" t="str">
        <f t="shared" si="3"/>
        <v>Item_Name_12010001</v>
      </c>
      <c r="I37" s="20" t="s">
        <v>388</v>
      </c>
      <c r="J37" s="20">
        <v>10102001</v>
      </c>
      <c r="K37" s="20">
        <v>1</v>
      </c>
      <c r="L37" s="20">
        <v>0</v>
      </c>
      <c r="M37" s="20">
        <v>0</v>
      </c>
      <c r="N37" s="20">
        <v>15</v>
      </c>
      <c r="O37" s="20">
        <v>100</v>
      </c>
      <c r="P37" s="20">
        <v>1</v>
      </c>
      <c r="Q37" s="20" t="s">
        <v>220</v>
      </c>
      <c r="R37" s="20" t="s">
        <v>171</v>
      </c>
      <c r="S37" s="20" t="s">
        <v>318</v>
      </c>
      <c r="T37" s="20" t="s">
        <v>329</v>
      </c>
      <c r="U37" s="20">
        <v>6</v>
      </c>
      <c r="V37" s="20">
        <v>9</v>
      </c>
      <c r="W37" s="20">
        <v>0</v>
      </c>
      <c r="X37" s="20">
        <v>0</v>
      </c>
      <c r="Y37" s="20">
        <v>1003</v>
      </c>
      <c r="Z37" s="20">
        <v>0</v>
      </c>
      <c r="AA37" s="20">
        <v>0</v>
      </c>
      <c r="AB37" s="20">
        <v>0</v>
      </c>
      <c r="AC37" s="20">
        <v>0</v>
      </c>
      <c r="AD37" s="20">
        <v>0</v>
      </c>
      <c r="AE37" s="39">
        <v>0</v>
      </c>
      <c r="AF37" s="31">
        <v>0</v>
      </c>
      <c r="AG37" s="20">
        <v>0</v>
      </c>
      <c r="AH37" s="20">
        <v>0</v>
      </c>
      <c r="AI37" s="20">
        <v>0</v>
      </c>
      <c r="AJ37" s="20">
        <v>0</v>
      </c>
      <c r="AK37" s="20">
        <v>0</v>
      </c>
      <c r="AL37" s="20">
        <v>0</v>
      </c>
      <c r="AM37" s="20">
        <v>0</v>
      </c>
      <c r="AN37" s="20">
        <v>0</v>
      </c>
      <c r="AO37" s="20">
        <v>0</v>
      </c>
      <c r="AP37" s="20">
        <v>0</v>
      </c>
      <c r="AQ37" s="20">
        <v>0</v>
      </c>
      <c r="AR37" s="20">
        <v>0</v>
      </c>
      <c r="AS37" s="20">
        <v>0</v>
      </c>
      <c r="AT37" s="20">
        <v>0</v>
      </c>
      <c r="AU37" s="20">
        <v>0</v>
      </c>
      <c r="AV37" s="20">
        <v>0</v>
      </c>
      <c r="AW37" s="20">
        <v>0</v>
      </c>
      <c r="AX37" s="20">
        <v>0</v>
      </c>
      <c r="AY37" s="20">
        <v>0</v>
      </c>
      <c r="AZ37" s="20">
        <v>0</v>
      </c>
      <c r="BA37" s="20">
        <v>0</v>
      </c>
      <c r="BB37" s="20">
        <v>0</v>
      </c>
      <c r="BC37" s="20">
        <v>0</v>
      </c>
      <c r="BD37" s="20">
        <v>0</v>
      </c>
      <c r="BE37" s="20">
        <v>0</v>
      </c>
      <c r="BF37" s="20">
        <v>0</v>
      </c>
      <c r="BG37" s="20">
        <v>0</v>
      </c>
      <c r="BH37" s="20">
        <v>0</v>
      </c>
      <c r="BI37" s="20">
        <v>0</v>
      </c>
      <c r="BJ37" s="20">
        <v>0</v>
      </c>
      <c r="BK37" s="20">
        <v>0</v>
      </c>
      <c r="BL37" s="20">
        <v>0</v>
      </c>
      <c r="BM37" s="20">
        <v>0</v>
      </c>
      <c r="BN37" s="20">
        <v>0</v>
      </c>
      <c r="BO37" s="20">
        <v>0</v>
      </c>
      <c r="BP37" s="20">
        <v>0</v>
      </c>
      <c r="BQ37" s="20">
        <v>0</v>
      </c>
      <c r="BR37" s="20">
        <v>0</v>
      </c>
      <c r="BS37" s="20">
        <v>0</v>
      </c>
      <c r="BT37" s="20">
        <v>0</v>
      </c>
      <c r="BU37" s="20">
        <v>0</v>
      </c>
      <c r="BV37" s="20">
        <v>0</v>
      </c>
      <c r="BW37" s="20">
        <v>0</v>
      </c>
      <c r="BX37" s="20">
        <v>0</v>
      </c>
      <c r="BY37" s="20">
        <v>0</v>
      </c>
      <c r="BZ37" s="20">
        <v>0</v>
      </c>
      <c r="CA37" s="20">
        <v>0</v>
      </c>
    </row>
    <row r="38" spans="1:79" x14ac:dyDescent="0.3">
      <c r="A38" s="19"/>
      <c r="B38" s="20" t="str">
        <f t="shared" si="0"/>
        <v>12020001</v>
      </c>
      <c r="C38" s="55" t="str">
        <f t="shared" si="1"/>
        <v>2</v>
      </c>
      <c r="D38" s="55">
        <f t="shared" si="2"/>
        <v>0</v>
      </c>
      <c r="E38" s="49">
        <v>1</v>
      </c>
      <c r="F38" s="20">
        <v>1</v>
      </c>
      <c r="G38" s="20">
        <v>0</v>
      </c>
      <c r="H38" s="20" t="str">
        <f t="shared" si="3"/>
        <v>Item_Name_12020001</v>
      </c>
      <c r="I38" s="20" t="s">
        <v>174</v>
      </c>
      <c r="J38" s="20">
        <v>10102001</v>
      </c>
      <c r="K38" s="20">
        <v>2</v>
      </c>
      <c r="L38" s="20">
        <v>0</v>
      </c>
      <c r="M38" s="20">
        <v>0</v>
      </c>
      <c r="N38" s="20">
        <v>15</v>
      </c>
      <c r="O38" s="20">
        <v>100</v>
      </c>
      <c r="P38" s="20">
        <v>1</v>
      </c>
      <c r="Q38" s="20" t="s">
        <v>389</v>
      </c>
      <c r="R38" s="20" t="s">
        <v>256</v>
      </c>
      <c r="S38" s="20" t="s">
        <v>318</v>
      </c>
      <c r="T38" s="20" t="s">
        <v>329</v>
      </c>
      <c r="U38" s="20">
        <v>14</v>
      </c>
      <c r="V38" s="20">
        <v>27</v>
      </c>
      <c r="W38" s="20">
        <v>0</v>
      </c>
      <c r="X38" s="20">
        <v>0</v>
      </c>
      <c r="Y38" s="20">
        <v>1003</v>
      </c>
      <c r="Z38" s="20">
        <v>1103</v>
      </c>
      <c r="AA38" s="20">
        <v>0</v>
      </c>
      <c r="AB38" s="20">
        <v>0</v>
      </c>
      <c r="AC38" s="20">
        <v>0</v>
      </c>
      <c r="AD38" s="20">
        <v>0</v>
      </c>
      <c r="AE38" s="39">
        <v>0</v>
      </c>
      <c r="AF38" s="31">
        <v>0</v>
      </c>
      <c r="AG38" s="20">
        <v>0</v>
      </c>
      <c r="AH38" s="20">
        <v>0</v>
      </c>
      <c r="AI38" s="20">
        <v>0</v>
      </c>
      <c r="AJ38" s="20">
        <v>0</v>
      </c>
      <c r="AK38" s="20">
        <v>0</v>
      </c>
      <c r="AL38" s="20">
        <v>0</v>
      </c>
      <c r="AM38" s="20">
        <v>0</v>
      </c>
      <c r="AN38" s="20">
        <v>0</v>
      </c>
      <c r="AO38" s="20">
        <v>0</v>
      </c>
      <c r="AP38" s="20">
        <v>0</v>
      </c>
      <c r="AQ38" s="20">
        <v>0</v>
      </c>
      <c r="AR38" s="20">
        <v>0</v>
      </c>
      <c r="AS38" s="20">
        <v>0</v>
      </c>
      <c r="AT38" s="20">
        <v>0</v>
      </c>
      <c r="AU38" s="20">
        <v>0</v>
      </c>
      <c r="AV38" s="20">
        <v>0</v>
      </c>
      <c r="AW38" s="20">
        <v>0</v>
      </c>
      <c r="AX38" s="20">
        <v>0</v>
      </c>
      <c r="AY38" s="20">
        <v>0</v>
      </c>
      <c r="AZ38" s="20">
        <v>0</v>
      </c>
      <c r="BA38" s="20">
        <v>0</v>
      </c>
      <c r="BB38" s="20">
        <v>0</v>
      </c>
      <c r="BC38" s="20">
        <v>0</v>
      </c>
      <c r="BD38" s="20">
        <v>0</v>
      </c>
      <c r="BE38" s="20">
        <v>0</v>
      </c>
      <c r="BF38" s="20">
        <v>0</v>
      </c>
      <c r="BG38" s="20">
        <v>0</v>
      </c>
      <c r="BH38" s="20">
        <v>0</v>
      </c>
      <c r="BI38" s="20">
        <v>0</v>
      </c>
      <c r="BJ38" s="20">
        <v>0</v>
      </c>
      <c r="BK38" s="20">
        <v>0</v>
      </c>
      <c r="BL38" s="20">
        <v>0</v>
      </c>
      <c r="BM38" s="20">
        <v>0</v>
      </c>
      <c r="BN38" s="20">
        <v>0</v>
      </c>
      <c r="BO38" s="20">
        <v>0</v>
      </c>
      <c r="BP38" s="20">
        <v>0</v>
      </c>
      <c r="BQ38" s="20">
        <v>0</v>
      </c>
      <c r="BR38" s="20">
        <v>0</v>
      </c>
      <c r="BS38" s="20">
        <v>0</v>
      </c>
      <c r="BT38" s="20">
        <v>0</v>
      </c>
      <c r="BU38" s="20">
        <v>0</v>
      </c>
      <c r="BV38" s="20">
        <v>0</v>
      </c>
      <c r="BW38" s="20">
        <v>0</v>
      </c>
      <c r="BX38" s="20">
        <v>0</v>
      </c>
      <c r="BY38" s="20">
        <v>0</v>
      </c>
      <c r="BZ38" s="20">
        <v>0</v>
      </c>
      <c r="CA38" s="20">
        <v>0</v>
      </c>
    </row>
    <row r="39" spans="1:79" x14ac:dyDescent="0.3">
      <c r="A39" s="19"/>
      <c r="B39" s="20" t="str">
        <f t="shared" si="0"/>
        <v>12030001</v>
      </c>
      <c r="C39" s="55" t="str">
        <f t="shared" si="1"/>
        <v>2</v>
      </c>
      <c r="D39" s="55">
        <f t="shared" si="2"/>
        <v>0</v>
      </c>
      <c r="E39" s="49">
        <v>1</v>
      </c>
      <c r="F39" s="20">
        <v>1</v>
      </c>
      <c r="G39" s="20">
        <v>0</v>
      </c>
      <c r="H39" s="20" t="str">
        <f t="shared" si="3"/>
        <v>Item_Name_12030001</v>
      </c>
      <c r="I39" s="20" t="s">
        <v>175</v>
      </c>
      <c r="J39" s="20">
        <v>10102001</v>
      </c>
      <c r="K39" s="20">
        <v>3</v>
      </c>
      <c r="L39" s="20">
        <v>0</v>
      </c>
      <c r="M39" s="20">
        <v>0</v>
      </c>
      <c r="N39" s="20">
        <v>15</v>
      </c>
      <c r="O39" s="20">
        <v>100</v>
      </c>
      <c r="P39" s="20">
        <v>1</v>
      </c>
      <c r="Q39" s="20" t="s">
        <v>390</v>
      </c>
      <c r="R39" s="20" t="s">
        <v>257</v>
      </c>
      <c r="S39" s="20" t="s">
        <v>318</v>
      </c>
      <c r="T39" s="20" t="s">
        <v>329</v>
      </c>
      <c r="U39" s="20">
        <v>25</v>
      </c>
      <c r="V39" s="20">
        <v>73</v>
      </c>
      <c r="W39" s="20">
        <v>0</v>
      </c>
      <c r="X39" s="20">
        <v>0</v>
      </c>
      <c r="Y39" s="20">
        <v>1003</v>
      </c>
      <c r="Z39" s="20">
        <v>1103</v>
      </c>
      <c r="AA39" s="20">
        <v>1203</v>
      </c>
      <c r="AB39" s="20">
        <v>0</v>
      </c>
      <c r="AC39" s="20">
        <v>0</v>
      </c>
      <c r="AD39" s="20">
        <v>0</v>
      </c>
      <c r="AE39" s="39">
        <v>0</v>
      </c>
      <c r="AF39" s="31">
        <v>0</v>
      </c>
      <c r="AG39" s="20">
        <v>0</v>
      </c>
      <c r="AH39" s="20">
        <v>0</v>
      </c>
      <c r="AI39" s="20">
        <v>0</v>
      </c>
      <c r="AJ39" s="20">
        <v>0</v>
      </c>
      <c r="AK39" s="20">
        <v>0</v>
      </c>
      <c r="AL39" s="20">
        <v>0</v>
      </c>
      <c r="AM39" s="20">
        <v>0</v>
      </c>
      <c r="AN39" s="20">
        <v>0</v>
      </c>
      <c r="AO39" s="20">
        <v>0</v>
      </c>
      <c r="AP39" s="20">
        <v>0</v>
      </c>
      <c r="AQ39" s="20">
        <v>0</v>
      </c>
      <c r="AR39" s="20">
        <v>0</v>
      </c>
      <c r="AS39" s="20">
        <v>0</v>
      </c>
      <c r="AT39" s="20">
        <v>0</v>
      </c>
      <c r="AU39" s="20">
        <v>0</v>
      </c>
      <c r="AV39" s="20">
        <v>0</v>
      </c>
      <c r="AW39" s="20">
        <v>0</v>
      </c>
      <c r="AX39" s="20">
        <v>0</v>
      </c>
      <c r="AY39" s="20">
        <v>0</v>
      </c>
      <c r="AZ39" s="20">
        <v>0</v>
      </c>
      <c r="BA39" s="20">
        <v>0</v>
      </c>
      <c r="BB39" s="20">
        <v>0</v>
      </c>
      <c r="BC39" s="20">
        <v>0</v>
      </c>
      <c r="BD39" s="20">
        <v>0</v>
      </c>
      <c r="BE39" s="20">
        <v>0</v>
      </c>
      <c r="BF39" s="20">
        <v>0</v>
      </c>
      <c r="BG39" s="20">
        <v>0</v>
      </c>
      <c r="BH39" s="20">
        <v>0</v>
      </c>
      <c r="BI39" s="20">
        <v>0</v>
      </c>
      <c r="BJ39" s="20">
        <v>0</v>
      </c>
      <c r="BK39" s="20">
        <v>0</v>
      </c>
      <c r="BL39" s="20">
        <v>0</v>
      </c>
      <c r="BM39" s="20">
        <v>0</v>
      </c>
      <c r="BN39" s="20">
        <v>0</v>
      </c>
      <c r="BO39" s="20">
        <v>0</v>
      </c>
      <c r="BP39" s="20">
        <v>0</v>
      </c>
      <c r="BQ39" s="20">
        <v>0</v>
      </c>
      <c r="BR39" s="20">
        <v>0</v>
      </c>
      <c r="BS39" s="20">
        <v>0</v>
      </c>
      <c r="BT39" s="20">
        <v>0</v>
      </c>
      <c r="BU39" s="20">
        <v>0</v>
      </c>
      <c r="BV39" s="20">
        <v>0</v>
      </c>
      <c r="BW39" s="20">
        <v>0</v>
      </c>
      <c r="BX39" s="20">
        <v>0</v>
      </c>
      <c r="BY39" s="20">
        <v>0</v>
      </c>
      <c r="BZ39" s="20">
        <v>0</v>
      </c>
      <c r="CA39" s="20">
        <v>0</v>
      </c>
    </row>
    <row r="40" spans="1:79" x14ac:dyDescent="0.3">
      <c r="A40" s="19"/>
      <c r="B40" s="20" t="str">
        <f t="shared" si="0"/>
        <v>12040001</v>
      </c>
      <c r="C40" s="55" t="str">
        <f t="shared" ref="C40" si="6">IF(J40&gt;0,MID(J40,5, 1), 0)</f>
        <v>2</v>
      </c>
      <c r="D40" s="55">
        <f t="shared" ref="D40" si="7">IF(G40&lt;100, G40, G40-100)</f>
        <v>0</v>
      </c>
      <c r="E40" s="49">
        <v>1</v>
      </c>
      <c r="F40" s="57">
        <v>1</v>
      </c>
      <c r="G40" s="57">
        <v>0</v>
      </c>
      <c r="H40" s="57" t="str">
        <f t="shared" si="3"/>
        <v>Item_Name_12040001</v>
      </c>
      <c r="I40" s="57" t="s">
        <v>533</v>
      </c>
      <c r="J40" s="57">
        <v>10102001</v>
      </c>
      <c r="K40" s="57">
        <v>4</v>
      </c>
      <c r="L40" s="57">
        <v>0</v>
      </c>
      <c r="M40" s="57">
        <v>0</v>
      </c>
      <c r="N40" s="57">
        <v>15</v>
      </c>
      <c r="O40" s="57">
        <v>100</v>
      </c>
      <c r="P40" s="57">
        <v>1</v>
      </c>
      <c r="Q40" s="57" t="s">
        <v>541</v>
      </c>
      <c r="R40" s="57" t="s">
        <v>531</v>
      </c>
      <c r="S40" s="57" t="s">
        <v>318</v>
      </c>
      <c r="T40" s="57" t="s">
        <v>329</v>
      </c>
      <c r="U40" s="57">
        <v>36</v>
      </c>
      <c r="V40" s="57">
        <v>177</v>
      </c>
      <c r="W40" s="57">
        <v>0</v>
      </c>
      <c r="X40" s="57">
        <v>0</v>
      </c>
      <c r="Y40" s="57">
        <v>1003</v>
      </c>
      <c r="Z40" s="57">
        <v>1103</v>
      </c>
      <c r="AA40" s="57">
        <v>1203</v>
      </c>
      <c r="AB40" s="57">
        <v>1207</v>
      </c>
      <c r="AC40" s="57">
        <v>0</v>
      </c>
      <c r="AD40" s="57">
        <v>0</v>
      </c>
      <c r="AE40" s="58">
        <v>0</v>
      </c>
      <c r="AF40" s="30">
        <v>0</v>
      </c>
      <c r="AG40" s="57">
        <v>0</v>
      </c>
      <c r="AH40" s="57">
        <v>0</v>
      </c>
      <c r="AI40" s="57">
        <v>0</v>
      </c>
      <c r="AJ40" s="57">
        <v>0</v>
      </c>
      <c r="AK40" s="57">
        <v>0</v>
      </c>
      <c r="AL40" s="57">
        <v>0</v>
      </c>
      <c r="AM40" s="57">
        <v>0</v>
      </c>
      <c r="AN40" s="57">
        <v>0</v>
      </c>
      <c r="AO40" s="57">
        <v>0</v>
      </c>
      <c r="AP40" s="57">
        <v>0</v>
      </c>
      <c r="AQ40" s="57">
        <v>0</v>
      </c>
      <c r="AR40" s="57">
        <v>0</v>
      </c>
      <c r="AS40" s="57">
        <v>0</v>
      </c>
      <c r="AT40" s="57">
        <v>0</v>
      </c>
      <c r="AU40" s="57">
        <v>0</v>
      </c>
      <c r="AV40" s="57">
        <v>0</v>
      </c>
      <c r="AW40" s="57">
        <v>0</v>
      </c>
      <c r="AX40" s="57">
        <v>0</v>
      </c>
      <c r="AY40" s="57">
        <v>0</v>
      </c>
      <c r="AZ40" s="57">
        <v>0</v>
      </c>
      <c r="BA40" s="57">
        <v>0</v>
      </c>
      <c r="BB40" s="57">
        <v>0</v>
      </c>
      <c r="BC40" s="57">
        <v>0</v>
      </c>
      <c r="BD40" s="57">
        <v>0</v>
      </c>
      <c r="BE40" s="57">
        <v>0</v>
      </c>
      <c r="BF40" s="57">
        <v>0</v>
      </c>
      <c r="BG40" s="57">
        <v>0</v>
      </c>
      <c r="BH40" s="57">
        <v>0</v>
      </c>
      <c r="BI40" s="57">
        <v>0</v>
      </c>
      <c r="BJ40" s="57">
        <v>0</v>
      </c>
      <c r="BK40" s="57">
        <v>0</v>
      </c>
      <c r="BL40" s="57">
        <v>0</v>
      </c>
      <c r="BM40" s="57">
        <v>0</v>
      </c>
      <c r="BN40" s="57">
        <v>0</v>
      </c>
      <c r="BO40" s="57">
        <v>0</v>
      </c>
      <c r="BP40" s="57">
        <v>0</v>
      </c>
      <c r="BQ40" s="57">
        <v>0</v>
      </c>
      <c r="BR40" s="57">
        <v>0</v>
      </c>
      <c r="BS40" s="57">
        <v>0</v>
      </c>
      <c r="BT40" s="57">
        <v>0</v>
      </c>
      <c r="BU40" s="57">
        <v>0</v>
      </c>
      <c r="BV40" s="57">
        <v>0</v>
      </c>
      <c r="BW40" s="57">
        <v>0</v>
      </c>
      <c r="BX40" s="57">
        <v>0</v>
      </c>
      <c r="BY40" s="57">
        <v>0</v>
      </c>
      <c r="BZ40" s="57">
        <v>0</v>
      </c>
      <c r="CA40" s="57">
        <v>0</v>
      </c>
    </row>
    <row r="41" spans="1:79" x14ac:dyDescent="0.3">
      <c r="A41" s="19"/>
      <c r="B41" s="20" t="str">
        <f t="shared" si="0"/>
        <v>13010001</v>
      </c>
      <c r="C41" s="55" t="str">
        <f t="shared" si="1"/>
        <v>3</v>
      </c>
      <c r="D41" s="55">
        <f t="shared" si="2"/>
        <v>0</v>
      </c>
      <c r="E41" s="49">
        <v>1</v>
      </c>
      <c r="F41" s="20">
        <v>1</v>
      </c>
      <c r="G41" s="20">
        <v>0</v>
      </c>
      <c r="H41" s="20" t="str">
        <f t="shared" si="3"/>
        <v>Item_Name_13010001</v>
      </c>
      <c r="I41" s="20" t="s">
        <v>693</v>
      </c>
      <c r="J41" s="20">
        <v>10103001</v>
      </c>
      <c r="K41" s="20">
        <v>1</v>
      </c>
      <c r="L41" s="20">
        <v>0</v>
      </c>
      <c r="M41" s="20">
        <v>0</v>
      </c>
      <c r="N41" s="20">
        <v>15</v>
      </c>
      <c r="O41" s="20">
        <v>100</v>
      </c>
      <c r="P41" s="20">
        <v>1</v>
      </c>
      <c r="Q41" s="20" t="s">
        <v>299</v>
      </c>
      <c r="R41" s="20" t="s">
        <v>171</v>
      </c>
      <c r="S41" s="20" t="s">
        <v>523</v>
      </c>
      <c r="T41" s="20" t="s">
        <v>329</v>
      </c>
      <c r="U41" s="20">
        <v>2</v>
      </c>
      <c r="V41" s="20">
        <v>8</v>
      </c>
      <c r="W41" s="20">
        <v>0</v>
      </c>
      <c r="X41" s="20">
        <v>0</v>
      </c>
      <c r="Y41" s="20">
        <v>1002</v>
      </c>
      <c r="Z41" s="20">
        <v>0</v>
      </c>
      <c r="AA41" s="20">
        <v>0</v>
      </c>
      <c r="AB41" s="20">
        <v>0</v>
      </c>
      <c r="AC41" s="20">
        <v>0</v>
      </c>
      <c r="AD41" s="20">
        <v>0</v>
      </c>
      <c r="AE41" s="39">
        <v>0</v>
      </c>
      <c r="AF41" s="31">
        <v>0</v>
      </c>
      <c r="AG41" s="20">
        <v>0</v>
      </c>
      <c r="AH41" s="20">
        <v>0</v>
      </c>
      <c r="AI41" s="20">
        <v>0</v>
      </c>
      <c r="AJ41" s="20">
        <v>0</v>
      </c>
      <c r="AK41" s="20">
        <v>0</v>
      </c>
      <c r="AL41" s="20">
        <v>0</v>
      </c>
      <c r="AM41" s="20">
        <v>0</v>
      </c>
      <c r="AN41" s="20">
        <v>0</v>
      </c>
      <c r="AO41" s="20">
        <v>0</v>
      </c>
      <c r="AP41" s="20">
        <v>0</v>
      </c>
      <c r="AQ41" s="20">
        <v>0</v>
      </c>
      <c r="AR41" s="20">
        <v>0</v>
      </c>
      <c r="AS41" s="20">
        <v>0</v>
      </c>
      <c r="AT41" s="20">
        <v>0</v>
      </c>
      <c r="AU41" s="20">
        <v>0</v>
      </c>
      <c r="AV41" s="20">
        <v>0</v>
      </c>
      <c r="AW41" s="20">
        <v>0</v>
      </c>
      <c r="AX41" s="20">
        <v>0</v>
      </c>
      <c r="AY41" s="20">
        <v>0</v>
      </c>
      <c r="AZ41" s="20">
        <v>0</v>
      </c>
      <c r="BA41" s="20">
        <v>0</v>
      </c>
      <c r="BB41" s="20">
        <v>0</v>
      </c>
      <c r="BC41" s="20">
        <v>0</v>
      </c>
      <c r="BD41" s="20">
        <v>0</v>
      </c>
      <c r="BE41" s="20">
        <v>0</v>
      </c>
      <c r="BF41" s="20">
        <v>0</v>
      </c>
      <c r="BG41" s="20">
        <v>0</v>
      </c>
      <c r="BH41" s="20">
        <v>0</v>
      </c>
      <c r="BI41" s="20">
        <v>0</v>
      </c>
      <c r="BJ41" s="20">
        <v>0</v>
      </c>
      <c r="BK41" s="20">
        <v>0</v>
      </c>
      <c r="BL41" s="20">
        <v>0</v>
      </c>
      <c r="BM41" s="20">
        <v>0</v>
      </c>
      <c r="BN41" s="20">
        <v>0</v>
      </c>
      <c r="BO41" s="20">
        <v>0</v>
      </c>
      <c r="BP41" s="20">
        <v>0</v>
      </c>
      <c r="BQ41" s="20">
        <v>0</v>
      </c>
      <c r="BR41" s="20">
        <v>0</v>
      </c>
      <c r="BS41" s="20">
        <v>0</v>
      </c>
      <c r="BT41" s="20">
        <v>0</v>
      </c>
      <c r="BU41" s="20">
        <v>0</v>
      </c>
      <c r="BV41" s="20">
        <v>0</v>
      </c>
      <c r="BW41" s="20">
        <v>0</v>
      </c>
      <c r="BX41" s="20">
        <v>0</v>
      </c>
      <c r="BY41" s="20">
        <v>0</v>
      </c>
      <c r="BZ41" s="20">
        <v>0</v>
      </c>
      <c r="CA41" s="20">
        <v>0</v>
      </c>
    </row>
    <row r="42" spans="1:79" x14ac:dyDescent="0.3">
      <c r="A42" s="19"/>
      <c r="B42" s="20" t="str">
        <f t="shared" si="0"/>
        <v>13020001</v>
      </c>
      <c r="C42" s="55" t="str">
        <f t="shared" ref="C42:C44" si="8">IF(J42&gt;0,MID(J42,5, 1), 0)</f>
        <v>3</v>
      </c>
      <c r="D42" s="55">
        <f t="shared" ref="D42:D44" si="9">IF(G42&lt;100, G42, G42-100)</f>
        <v>0</v>
      </c>
      <c r="E42" s="49">
        <v>1</v>
      </c>
      <c r="F42" s="57">
        <v>1</v>
      </c>
      <c r="G42" s="57">
        <v>0</v>
      </c>
      <c r="H42" s="57" t="str">
        <f t="shared" si="3"/>
        <v>Item_Name_13020001</v>
      </c>
      <c r="I42" s="57" t="s">
        <v>701</v>
      </c>
      <c r="J42" s="57">
        <v>10103001</v>
      </c>
      <c r="K42" s="57">
        <v>2</v>
      </c>
      <c r="L42" s="57">
        <v>0</v>
      </c>
      <c r="M42" s="57">
        <v>0</v>
      </c>
      <c r="N42" s="57">
        <v>15</v>
      </c>
      <c r="O42" s="57">
        <v>100</v>
      </c>
      <c r="P42" s="57">
        <v>1</v>
      </c>
      <c r="Q42" s="57" t="s">
        <v>704</v>
      </c>
      <c r="R42" s="57" t="s">
        <v>542</v>
      </c>
      <c r="S42" s="57" t="s">
        <v>523</v>
      </c>
      <c r="T42" s="57" t="s">
        <v>329</v>
      </c>
      <c r="U42" s="57">
        <v>5</v>
      </c>
      <c r="V42" s="57">
        <v>21</v>
      </c>
      <c r="W42" s="57">
        <v>0</v>
      </c>
      <c r="X42" s="57">
        <v>0</v>
      </c>
      <c r="Y42" s="57">
        <v>1002</v>
      </c>
      <c r="Z42" s="57">
        <v>1102</v>
      </c>
      <c r="AA42" s="57">
        <v>0</v>
      </c>
      <c r="AB42" s="57">
        <v>0</v>
      </c>
      <c r="AC42" s="57">
        <v>0</v>
      </c>
      <c r="AD42" s="57">
        <v>0</v>
      </c>
      <c r="AE42" s="58">
        <v>0</v>
      </c>
      <c r="AF42" s="30">
        <v>0</v>
      </c>
      <c r="AG42" s="57">
        <v>0</v>
      </c>
      <c r="AH42" s="57">
        <v>0</v>
      </c>
      <c r="AI42" s="57">
        <v>0</v>
      </c>
      <c r="AJ42" s="57">
        <v>0</v>
      </c>
      <c r="AK42" s="57">
        <v>0</v>
      </c>
      <c r="AL42" s="57">
        <v>0</v>
      </c>
      <c r="AM42" s="57">
        <v>0</v>
      </c>
      <c r="AN42" s="57">
        <v>0</v>
      </c>
      <c r="AO42" s="57">
        <v>0</v>
      </c>
      <c r="AP42" s="57">
        <v>0</v>
      </c>
      <c r="AQ42" s="57">
        <v>0</v>
      </c>
      <c r="AR42" s="57">
        <v>0</v>
      </c>
      <c r="AS42" s="57">
        <v>0</v>
      </c>
      <c r="AT42" s="57">
        <v>0</v>
      </c>
      <c r="AU42" s="57">
        <v>0</v>
      </c>
      <c r="AV42" s="57">
        <v>0</v>
      </c>
      <c r="AW42" s="57">
        <v>0</v>
      </c>
      <c r="AX42" s="57">
        <v>0</v>
      </c>
      <c r="AY42" s="57">
        <v>0</v>
      </c>
      <c r="AZ42" s="57">
        <v>0</v>
      </c>
      <c r="BA42" s="57">
        <v>0</v>
      </c>
      <c r="BB42" s="57">
        <v>0</v>
      </c>
      <c r="BC42" s="57">
        <v>0</v>
      </c>
      <c r="BD42" s="57">
        <v>0</v>
      </c>
      <c r="BE42" s="57">
        <v>0</v>
      </c>
      <c r="BF42" s="57">
        <v>0</v>
      </c>
      <c r="BG42" s="57">
        <v>0</v>
      </c>
      <c r="BH42" s="57">
        <v>0</v>
      </c>
      <c r="BI42" s="57">
        <v>0</v>
      </c>
      <c r="BJ42" s="57">
        <v>0</v>
      </c>
      <c r="BK42" s="57">
        <v>0</v>
      </c>
      <c r="BL42" s="57">
        <v>0</v>
      </c>
      <c r="BM42" s="57">
        <v>0</v>
      </c>
      <c r="BN42" s="57">
        <v>0</v>
      </c>
      <c r="BO42" s="57">
        <v>0</v>
      </c>
      <c r="BP42" s="57">
        <v>0</v>
      </c>
      <c r="BQ42" s="57">
        <v>0</v>
      </c>
      <c r="BR42" s="57">
        <v>0</v>
      </c>
      <c r="BS42" s="57">
        <v>0</v>
      </c>
      <c r="BT42" s="57">
        <v>0</v>
      </c>
      <c r="BU42" s="57">
        <v>0</v>
      </c>
      <c r="BV42" s="57">
        <v>0</v>
      </c>
      <c r="BW42" s="57">
        <v>0</v>
      </c>
      <c r="BX42" s="57">
        <v>0</v>
      </c>
      <c r="BY42" s="57">
        <v>0</v>
      </c>
      <c r="BZ42" s="57">
        <v>0</v>
      </c>
      <c r="CA42" s="57">
        <v>0</v>
      </c>
    </row>
    <row r="43" spans="1:79" x14ac:dyDescent="0.3">
      <c r="A43" s="19"/>
      <c r="B43" s="20" t="str">
        <f t="shared" si="0"/>
        <v>13030001</v>
      </c>
      <c r="C43" s="55" t="str">
        <f t="shared" si="8"/>
        <v>3</v>
      </c>
      <c r="D43" s="55">
        <f t="shared" si="9"/>
        <v>0</v>
      </c>
      <c r="E43" s="49">
        <v>1</v>
      </c>
      <c r="F43" s="57">
        <v>1</v>
      </c>
      <c r="G43" s="57">
        <v>0</v>
      </c>
      <c r="H43" s="57" t="str">
        <f t="shared" si="3"/>
        <v>Item_Name_13030001</v>
      </c>
      <c r="I43" s="57" t="s">
        <v>702</v>
      </c>
      <c r="J43" s="57">
        <v>10103001</v>
      </c>
      <c r="K43" s="57">
        <v>3</v>
      </c>
      <c r="L43" s="57">
        <v>0</v>
      </c>
      <c r="M43" s="57">
        <v>0</v>
      </c>
      <c r="N43" s="57">
        <v>15</v>
      </c>
      <c r="O43" s="57">
        <v>100</v>
      </c>
      <c r="P43" s="57">
        <v>1</v>
      </c>
      <c r="Q43" s="57" t="s">
        <v>705</v>
      </c>
      <c r="R43" s="57" t="s">
        <v>543</v>
      </c>
      <c r="S43" s="57" t="s">
        <v>523</v>
      </c>
      <c r="T43" s="57" t="s">
        <v>329</v>
      </c>
      <c r="U43" s="57">
        <v>15</v>
      </c>
      <c r="V43" s="57">
        <v>80</v>
      </c>
      <c r="W43" s="57">
        <v>0</v>
      </c>
      <c r="X43" s="57">
        <v>0</v>
      </c>
      <c r="Y43" s="57">
        <v>1002</v>
      </c>
      <c r="Z43" s="57">
        <v>1102</v>
      </c>
      <c r="AA43" s="57">
        <v>1202</v>
      </c>
      <c r="AB43" s="57">
        <v>0</v>
      </c>
      <c r="AC43" s="57">
        <v>0</v>
      </c>
      <c r="AD43" s="57">
        <v>0</v>
      </c>
      <c r="AE43" s="58">
        <v>0</v>
      </c>
      <c r="AF43" s="30">
        <v>0</v>
      </c>
      <c r="AG43" s="57">
        <v>0</v>
      </c>
      <c r="AH43" s="57">
        <v>0</v>
      </c>
      <c r="AI43" s="57">
        <v>0</v>
      </c>
      <c r="AJ43" s="57">
        <v>0</v>
      </c>
      <c r="AK43" s="57">
        <v>0</v>
      </c>
      <c r="AL43" s="57">
        <v>0</v>
      </c>
      <c r="AM43" s="57">
        <v>0</v>
      </c>
      <c r="AN43" s="57">
        <v>0</v>
      </c>
      <c r="AO43" s="57">
        <v>0</v>
      </c>
      <c r="AP43" s="57">
        <v>0</v>
      </c>
      <c r="AQ43" s="57">
        <v>0</v>
      </c>
      <c r="AR43" s="57">
        <v>0</v>
      </c>
      <c r="AS43" s="57">
        <v>0</v>
      </c>
      <c r="AT43" s="57">
        <v>0</v>
      </c>
      <c r="AU43" s="57">
        <v>0</v>
      </c>
      <c r="AV43" s="57">
        <v>0</v>
      </c>
      <c r="AW43" s="57">
        <v>0</v>
      </c>
      <c r="AX43" s="57">
        <v>0</v>
      </c>
      <c r="AY43" s="57">
        <v>0</v>
      </c>
      <c r="AZ43" s="57">
        <v>0</v>
      </c>
      <c r="BA43" s="57">
        <v>0</v>
      </c>
      <c r="BB43" s="57">
        <v>0</v>
      </c>
      <c r="BC43" s="57">
        <v>0</v>
      </c>
      <c r="BD43" s="57">
        <v>0</v>
      </c>
      <c r="BE43" s="57">
        <v>0</v>
      </c>
      <c r="BF43" s="57">
        <v>0</v>
      </c>
      <c r="BG43" s="57">
        <v>0</v>
      </c>
      <c r="BH43" s="57">
        <v>0</v>
      </c>
      <c r="BI43" s="57">
        <v>0</v>
      </c>
      <c r="BJ43" s="57">
        <v>0</v>
      </c>
      <c r="BK43" s="57">
        <v>0</v>
      </c>
      <c r="BL43" s="57">
        <v>0</v>
      </c>
      <c r="BM43" s="57">
        <v>0</v>
      </c>
      <c r="BN43" s="57">
        <v>0</v>
      </c>
      <c r="BO43" s="57">
        <v>0</v>
      </c>
      <c r="BP43" s="57">
        <v>0</v>
      </c>
      <c r="BQ43" s="57">
        <v>0</v>
      </c>
      <c r="BR43" s="57">
        <v>0</v>
      </c>
      <c r="BS43" s="57">
        <v>0</v>
      </c>
      <c r="BT43" s="57">
        <v>0</v>
      </c>
      <c r="BU43" s="57">
        <v>0</v>
      </c>
      <c r="BV43" s="57">
        <v>0</v>
      </c>
      <c r="BW43" s="57">
        <v>0</v>
      </c>
      <c r="BX43" s="57">
        <v>0</v>
      </c>
      <c r="BY43" s="57">
        <v>0</v>
      </c>
      <c r="BZ43" s="57">
        <v>0</v>
      </c>
      <c r="CA43" s="57">
        <v>0</v>
      </c>
    </row>
    <row r="44" spans="1:79" x14ac:dyDescent="0.3">
      <c r="A44" s="19"/>
      <c r="B44" s="20" t="str">
        <f t="shared" si="0"/>
        <v>13040001</v>
      </c>
      <c r="C44" s="55" t="str">
        <f t="shared" si="8"/>
        <v>3</v>
      </c>
      <c r="D44" s="55">
        <f t="shared" si="9"/>
        <v>0</v>
      </c>
      <c r="E44" s="49">
        <v>1</v>
      </c>
      <c r="F44" s="57">
        <v>1</v>
      </c>
      <c r="G44" s="57">
        <v>0</v>
      </c>
      <c r="H44" s="57" t="str">
        <f t="shared" si="3"/>
        <v>Item_Name_13040001</v>
      </c>
      <c r="I44" s="57" t="s">
        <v>703</v>
      </c>
      <c r="J44" s="57">
        <v>10103001</v>
      </c>
      <c r="K44" s="57">
        <v>4</v>
      </c>
      <c r="L44" s="57">
        <v>0</v>
      </c>
      <c r="M44" s="57">
        <v>0</v>
      </c>
      <c r="N44" s="57">
        <v>15</v>
      </c>
      <c r="O44" s="57">
        <v>100</v>
      </c>
      <c r="P44" s="57">
        <v>1</v>
      </c>
      <c r="Q44" s="57" t="s">
        <v>706</v>
      </c>
      <c r="R44" s="57" t="s">
        <v>531</v>
      </c>
      <c r="S44" s="57" t="s">
        <v>523</v>
      </c>
      <c r="T44" s="57" t="s">
        <v>329</v>
      </c>
      <c r="U44" s="57">
        <v>30</v>
      </c>
      <c r="V44" s="57">
        <v>240</v>
      </c>
      <c r="W44" s="57">
        <v>0</v>
      </c>
      <c r="X44" s="57">
        <v>0</v>
      </c>
      <c r="Y44" s="57">
        <v>1002</v>
      </c>
      <c r="Z44" s="57">
        <v>1102</v>
      </c>
      <c r="AA44" s="57">
        <v>1202</v>
      </c>
      <c r="AB44" s="57">
        <v>1206</v>
      </c>
      <c r="AC44" s="57">
        <v>0</v>
      </c>
      <c r="AD44" s="57">
        <v>0</v>
      </c>
      <c r="AE44" s="58">
        <v>0</v>
      </c>
      <c r="AF44" s="30">
        <v>0</v>
      </c>
      <c r="AG44" s="57">
        <v>0</v>
      </c>
      <c r="AH44" s="57">
        <v>0</v>
      </c>
      <c r="AI44" s="57">
        <v>0</v>
      </c>
      <c r="AJ44" s="57">
        <v>0</v>
      </c>
      <c r="AK44" s="57">
        <v>0</v>
      </c>
      <c r="AL44" s="57">
        <v>0</v>
      </c>
      <c r="AM44" s="57">
        <v>0</v>
      </c>
      <c r="AN44" s="57">
        <v>0</v>
      </c>
      <c r="AO44" s="57">
        <v>0</v>
      </c>
      <c r="AP44" s="57">
        <v>0</v>
      </c>
      <c r="AQ44" s="57">
        <v>0</v>
      </c>
      <c r="AR44" s="57">
        <v>0</v>
      </c>
      <c r="AS44" s="57">
        <v>0</v>
      </c>
      <c r="AT44" s="57">
        <v>0</v>
      </c>
      <c r="AU44" s="57">
        <v>0</v>
      </c>
      <c r="AV44" s="57">
        <v>0</v>
      </c>
      <c r="AW44" s="57">
        <v>0</v>
      </c>
      <c r="AX44" s="57">
        <v>0</v>
      </c>
      <c r="AY44" s="57">
        <v>0</v>
      </c>
      <c r="AZ44" s="57">
        <v>0</v>
      </c>
      <c r="BA44" s="57">
        <v>0</v>
      </c>
      <c r="BB44" s="57">
        <v>0</v>
      </c>
      <c r="BC44" s="57">
        <v>0</v>
      </c>
      <c r="BD44" s="57">
        <v>0</v>
      </c>
      <c r="BE44" s="57">
        <v>0</v>
      </c>
      <c r="BF44" s="57">
        <v>0</v>
      </c>
      <c r="BG44" s="57">
        <v>0</v>
      </c>
      <c r="BH44" s="57">
        <v>0</v>
      </c>
      <c r="BI44" s="57">
        <v>0</v>
      </c>
      <c r="BJ44" s="57">
        <v>0</v>
      </c>
      <c r="BK44" s="57">
        <v>0</v>
      </c>
      <c r="BL44" s="57">
        <v>0</v>
      </c>
      <c r="BM44" s="57">
        <v>0</v>
      </c>
      <c r="BN44" s="57">
        <v>0</v>
      </c>
      <c r="BO44" s="57">
        <v>0</v>
      </c>
      <c r="BP44" s="57">
        <v>0</v>
      </c>
      <c r="BQ44" s="57">
        <v>0</v>
      </c>
      <c r="BR44" s="57">
        <v>0</v>
      </c>
      <c r="BS44" s="57">
        <v>0</v>
      </c>
      <c r="BT44" s="57">
        <v>0</v>
      </c>
      <c r="BU44" s="57">
        <v>0</v>
      </c>
      <c r="BV44" s="57">
        <v>0</v>
      </c>
      <c r="BW44" s="57">
        <v>0</v>
      </c>
      <c r="BX44" s="57">
        <v>0</v>
      </c>
      <c r="BY44" s="57">
        <v>0</v>
      </c>
      <c r="BZ44" s="57">
        <v>0</v>
      </c>
      <c r="CA44" s="57">
        <v>0</v>
      </c>
    </row>
    <row r="45" spans="1:79" x14ac:dyDescent="0.3">
      <c r="A45" s="19"/>
      <c r="B45" s="20" t="str">
        <f t="shared" si="0"/>
        <v>14010001</v>
      </c>
      <c r="C45" s="55" t="str">
        <f t="shared" si="1"/>
        <v>4</v>
      </c>
      <c r="D45" s="55">
        <f t="shared" si="2"/>
        <v>0</v>
      </c>
      <c r="E45" s="49">
        <v>1</v>
      </c>
      <c r="F45" s="20">
        <v>1</v>
      </c>
      <c r="G45" s="20">
        <v>0</v>
      </c>
      <c r="H45" s="20" t="str">
        <f t="shared" si="3"/>
        <v>Item_Name_14010001</v>
      </c>
      <c r="I45" s="20" t="s">
        <v>534</v>
      </c>
      <c r="J45" s="20">
        <v>10104001</v>
      </c>
      <c r="K45" s="20">
        <v>1</v>
      </c>
      <c r="L45" s="20">
        <v>0</v>
      </c>
      <c r="M45" s="20">
        <v>0</v>
      </c>
      <c r="N45" s="20">
        <v>15</v>
      </c>
      <c r="O45" s="20">
        <v>100</v>
      </c>
      <c r="P45" s="20">
        <v>1</v>
      </c>
      <c r="Q45" s="20" t="s">
        <v>306</v>
      </c>
      <c r="R45" s="20" t="s">
        <v>171</v>
      </c>
      <c r="S45" s="20" t="s">
        <v>524</v>
      </c>
      <c r="T45" s="20" t="s">
        <v>329</v>
      </c>
      <c r="U45" s="20">
        <v>4</v>
      </c>
      <c r="V45" s="20">
        <v>7</v>
      </c>
      <c r="W45" s="20">
        <v>0</v>
      </c>
      <c r="X45" s="20">
        <v>0</v>
      </c>
      <c r="Y45" s="20">
        <v>1002</v>
      </c>
      <c r="Z45" s="20">
        <v>0</v>
      </c>
      <c r="AA45" s="20">
        <v>0</v>
      </c>
      <c r="AB45" s="20">
        <v>0</v>
      </c>
      <c r="AC45" s="20">
        <v>0</v>
      </c>
      <c r="AD45" s="20">
        <v>0</v>
      </c>
      <c r="AE45" s="39">
        <v>0</v>
      </c>
      <c r="AF45" s="31">
        <v>0</v>
      </c>
      <c r="AG45" s="20">
        <v>0</v>
      </c>
      <c r="AH45" s="20">
        <v>0</v>
      </c>
      <c r="AI45" s="20">
        <v>0</v>
      </c>
      <c r="AJ45" s="20">
        <v>0</v>
      </c>
      <c r="AK45" s="20">
        <v>0</v>
      </c>
      <c r="AL45" s="20">
        <v>0</v>
      </c>
      <c r="AM45" s="20">
        <v>0</v>
      </c>
      <c r="AN45" s="20">
        <v>0</v>
      </c>
      <c r="AO45" s="20">
        <v>0</v>
      </c>
      <c r="AP45" s="20">
        <v>0</v>
      </c>
      <c r="AQ45" s="20">
        <v>0</v>
      </c>
      <c r="AR45" s="20">
        <v>0</v>
      </c>
      <c r="AS45" s="20">
        <v>0</v>
      </c>
      <c r="AT45" s="20">
        <v>0</v>
      </c>
      <c r="AU45" s="20">
        <v>0</v>
      </c>
      <c r="AV45" s="20">
        <v>0</v>
      </c>
      <c r="AW45" s="20">
        <v>0</v>
      </c>
      <c r="AX45" s="20">
        <v>0</v>
      </c>
      <c r="AY45" s="20">
        <v>0</v>
      </c>
      <c r="AZ45" s="20">
        <v>0</v>
      </c>
      <c r="BA45" s="20">
        <v>0</v>
      </c>
      <c r="BB45" s="20">
        <v>0</v>
      </c>
      <c r="BC45" s="20">
        <v>0</v>
      </c>
      <c r="BD45" s="20">
        <v>0</v>
      </c>
      <c r="BE45" s="20">
        <v>0</v>
      </c>
      <c r="BF45" s="20">
        <v>0</v>
      </c>
      <c r="BG45" s="20">
        <v>0</v>
      </c>
      <c r="BH45" s="20">
        <v>0</v>
      </c>
      <c r="BI45" s="20">
        <v>0</v>
      </c>
      <c r="BJ45" s="20">
        <v>0</v>
      </c>
      <c r="BK45" s="20">
        <v>0</v>
      </c>
      <c r="BL45" s="20">
        <v>0</v>
      </c>
      <c r="BM45" s="20">
        <v>0</v>
      </c>
      <c r="BN45" s="20">
        <v>0</v>
      </c>
      <c r="BO45" s="20">
        <v>0</v>
      </c>
      <c r="BP45" s="20">
        <v>0</v>
      </c>
      <c r="BQ45" s="20">
        <v>0</v>
      </c>
      <c r="BR45" s="20">
        <v>0</v>
      </c>
      <c r="BS45" s="20">
        <v>0</v>
      </c>
      <c r="BT45" s="20">
        <v>0</v>
      </c>
      <c r="BU45" s="20">
        <v>0</v>
      </c>
      <c r="BV45" s="20">
        <v>0</v>
      </c>
      <c r="BW45" s="20">
        <v>0</v>
      </c>
      <c r="BX45" s="20">
        <v>0</v>
      </c>
      <c r="BY45" s="20">
        <v>0</v>
      </c>
      <c r="BZ45" s="20">
        <v>0</v>
      </c>
      <c r="CA45" s="20">
        <v>0</v>
      </c>
    </row>
    <row r="46" spans="1:79" x14ac:dyDescent="0.3">
      <c r="A46" s="19"/>
      <c r="B46" s="20" t="str">
        <f t="shared" si="0"/>
        <v>14020001</v>
      </c>
      <c r="C46" s="55" t="str">
        <f t="shared" ref="C46:C48" si="10">IF(J46&gt;0,MID(J46,5, 1), 0)</f>
        <v>4</v>
      </c>
      <c r="D46" s="55">
        <f t="shared" ref="D46:D48" si="11">IF(G46&lt;100, G46, G46-100)</f>
        <v>0</v>
      </c>
      <c r="E46" s="49">
        <v>1</v>
      </c>
      <c r="F46" s="57">
        <v>1</v>
      </c>
      <c r="G46" s="57">
        <v>0</v>
      </c>
      <c r="H46" s="57" t="str">
        <f t="shared" si="3"/>
        <v>Item_Name_14020001</v>
      </c>
      <c r="I46" s="57" t="s">
        <v>535</v>
      </c>
      <c r="J46" s="57">
        <v>10104001</v>
      </c>
      <c r="K46" s="57">
        <v>2</v>
      </c>
      <c r="L46" s="57">
        <v>0</v>
      </c>
      <c r="M46" s="57">
        <v>0</v>
      </c>
      <c r="N46" s="57">
        <v>15</v>
      </c>
      <c r="O46" s="57">
        <v>100</v>
      </c>
      <c r="P46" s="57">
        <v>1</v>
      </c>
      <c r="Q46" s="57" t="s">
        <v>538</v>
      </c>
      <c r="R46" s="57" t="s">
        <v>542</v>
      </c>
      <c r="S46" s="57" t="s">
        <v>524</v>
      </c>
      <c r="T46" s="57" t="s">
        <v>329</v>
      </c>
      <c r="U46" s="57">
        <v>9</v>
      </c>
      <c r="V46" s="57">
        <v>18</v>
      </c>
      <c r="W46" s="57">
        <v>0</v>
      </c>
      <c r="X46" s="57">
        <v>0</v>
      </c>
      <c r="Y46" s="57">
        <v>1002</v>
      </c>
      <c r="Z46" s="57">
        <v>1102</v>
      </c>
      <c r="AA46" s="57">
        <v>0</v>
      </c>
      <c r="AB46" s="57">
        <v>0</v>
      </c>
      <c r="AC46" s="57">
        <v>0</v>
      </c>
      <c r="AD46" s="57">
        <v>0</v>
      </c>
      <c r="AE46" s="58">
        <v>0</v>
      </c>
      <c r="AF46" s="30">
        <v>0</v>
      </c>
      <c r="AG46" s="57">
        <v>0</v>
      </c>
      <c r="AH46" s="57">
        <v>0</v>
      </c>
      <c r="AI46" s="57">
        <v>0</v>
      </c>
      <c r="AJ46" s="57">
        <v>0</v>
      </c>
      <c r="AK46" s="57">
        <v>0</v>
      </c>
      <c r="AL46" s="57">
        <v>0</v>
      </c>
      <c r="AM46" s="57">
        <v>0</v>
      </c>
      <c r="AN46" s="57">
        <v>0</v>
      </c>
      <c r="AO46" s="57">
        <v>0</v>
      </c>
      <c r="AP46" s="57">
        <v>0</v>
      </c>
      <c r="AQ46" s="57">
        <v>0</v>
      </c>
      <c r="AR46" s="57">
        <v>0</v>
      </c>
      <c r="AS46" s="57">
        <v>0</v>
      </c>
      <c r="AT46" s="57">
        <v>0</v>
      </c>
      <c r="AU46" s="57">
        <v>0</v>
      </c>
      <c r="AV46" s="57">
        <v>0</v>
      </c>
      <c r="AW46" s="57">
        <v>0</v>
      </c>
      <c r="AX46" s="57">
        <v>0</v>
      </c>
      <c r="AY46" s="57">
        <v>0</v>
      </c>
      <c r="AZ46" s="57">
        <v>0</v>
      </c>
      <c r="BA46" s="57">
        <v>0</v>
      </c>
      <c r="BB46" s="57">
        <v>0</v>
      </c>
      <c r="BC46" s="57">
        <v>0</v>
      </c>
      <c r="BD46" s="57">
        <v>0</v>
      </c>
      <c r="BE46" s="57">
        <v>0</v>
      </c>
      <c r="BF46" s="57">
        <v>0</v>
      </c>
      <c r="BG46" s="57">
        <v>0</v>
      </c>
      <c r="BH46" s="57">
        <v>0</v>
      </c>
      <c r="BI46" s="57">
        <v>0</v>
      </c>
      <c r="BJ46" s="57">
        <v>0</v>
      </c>
      <c r="BK46" s="57">
        <v>0</v>
      </c>
      <c r="BL46" s="57">
        <v>0</v>
      </c>
      <c r="BM46" s="57">
        <v>0</v>
      </c>
      <c r="BN46" s="57">
        <v>0</v>
      </c>
      <c r="BO46" s="57">
        <v>0</v>
      </c>
      <c r="BP46" s="57">
        <v>0</v>
      </c>
      <c r="BQ46" s="57">
        <v>0</v>
      </c>
      <c r="BR46" s="57">
        <v>0</v>
      </c>
      <c r="BS46" s="57">
        <v>0</v>
      </c>
      <c r="BT46" s="57">
        <v>0</v>
      </c>
      <c r="BU46" s="57">
        <v>0</v>
      </c>
      <c r="BV46" s="57">
        <v>0</v>
      </c>
      <c r="BW46" s="57">
        <v>0</v>
      </c>
      <c r="BX46" s="57">
        <v>0</v>
      </c>
      <c r="BY46" s="57">
        <v>0</v>
      </c>
      <c r="BZ46" s="57">
        <v>0</v>
      </c>
      <c r="CA46" s="57">
        <v>0</v>
      </c>
    </row>
    <row r="47" spans="1:79" x14ac:dyDescent="0.3">
      <c r="A47" s="19"/>
      <c r="B47" s="20" t="str">
        <f t="shared" si="0"/>
        <v>14030001</v>
      </c>
      <c r="C47" s="55" t="str">
        <f t="shared" si="10"/>
        <v>4</v>
      </c>
      <c r="D47" s="55">
        <f t="shared" si="11"/>
        <v>0</v>
      </c>
      <c r="E47" s="49">
        <v>1</v>
      </c>
      <c r="F47" s="57">
        <v>1</v>
      </c>
      <c r="G47" s="57">
        <v>0</v>
      </c>
      <c r="H47" s="57" t="str">
        <f t="shared" si="3"/>
        <v>Item_Name_14030001</v>
      </c>
      <c r="I47" s="57" t="s">
        <v>536</v>
      </c>
      <c r="J47" s="57">
        <v>10104001</v>
      </c>
      <c r="K47" s="57">
        <v>3</v>
      </c>
      <c r="L47" s="57">
        <v>0</v>
      </c>
      <c r="M47" s="57">
        <v>0</v>
      </c>
      <c r="N47" s="57">
        <v>15</v>
      </c>
      <c r="O47" s="57">
        <v>100</v>
      </c>
      <c r="P47" s="57">
        <v>1</v>
      </c>
      <c r="Q47" s="57" t="s">
        <v>539</v>
      </c>
      <c r="R47" s="57" t="s">
        <v>543</v>
      </c>
      <c r="S47" s="57" t="s">
        <v>524</v>
      </c>
      <c r="T47" s="57" t="s">
        <v>329</v>
      </c>
      <c r="U47" s="57">
        <v>16</v>
      </c>
      <c r="V47" s="57">
        <v>65</v>
      </c>
      <c r="W47" s="57">
        <v>0</v>
      </c>
      <c r="X47" s="57">
        <v>0</v>
      </c>
      <c r="Y47" s="57">
        <v>1002</v>
      </c>
      <c r="Z47" s="57">
        <v>1102</v>
      </c>
      <c r="AA47" s="57">
        <v>1202</v>
      </c>
      <c r="AB47" s="57">
        <v>0</v>
      </c>
      <c r="AC47" s="57">
        <v>0</v>
      </c>
      <c r="AD47" s="57">
        <v>0</v>
      </c>
      <c r="AE47" s="58">
        <v>0</v>
      </c>
      <c r="AF47" s="30">
        <v>0</v>
      </c>
      <c r="AG47" s="57">
        <v>0</v>
      </c>
      <c r="AH47" s="57">
        <v>0</v>
      </c>
      <c r="AI47" s="57">
        <v>0</v>
      </c>
      <c r="AJ47" s="57">
        <v>0</v>
      </c>
      <c r="AK47" s="57">
        <v>0</v>
      </c>
      <c r="AL47" s="57">
        <v>0</v>
      </c>
      <c r="AM47" s="57">
        <v>0</v>
      </c>
      <c r="AN47" s="57">
        <v>0</v>
      </c>
      <c r="AO47" s="57">
        <v>0</v>
      </c>
      <c r="AP47" s="57">
        <v>0</v>
      </c>
      <c r="AQ47" s="57">
        <v>0</v>
      </c>
      <c r="AR47" s="57">
        <v>0</v>
      </c>
      <c r="AS47" s="57">
        <v>0</v>
      </c>
      <c r="AT47" s="57">
        <v>0</v>
      </c>
      <c r="AU47" s="57">
        <v>0</v>
      </c>
      <c r="AV47" s="57">
        <v>0</v>
      </c>
      <c r="AW47" s="57">
        <v>0</v>
      </c>
      <c r="AX47" s="57">
        <v>0</v>
      </c>
      <c r="AY47" s="57">
        <v>0</v>
      </c>
      <c r="AZ47" s="57">
        <v>0</v>
      </c>
      <c r="BA47" s="57">
        <v>0</v>
      </c>
      <c r="BB47" s="57">
        <v>0</v>
      </c>
      <c r="BC47" s="57">
        <v>0</v>
      </c>
      <c r="BD47" s="57">
        <v>0</v>
      </c>
      <c r="BE47" s="57">
        <v>0</v>
      </c>
      <c r="BF47" s="57">
        <v>0</v>
      </c>
      <c r="BG47" s="57">
        <v>0</v>
      </c>
      <c r="BH47" s="57">
        <v>0</v>
      </c>
      <c r="BI47" s="57">
        <v>0</v>
      </c>
      <c r="BJ47" s="57">
        <v>0</v>
      </c>
      <c r="BK47" s="57">
        <v>0</v>
      </c>
      <c r="BL47" s="57">
        <v>0</v>
      </c>
      <c r="BM47" s="57">
        <v>0</v>
      </c>
      <c r="BN47" s="57">
        <v>0</v>
      </c>
      <c r="BO47" s="57">
        <v>0</v>
      </c>
      <c r="BP47" s="57">
        <v>0</v>
      </c>
      <c r="BQ47" s="57">
        <v>0</v>
      </c>
      <c r="BR47" s="57">
        <v>0</v>
      </c>
      <c r="BS47" s="57">
        <v>0</v>
      </c>
      <c r="BT47" s="57">
        <v>0</v>
      </c>
      <c r="BU47" s="57">
        <v>0</v>
      </c>
      <c r="BV47" s="57">
        <v>0</v>
      </c>
      <c r="BW47" s="57">
        <v>0</v>
      </c>
      <c r="BX47" s="57">
        <v>0</v>
      </c>
      <c r="BY47" s="57">
        <v>0</v>
      </c>
      <c r="BZ47" s="57">
        <v>0</v>
      </c>
      <c r="CA47" s="57">
        <v>0</v>
      </c>
    </row>
    <row r="48" spans="1:79" x14ac:dyDescent="0.3">
      <c r="A48" s="19"/>
      <c r="B48" s="20" t="str">
        <f t="shared" si="0"/>
        <v>14040001</v>
      </c>
      <c r="C48" s="55" t="str">
        <f t="shared" si="10"/>
        <v>4</v>
      </c>
      <c r="D48" s="55">
        <f t="shared" si="11"/>
        <v>0</v>
      </c>
      <c r="E48" s="49">
        <v>1</v>
      </c>
      <c r="F48" s="57">
        <v>1</v>
      </c>
      <c r="G48" s="57">
        <v>0</v>
      </c>
      <c r="H48" s="57" t="str">
        <f t="shared" si="3"/>
        <v>Item_Name_14040001</v>
      </c>
      <c r="I48" s="57" t="s">
        <v>537</v>
      </c>
      <c r="J48" s="57">
        <v>10104001</v>
      </c>
      <c r="K48" s="57">
        <v>4</v>
      </c>
      <c r="L48" s="57">
        <v>0</v>
      </c>
      <c r="M48" s="57">
        <v>0</v>
      </c>
      <c r="N48" s="57">
        <v>15</v>
      </c>
      <c r="O48" s="57">
        <v>100</v>
      </c>
      <c r="P48" s="57">
        <v>1</v>
      </c>
      <c r="Q48" s="57" t="s">
        <v>540</v>
      </c>
      <c r="R48" s="57" t="s">
        <v>531</v>
      </c>
      <c r="S48" s="57" t="s">
        <v>524</v>
      </c>
      <c r="T48" s="57" t="s">
        <v>329</v>
      </c>
      <c r="U48" s="57">
        <v>25</v>
      </c>
      <c r="V48" s="57">
        <v>158</v>
      </c>
      <c r="W48" s="57">
        <v>0</v>
      </c>
      <c r="X48" s="57">
        <v>0</v>
      </c>
      <c r="Y48" s="57">
        <v>1002</v>
      </c>
      <c r="Z48" s="57">
        <v>1102</v>
      </c>
      <c r="AA48" s="57">
        <v>1202</v>
      </c>
      <c r="AB48" s="57">
        <v>1206</v>
      </c>
      <c r="AC48" s="57">
        <v>0</v>
      </c>
      <c r="AD48" s="57">
        <v>0</v>
      </c>
      <c r="AE48" s="58">
        <v>0</v>
      </c>
      <c r="AF48" s="30">
        <v>0</v>
      </c>
      <c r="AG48" s="57">
        <v>0</v>
      </c>
      <c r="AH48" s="57">
        <v>0</v>
      </c>
      <c r="AI48" s="57">
        <v>0</v>
      </c>
      <c r="AJ48" s="57">
        <v>0</v>
      </c>
      <c r="AK48" s="57">
        <v>0</v>
      </c>
      <c r="AL48" s="57">
        <v>0</v>
      </c>
      <c r="AM48" s="57">
        <v>0</v>
      </c>
      <c r="AN48" s="57">
        <v>0</v>
      </c>
      <c r="AO48" s="57">
        <v>0</v>
      </c>
      <c r="AP48" s="57">
        <v>0</v>
      </c>
      <c r="AQ48" s="57">
        <v>0</v>
      </c>
      <c r="AR48" s="57">
        <v>0</v>
      </c>
      <c r="AS48" s="57">
        <v>0</v>
      </c>
      <c r="AT48" s="57">
        <v>0</v>
      </c>
      <c r="AU48" s="57">
        <v>0</v>
      </c>
      <c r="AV48" s="57">
        <v>0</v>
      </c>
      <c r="AW48" s="57">
        <v>0</v>
      </c>
      <c r="AX48" s="57">
        <v>0</v>
      </c>
      <c r="AY48" s="57">
        <v>0</v>
      </c>
      <c r="AZ48" s="57">
        <v>0</v>
      </c>
      <c r="BA48" s="57">
        <v>0</v>
      </c>
      <c r="BB48" s="57">
        <v>0</v>
      </c>
      <c r="BC48" s="57">
        <v>0</v>
      </c>
      <c r="BD48" s="57">
        <v>0</v>
      </c>
      <c r="BE48" s="57">
        <v>0</v>
      </c>
      <c r="BF48" s="57">
        <v>0</v>
      </c>
      <c r="BG48" s="57">
        <v>0</v>
      </c>
      <c r="BH48" s="57">
        <v>0</v>
      </c>
      <c r="BI48" s="57">
        <v>0</v>
      </c>
      <c r="BJ48" s="57">
        <v>0</v>
      </c>
      <c r="BK48" s="57">
        <v>0</v>
      </c>
      <c r="BL48" s="57">
        <v>0</v>
      </c>
      <c r="BM48" s="57">
        <v>0</v>
      </c>
      <c r="BN48" s="57">
        <v>0</v>
      </c>
      <c r="BO48" s="57">
        <v>0</v>
      </c>
      <c r="BP48" s="57">
        <v>0</v>
      </c>
      <c r="BQ48" s="57">
        <v>0</v>
      </c>
      <c r="BR48" s="57">
        <v>0</v>
      </c>
      <c r="BS48" s="57">
        <v>0</v>
      </c>
      <c r="BT48" s="57">
        <v>0</v>
      </c>
      <c r="BU48" s="57">
        <v>0</v>
      </c>
      <c r="BV48" s="57">
        <v>0</v>
      </c>
      <c r="BW48" s="57">
        <v>0</v>
      </c>
      <c r="BX48" s="57">
        <v>0</v>
      </c>
      <c r="BY48" s="57">
        <v>0</v>
      </c>
      <c r="BZ48" s="57">
        <v>0</v>
      </c>
      <c r="CA48" s="57">
        <v>0</v>
      </c>
    </row>
    <row r="49" spans="1:79" x14ac:dyDescent="0.3">
      <c r="A49" s="19"/>
      <c r="B49" s="20" t="str">
        <f t="shared" si="0"/>
        <v>11110001</v>
      </c>
      <c r="C49" s="55" t="str">
        <f t="shared" si="1"/>
        <v>1</v>
      </c>
      <c r="D49" s="55">
        <f t="shared" si="2"/>
        <v>1</v>
      </c>
      <c r="E49" s="49">
        <v>1</v>
      </c>
      <c r="F49" s="20">
        <v>1</v>
      </c>
      <c r="G49" s="20">
        <v>1</v>
      </c>
      <c r="H49" s="20" t="str">
        <f t="shared" si="3"/>
        <v>Item_Name_11110001</v>
      </c>
      <c r="I49" s="20" t="s">
        <v>391</v>
      </c>
      <c r="J49" s="20">
        <v>10101001</v>
      </c>
      <c r="K49" s="20">
        <v>1</v>
      </c>
      <c r="L49" s="20">
        <v>0</v>
      </c>
      <c r="M49" s="20">
        <v>0</v>
      </c>
      <c r="N49" s="20">
        <v>15</v>
      </c>
      <c r="O49" s="20">
        <v>100</v>
      </c>
      <c r="P49" s="20">
        <v>1</v>
      </c>
      <c r="Q49" s="20" t="s">
        <v>222</v>
      </c>
      <c r="R49" s="20" t="s">
        <v>171</v>
      </c>
      <c r="S49" s="20" t="s">
        <v>319</v>
      </c>
      <c r="T49" s="20" t="s">
        <v>330</v>
      </c>
      <c r="U49" s="20">
        <v>1</v>
      </c>
      <c r="V49" s="20">
        <v>4</v>
      </c>
      <c r="W49" s="20">
        <v>0</v>
      </c>
      <c r="X49" s="20">
        <v>0</v>
      </c>
      <c r="Y49" s="20">
        <v>1001</v>
      </c>
      <c r="Z49" s="20">
        <v>0</v>
      </c>
      <c r="AA49" s="20">
        <v>0</v>
      </c>
      <c r="AB49" s="20">
        <v>0</v>
      </c>
      <c r="AC49" s="20">
        <v>0</v>
      </c>
      <c r="AD49" s="20">
        <v>0</v>
      </c>
      <c r="AE49" s="39">
        <v>0</v>
      </c>
      <c r="AF49" s="31">
        <v>0</v>
      </c>
      <c r="AG49" s="20">
        <v>0</v>
      </c>
      <c r="AH49" s="20">
        <v>0</v>
      </c>
      <c r="AI49" s="20">
        <v>0</v>
      </c>
      <c r="AJ49" s="20">
        <v>0</v>
      </c>
      <c r="AK49" s="20">
        <v>0</v>
      </c>
      <c r="AL49" s="20">
        <v>0</v>
      </c>
      <c r="AM49" s="20">
        <v>0</v>
      </c>
      <c r="AN49" s="20">
        <v>0</v>
      </c>
      <c r="AO49" s="20">
        <v>0</v>
      </c>
      <c r="AP49" s="20">
        <v>0</v>
      </c>
      <c r="AQ49" s="20">
        <v>0</v>
      </c>
      <c r="AR49" s="20">
        <v>0</v>
      </c>
      <c r="AS49" s="20">
        <v>0</v>
      </c>
      <c r="AT49" s="20">
        <v>0</v>
      </c>
      <c r="AU49" s="20">
        <v>0</v>
      </c>
      <c r="AV49" s="20">
        <v>0</v>
      </c>
      <c r="AW49" s="20">
        <v>0</v>
      </c>
      <c r="AX49" s="20">
        <v>0</v>
      </c>
      <c r="AY49" s="20">
        <v>0</v>
      </c>
      <c r="AZ49" s="20">
        <v>0</v>
      </c>
      <c r="BA49" s="20">
        <v>0</v>
      </c>
      <c r="BB49" s="20">
        <v>0</v>
      </c>
      <c r="BC49" s="20">
        <v>0</v>
      </c>
      <c r="BD49" s="20">
        <v>0</v>
      </c>
      <c r="BE49" s="20">
        <v>0</v>
      </c>
      <c r="BF49" s="20">
        <v>0</v>
      </c>
      <c r="BG49" s="20">
        <v>0</v>
      </c>
      <c r="BH49" s="20">
        <v>0</v>
      </c>
      <c r="BI49" s="20">
        <v>0</v>
      </c>
      <c r="BJ49" s="20">
        <v>0</v>
      </c>
      <c r="BK49" s="20">
        <v>0</v>
      </c>
      <c r="BL49" s="20">
        <v>0</v>
      </c>
      <c r="BM49" s="20">
        <v>0</v>
      </c>
      <c r="BN49" s="20">
        <v>0</v>
      </c>
      <c r="BO49" s="20">
        <v>0</v>
      </c>
      <c r="BP49" s="20">
        <v>0</v>
      </c>
      <c r="BQ49" s="20">
        <v>0</v>
      </c>
      <c r="BR49" s="20">
        <v>0</v>
      </c>
      <c r="BS49" s="20">
        <v>0</v>
      </c>
      <c r="BT49" s="20">
        <v>0</v>
      </c>
      <c r="BU49" s="20">
        <v>0</v>
      </c>
      <c r="BV49" s="20">
        <v>0</v>
      </c>
      <c r="BW49" s="20">
        <v>0</v>
      </c>
      <c r="BX49" s="20">
        <v>0</v>
      </c>
      <c r="BY49" s="20">
        <v>0</v>
      </c>
      <c r="BZ49" s="20">
        <v>0</v>
      </c>
      <c r="CA49" s="20">
        <v>0</v>
      </c>
    </row>
    <row r="50" spans="1:79" x14ac:dyDescent="0.3">
      <c r="A50" s="19"/>
      <c r="B50" s="20" t="str">
        <f t="shared" si="0"/>
        <v>11120001</v>
      </c>
      <c r="C50" s="55" t="str">
        <f t="shared" si="1"/>
        <v>1</v>
      </c>
      <c r="D50" s="55">
        <f t="shared" si="2"/>
        <v>1</v>
      </c>
      <c r="E50" s="49">
        <v>1</v>
      </c>
      <c r="F50" s="20">
        <v>1</v>
      </c>
      <c r="G50" s="20">
        <v>1</v>
      </c>
      <c r="H50" s="20" t="str">
        <f t="shared" si="3"/>
        <v>Item_Name_11120001</v>
      </c>
      <c r="I50" s="20" t="s">
        <v>198</v>
      </c>
      <c r="J50" s="20">
        <v>10101001</v>
      </c>
      <c r="K50" s="20">
        <v>2</v>
      </c>
      <c r="L50" s="20">
        <v>0</v>
      </c>
      <c r="M50" s="20">
        <v>0</v>
      </c>
      <c r="N50" s="20">
        <v>15</v>
      </c>
      <c r="O50" s="20">
        <v>100</v>
      </c>
      <c r="P50" s="20">
        <v>1</v>
      </c>
      <c r="Q50" s="20" t="s">
        <v>392</v>
      </c>
      <c r="R50" s="20" t="s">
        <v>256</v>
      </c>
      <c r="S50" s="20" t="s">
        <v>319</v>
      </c>
      <c r="T50" s="20" t="s">
        <v>330</v>
      </c>
      <c r="U50" s="20">
        <v>6</v>
      </c>
      <c r="V50" s="20">
        <v>18</v>
      </c>
      <c r="W50" s="20">
        <v>0</v>
      </c>
      <c r="X50" s="20">
        <v>0</v>
      </c>
      <c r="Y50" s="20">
        <v>1101</v>
      </c>
      <c r="Z50" s="20">
        <v>1101</v>
      </c>
      <c r="AA50" s="20">
        <v>0</v>
      </c>
      <c r="AB50" s="20">
        <v>0</v>
      </c>
      <c r="AC50" s="20">
        <v>0</v>
      </c>
      <c r="AD50" s="20">
        <v>0</v>
      </c>
      <c r="AE50" s="39">
        <v>0</v>
      </c>
      <c r="AF50" s="31">
        <v>0</v>
      </c>
      <c r="AG50" s="20">
        <v>0</v>
      </c>
      <c r="AH50" s="20">
        <v>0</v>
      </c>
      <c r="AI50" s="20">
        <v>0</v>
      </c>
      <c r="AJ50" s="20">
        <v>0</v>
      </c>
      <c r="AK50" s="20">
        <v>0</v>
      </c>
      <c r="AL50" s="20">
        <v>0</v>
      </c>
      <c r="AM50" s="20">
        <v>0</v>
      </c>
      <c r="AN50" s="20">
        <v>0</v>
      </c>
      <c r="AO50" s="20">
        <v>0</v>
      </c>
      <c r="AP50" s="20">
        <v>0</v>
      </c>
      <c r="AQ50" s="20">
        <v>0</v>
      </c>
      <c r="AR50" s="20">
        <v>0</v>
      </c>
      <c r="AS50" s="20">
        <v>0</v>
      </c>
      <c r="AT50" s="20">
        <v>0</v>
      </c>
      <c r="AU50" s="20">
        <v>0</v>
      </c>
      <c r="AV50" s="20">
        <v>0</v>
      </c>
      <c r="AW50" s="20">
        <v>0</v>
      </c>
      <c r="AX50" s="20">
        <v>0</v>
      </c>
      <c r="AY50" s="20">
        <v>0</v>
      </c>
      <c r="AZ50" s="20">
        <v>0</v>
      </c>
      <c r="BA50" s="20">
        <v>0</v>
      </c>
      <c r="BB50" s="20">
        <v>0</v>
      </c>
      <c r="BC50" s="20">
        <v>0</v>
      </c>
      <c r="BD50" s="20">
        <v>0</v>
      </c>
      <c r="BE50" s="20">
        <v>0</v>
      </c>
      <c r="BF50" s="20">
        <v>0</v>
      </c>
      <c r="BG50" s="20">
        <v>0</v>
      </c>
      <c r="BH50" s="20">
        <v>0</v>
      </c>
      <c r="BI50" s="20">
        <v>0</v>
      </c>
      <c r="BJ50" s="20">
        <v>0</v>
      </c>
      <c r="BK50" s="20">
        <v>0</v>
      </c>
      <c r="BL50" s="20">
        <v>0</v>
      </c>
      <c r="BM50" s="20">
        <v>0</v>
      </c>
      <c r="BN50" s="20">
        <v>0</v>
      </c>
      <c r="BO50" s="20">
        <v>0</v>
      </c>
      <c r="BP50" s="20">
        <v>0</v>
      </c>
      <c r="BQ50" s="20">
        <v>0</v>
      </c>
      <c r="BR50" s="20">
        <v>0</v>
      </c>
      <c r="BS50" s="20">
        <v>0</v>
      </c>
      <c r="BT50" s="20">
        <v>0</v>
      </c>
      <c r="BU50" s="20">
        <v>0</v>
      </c>
      <c r="BV50" s="20">
        <v>0</v>
      </c>
      <c r="BW50" s="20">
        <v>0</v>
      </c>
      <c r="BX50" s="20">
        <v>0</v>
      </c>
      <c r="BY50" s="20">
        <v>0</v>
      </c>
      <c r="BZ50" s="20">
        <v>0</v>
      </c>
      <c r="CA50" s="20">
        <v>0</v>
      </c>
    </row>
    <row r="51" spans="1:79" x14ac:dyDescent="0.3">
      <c r="A51" s="19"/>
      <c r="B51" s="20" t="str">
        <f t="shared" si="0"/>
        <v>11130001</v>
      </c>
      <c r="C51" s="55" t="str">
        <f t="shared" si="1"/>
        <v>1</v>
      </c>
      <c r="D51" s="55">
        <f t="shared" si="2"/>
        <v>1</v>
      </c>
      <c r="E51" s="49">
        <v>1</v>
      </c>
      <c r="F51" s="20">
        <v>1</v>
      </c>
      <c r="G51" s="20">
        <v>1</v>
      </c>
      <c r="H51" s="20" t="str">
        <f t="shared" si="3"/>
        <v>Item_Name_11130001</v>
      </c>
      <c r="I51" s="20" t="s">
        <v>199</v>
      </c>
      <c r="J51" s="20">
        <v>10101001</v>
      </c>
      <c r="K51" s="20">
        <v>3</v>
      </c>
      <c r="L51" s="20">
        <v>0</v>
      </c>
      <c r="M51" s="20">
        <v>0</v>
      </c>
      <c r="N51" s="20">
        <v>15</v>
      </c>
      <c r="O51" s="20">
        <v>100</v>
      </c>
      <c r="P51" s="20">
        <v>1</v>
      </c>
      <c r="Q51" s="20" t="s">
        <v>393</v>
      </c>
      <c r="R51" s="20" t="s">
        <v>257</v>
      </c>
      <c r="S51" s="20" t="s">
        <v>319</v>
      </c>
      <c r="T51" s="20" t="s">
        <v>330</v>
      </c>
      <c r="U51" s="20">
        <v>23</v>
      </c>
      <c r="V51" s="20">
        <v>49</v>
      </c>
      <c r="W51" s="20">
        <v>0</v>
      </c>
      <c r="X51" s="20">
        <v>0</v>
      </c>
      <c r="Y51" s="20">
        <v>1201</v>
      </c>
      <c r="Z51" s="20">
        <v>1101</v>
      </c>
      <c r="AA51" s="20">
        <v>1201</v>
      </c>
      <c r="AB51" s="20">
        <v>0</v>
      </c>
      <c r="AC51" s="20">
        <v>0</v>
      </c>
      <c r="AD51" s="20">
        <v>0</v>
      </c>
      <c r="AE51" s="39">
        <v>0</v>
      </c>
      <c r="AF51" s="31">
        <v>0</v>
      </c>
      <c r="AG51" s="20">
        <v>0</v>
      </c>
      <c r="AH51" s="20">
        <v>0</v>
      </c>
      <c r="AI51" s="20">
        <v>0</v>
      </c>
      <c r="AJ51" s="20">
        <v>0</v>
      </c>
      <c r="AK51" s="20">
        <v>0</v>
      </c>
      <c r="AL51" s="20">
        <v>0</v>
      </c>
      <c r="AM51" s="20">
        <v>0</v>
      </c>
      <c r="AN51" s="20">
        <v>0</v>
      </c>
      <c r="AO51" s="20">
        <v>0</v>
      </c>
      <c r="AP51" s="20">
        <v>0</v>
      </c>
      <c r="AQ51" s="20">
        <v>0</v>
      </c>
      <c r="AR51" s="20">
        <v>0</v>
      </c>
      <c r="AS51" s="20">
        <v>0</v>
      </c>
      <c r="AT51" s="20">
        <v>0</v>
      </c>
      <c r="AU51" s="20">
        <v>0</v>
      </c>
      <c r="AV51" s="20">
        <v>0</v>
      </c>
      <c r="AW51" s="20">
        <v>0</v>
      </c>
      <c r="AX51" s="20">
        <v>0</v>
      </c>
      <c r="AY51" s="20">
        <v>0</v>
      </c>
      <c r="AZ51" s="20">
        <v>0</v>
      </c>
      <c r="BA51" s="20">
        <v>0</v>
      </c>
      <c r="BB51" s="20">
        <v>0</v>
      </c>
      <c r="BC51" s="20">
        <v>0</v>
      </c>
      <c r="BD51" s="20">
        <v>0</v>
      </c>
      <c r="BE51" s="20">
        <v>0</v>
      </c>
      <c r="BF51" s="20">
        <v>0</v>
      </c>
      <c r="BG51" s="20">
        <v>0</v>
      </c>
      <c r="BH51" s="20">
        <v>0</v>
      </c>
      <c r="BI51" s="20">
        <v>0</v>
      </c>
      <c r="BJ51" s="20">
        <v>0</v>
      </c>
      <c r="BK51" s="20">
        <v>0</v>
      </c>
      <c r="BL51" s="20">
        <v>0</v>
      </c>
      <c r="BM51" s="20">
        <v>0</v>
      </c>
      <c r="BN51" s="20">
        <v>0</v>
      </c>
      <c r="BO51" s="20">
        <v>0</v>
      </c>
      <c r="BP51" s="20">
        <v>0</v>
      </c>
      <c r="BQ51" s="20">
        <v>0</v>
      </c>
      <c r="BR51" s="20">
        <v>0</v>
      </c>
      <c r="BS51" s="20">
        <v>0</v>
      </c>
      <c r="BT51" s="20">
        <v>0</v>
      </c>
      <c r="BU51" s="20">
        <v>0</v>
      </c>
      <c r="BV51" s="20">
        <v>0</v>
      </c>
      <c r="BW51" s="20">
        <v>0</v>
      </c>
      <c r="BX51" s="20">
        <v>0</v>
      </c>
      <c r="BY51" s="20">
        <v>0</v>
      </c>
      <c r="BZ51" s="20">
        <v>0</v>
      </c>
      <c r="CA51" s="20">
        <v>0</v>
      </c>
    </row>
    <row r="52" spans="1:79" x14ac:dyDescent="0.3">
      <c r="A52" s="19"/>
      <c r="B52" s="20" t="str">
        <f t="shared" si="0"/>
        <v>11140001</v>
      </c>
      <c r="C52" s="55" t="str">
        <f t="shared" ref="C52" si="12">IF(J52&gt;0,MID(J52,5, 1), 0)</f>
        <v>1</v>
      </c>
      <c r="D52" s="55">
        <f t="shared" ref="D52" si="13">IF(G52&lt;100, G52, G52-100)</f>
        <v>1</v>
      </c>
      <c r="E52" s="49">
        <v>1</v>
      </c>
      <c r="F52" s="57">
        <v>1</v>
      </c>
      <c r="G52" s="57">
        <v>1</v>
      </c>
      <c r="H52" s="57" t="str">
        <f t="shared" si="3"/>
        <v>Item_Name_11140001</v>
      </c>
      <c r="I52" s="57" t="s">
        <v>544</v>
      </c>
      <c r="J52" s="57">
        <v>10101001</v>
      </c>
      <c r="K52" s="57">
        <v>4</v>
      </c>
      <c r="L52" s="57">
        <v>0</v>
      </c>
      <c r="M52" s="57">
        <v>0</v>
      </c>
      <c r="N52" s="57">
        <v>15</v>
      </c>
      <c r="O52" s="57">
        <v>100</v>
      </c>
      <c r="P52" s="57">
        <v>1</v>
      </c>
      <c r="Q52" s="57" t="s">
        <v>719</v>
      </c>
      <c r="R52" s="57" t="s">
        <v>531</v>
      </c>
      <c r="S52" s="57" t="s">
        <v>319</v>
      </c>
      <c r="T52" s="57" t="s">
        <v>330</v>
      </c>
      <c r="U52" s="57">
        <v>35</v>
      </c>
      <c r="V52" s="57">
        <v>118</v>
      </c>
      <c r="W52" s="57">
        <v>0</v>
      </c>
      <c r="X52" s="57">
        <v>0</v>
      </c>
      <c r="Y52" s="57">
        <v>1201</v>
      </c>
      <c r="Z52" s="57">
        <v>1101</v>
      </c>
      <c r="AA52" s="57">
        <v>1201</v>
      </c>
      <c r="AB52" s="57">
        <v>1205</v>
      </c>
      <c r="AC52" s="57">
        <v>0</v>
      </c>
      <c r="AD52" s="57">
        <v>0</v>
      </c>
      <c r="AE52" s="58">
        <v>0</v>
      </c>
      <c r="AF52" s="30">
        <v>0</v>
      </c>
      <c r="AG52" s="57">
        <v>0</v>
      </c>
      <c r="AH52" s="57">
        <v>0</v>
      </c>
      <c r="AI52" s="57">
        <v>0</v>
      </c>
      <c r="AJ52" s="57">
        <v>0</v>
      </c>
      <c r="AK52" s="57">
        <v>0</v>
      </c>
      <c r="AL52" s="57">
        <v>0</v>
      </c>
      <c r="AM52" s="57">
        <v>0</v>
      </c>
      <c r="AN52" s="57">
        <v>0</v>
      </c>
      <c r="AO52" s="57">
        <v>0</v>
      </c>
      <c r="AP52" s="57">
        <v>0</v>
      </c>
      <c r="AQ52" s="57">
        <v>0</v>
      </c>
      <c r="AR52" s="57">
        <v>0</v>
      </c>
      <c r="AS52" s="57">
        <v>0</v>
      </c>
      <c r="AT52" s="57">
        <v>0</v>
      </c>
      <c r="AU52" s="57">
        <v>0</v>
      </c>
      <c r="AV52" s="57">
        <v>0</v>
      </c>
      <c r="AW52" s="57">
        <v>0</v>
      </c>
      <c r="AX52" s="57">
        <v>0</v>
      </c>
      <c r="AY52" s="57">
        <v>0</v>
      </c>
      <c r="AZ52" s="57">
        <v>0</v>
      </c>
      <c r="BA52" s="57">
        <v>0</v>
      </c>
      <c r="BB52" s="57">
        <v>0</v>
      </c>
      <c r="BC52" s="57">
        <v>0</v>
      </c>
      <c r="BD52" s="57">
        <v>0</v>
      </c>
      <c r="BE52" s="57">
        <v>0</v>
      </c>
      <c r="BF52" s="57">
        <v>0</v>
      </c>
      <c r="BG52" s="57">
        <v>0</v>
      </c>
      <c r="BH52" s="57">
        <v>0</v>
      </c>
      <c r="BI52" s="57">
        <v>0</v>
      </c>
      <c r="BJ52" s="57">
        <v>0</v>
      </c>
      <c r="BK52" s="57">
        <v>0</v>
      </c>
      <c r="BL52" s="57">
        <v>0</v>
      </c>
      <c r="BM52" s="57">
        <v>0</v>
      </c>
      <c r="BN52" s="57">
        <v>0</v>
      </c>
      <c r="BO52" s="57">
        <v>0</v>
      </c>
      <c r="BP52" s="57">
        <v>0</v>
      </c>
      <c r="BQ52" s="57">
        <v>0</v>
      </c>
      <c r="BR52" s="57">
        <v>0</v>
      </c>
      <c r="BS52" s="57">
        <v>0</v>
      </c>
      <c r="BT52" s="57">
        <v>0</v>
      </c>
      <c r="BU52" s="57">
        <v>0</v>
      </c>
      <c r="BV52" s="57">
        <v>0</v>
      </c>
      <c r="BW52" s="57">
        <v>0</v>
      </c>
      <c r="BX52" s="57">
        <v>0</v>
      </c>
      <c r="BY52" s="57">
        <v>0</v>
      </c>
      <c r="BZ52" s="57">
        <v>0</v>
      </c>
      <c r="CA52" s="57">
        <v>0</v>
      </c>
    </row>
    <row r="53" spans="1:79" x14ac:dyDescent="0.3">
      <c r="A53" s="19"/>
      <c r="B53" s="20" t="str">
        <f t="shared" si="0"/>
        <v>12110001</v>
      </c>
      <c r="C53" s="55" t="str">
        <f t="shared" si="1"/>
        <v>2</v>
      </c>
      <c r="D53" s="55">
        <f t="shared" si="2"/>
        <v>1</v>
      </c>
      <c r="E53" s="49">
        <v>1</v>
      </c>
      <c r="F53" s="20">
        <v>1</v>
      </c>
      <c r="G53" s="20">
        <v>1</v>
      </c>
      <c r="H53" s="20" t="str">
        <f t="shared" si="3"/>
        <v>Item_Name_12110001</v>
      </c>
      <c r="I53" s="20" t="s">
        <v>394</v>
      </c>
      <c r="J53" s="20">
        <v>10102001</v>
      </c>
      <c r="K53" s="20">
        <v>1</v>
      </c>
      <c r="L53" s="20">
        <v>0</v>
      </c>
      <c r="M53" s="20">
        <v>0</v>
      </c>
      <c r="N53" s="20">
        <v>15</v>
      </c>
      <c r="O53" s="20">
        <v>100</v>
      </c>
      <c r="P53" s="20">
        <v>1</v>
      </c>
      <c r="Q53" s="20" t="s">
        <v>223</v>
      </c>
      <c r="R53" s="20" t="s">
        <v>171</v>
      </c>
      <c r="S53" s="20" t="s">
        <v>320</v>
      </c>
      <c r="T53" s="20" t="s">
        <v>330</v>
      </c>
      <c r="U53" s="20">
        <v>2</v>
      </c>
      <c r="V53" s="20">
        <v>3</v>
      </c>
      <c r="W53" s="20">
        <v>0</v>
      </c>
      <c r="X53" s="20">
        <v>0</v>
      </c>
      <c r="Y53" s="20">
        <v>1003</v>
      </c>
      <c r="Z53" s="20">
        <v>0</v>
      </c>
      <c r="AA53" s="20">
        <v>0</v>
      </c>
      <c r="AB53" s="20">
        <v>0</v>
      </c>
      <c r="AC53" s="20">
        <v>0</v>
      </c>
      <c r="AD53" s="20">
        <v>0</v>
      </c>
      <c r="AE53" s="39">
        <v>0</v>
      </c>
      <c r="AF53" s="31">
        <v>0</v>
      </c>
      <c r="AG53" s="20">
        <v>0</v>
      </c>
      <c r="AH53" s="20">
        <v>0</v>
      </c>
      <c r="AI53" s="20">
        <v>0</v>
      </c>
      <c r="AJ53" s="20">
        <v>0</v>
      </c>
      <c r="AK53" s="20">
        <v>0</v>
      </c>
      <c r="AL53" s="20">
        <v>0</v>
      </c>
      <c r="AM53" s="20">
        <v>0</v>
      </c>
      <c r="AN53" s="20">
        <v>0</v>
      </c>
      <c r="AO53" s="20">
        <v>0</v>
      </c>
      <c r="AP53" s="20">
        <v>0</v>
      </c>
      <c r="AQ53" s="20">
        <v>0</v>
      </c>
      <c r="AR53" s="20">
        <v>0</v>
      </c>
      <c r="AS53" s="20">
        <v>0</v>
      </c>
      <c r="AT53" s="20">
        <v>0</v>
      </c>
      <c r="AU53" s="20">
        <v>0</v>
      </c>
      <c r="AV53" s="20">
        <v>0</v>
      </c>
      <c r="AW53" s="20">
        <v>0</v>
      </c>
      <c r="AX53" s="20">
        <v>0</v>
      </c>
      <c r="AY53" s="20">
        <v>0</v>
      </c>
      <c r="AZ53" s="20">
        <v>0</v>
      </c>
      <c r="BA53" s="20">
        <v>0</v>
      </c>
      <c r="BB53" s="20">
        <v>0</v>
      </c>
      <c r="BC53" s="20">
        <v>0</v>
      </c>
      <c r="BD53" s="20">
        <v>0</v>
      </c>
      <c r="BE53" s="20">
        <v>0</v>
      </c>
      <c r="BF53" s="20">
        <v>0</v>
      </c>
      <c r="BG53" s="20">
        <v>0</v>
      </c>
      <c r="BH53" s="20">
        <v>0</v>
      </c>
      <c r="BI53" s="20">
        <v>0</v>
      </c>
      <c r="BJ53" s="20">
        <v>0</v>
      </c>
      <c r="BK53" s="20">
        <v>0</v>
      </c>
      <c r="BL53" s="20">
        <v>0</v>
      </c>
      <c r="BM53" s="20">
        <v>0</v>
      </c>
      <c r="BN53" s="20">
        <v>0</v>
      </c>
      <c r="BO53" s="20">
        <v>0</v>
      </c>
      <c r="BP53" s="20">
        <v>0</v>
      </c>
      <c r="BQ53" s="20">
        <v>0</v>
      </c>
      <c r="BR53" s="20">
        <v>0</v>
      </c>
      <c r="BS53" s="20">
        <v>0</v>
      </c>
      <c r="BT53" s="20">
        <v>0</v>
      </c>
      <c r="BU53" s="20">
        <v>0</v>
      </c>
      <c r="BV53" s="20">
        <v>0</v>
      </c>
      <c r="BW53" s="20">
        <v>0</v>
      </c>
      <c r="BX53" s="20">
        <v>0</v>
      </c>
      <c r="BY53" s="20">
        <v>0</v>
      </c>
      <c r="BZ53" s="20">
        <v>0</v>
      </c>
      <c r="CA53" s="20">
        <v>0</v>
      </c>
    </row>
    <row r="54" spans="1:79" x14ac:dyDescent="0.3">
      <c r="A54" s="19"/>
      <c r="B54" s="20" t="str">
        <f t="shared" si="0"/>
        <v>12120001</v>
      </c>
      <c r="C54" s="55" t="str">
        <f t="shared" si="1"/>
        <v>2</v>
      </c>
      <c r="D54" s="55">
        <f t="shared" si="2"/>
        <v>1</v>
      </c>
      <c r="E54" s="49">
        <v>1</v>
      </c>
      <c r="F54" s="20">
        <v>1</v>
      </c>
      <c r="G54" s="20">
        <v>1</v>
      </c>
      <c r="H54" s="20" t="str">
        <f t="shared" si="3"/>
        <v>Item_Name_12120001</v>
      </c>
      <c r="I54" s="20" t="s">
        <v>395</v>
      </c>
      <c r="J54" s="20">
        <v>10102001</v>
      </c>
      <c r="K54" s="20">
        <v>2</v>
      </c>
      <c r="L54" s="20">
        <v>0</v>
      </c>
      <c r="M54" s="20">
        <v>0</v>
      </c>
      <c r="N54" s="20">
        <v>15</v>
      </c>
      <c r="O54" s="20">
        <v>100</v>
      </c>
      <c r="P54" s="20">
        <v>1</v>
      </c>
      <c r="Q54" s="20" t="s">
        <v>396</v>
      </c>
      <c r="R54" s="20" t="s">
        <v>256</v>
      </c>
      <c r="S54" s="20" t="s">
        <v>320</v>
      </c>
      <c r="T54" s="20" t="s">
        <v>330</v>
      </c>
      <c r="U54" s="20">
        <v>8</v>
      </c>
      <c r="V54" s="20">
        <v>16</v>
      </c>
      <c r="W54" s="20">
        <v>0</v>
      </c>
      <c r="X54" s="20">
        <v>0</v>
      </c>
      <c r="Y54" s="20">
        <v>1103</v>
      </c>
      <c r="Z54" s="20">
        <v>1103</v>
      </c>
      <c r="AA54" s="20">
        <v>0</v>
      </c>
      <c r="AB54" s="20">
        <v>0</v>
      </c>
      <c r="AC54" s="20">
        <v>0</v>
      </c>
      <c r="AD54" s="20">
        <v>0</v>
      </c>
      <c r="AE54" s="39">
        <v>0</v>
      </c>
      <c r="AF54" s="31">
        <v>0</v>
      </c>
      <c r="AG54" s="20">
        <v>0</v>
      </c>
      <c r="AH54" s="20">
        <v>0</v>
      </c>
      <c r="AI54" s="20">
        <v>0</v>
      </c>
      <c r="AJ54" s="20">
        <v>0</v>
      </c>
      <c r="AK54" s="20">
        <v>0</v>
      </c>
      <c r="AL54" s="20">
        <v>0</v>
      </c>
      <c r="AM54" s="20">
        <v>0</v>
      </c>
      <c r="AN54" s="20">
        <v>0</v>
      </c>
      <c r="AO54" s="20">
        <v>0</v>
      </c>
      <c r="AP54" s="20">
        <v>0</v>
      </c>
      <c r="AQ54" s="20">
        <v>0</v>
      </c>
      <c r="AR54" s="20">
        <v>0</v>
      </c>
      <c r="AS54" s="20">
        <v>0</v>
      </c>
      <c r="AT54" s="20">
        <v>0</v>
      </c>
      <c r="AU54" s="20">
        <v>0</v>
      </c>
      <c r="AV54" s="20">
        <v>0</v>
      </c>
      <c r="AW54" s="20">
        <v>0</v>
      </c>
      <c r="AX54" s="20">
        <v>0</v>
      </c>
      <c r="AY54" s="20">
        <v>0</v>
      </c>
      <c r="AZ54" s="20">
        <v>0</v>
      </c>
      <c r="BA54" s="20">
        <v>0</v>
      </c>
      <c r="BB54" s="20">
        <v>0</v>
      </c>
      <c r="BC54" s="20">
        <v>0</v>
      </c>
      <c r="BD54" s="20">
        <v>0</v>
      </c>
      <c r="BE54" s="20">
        <v>0</v>
      </c>
      <c r="BF54" s="20">
        <v>0</v>
      </c>
      <c r="BG54" s="20">
        <v>0</v>
      </c>
      <c r="BH54" s="20">
        <v>0</v>
      </c>
      <c r="BI54" s="20">
        <v>0</v>
      </c>
      <c r="BJ54" s="20">
        <v>0</v>
      </c>
      <c r="BK54" s="20">
        <v>0</v>
      </c>
      <c r="BL54" s="20">
        <v>0</v>
      </c>
      <c r="BM54" s="20">
        <v>0</v>
      </c>
      <c r="BN54" s="20">
        <v>0</v>
      </c>
      <c r="BO54" s="20">
        <v>0</v>
      </c>
      <c r="BP54" s="20">
        <v>0</v>
      </c>
      <c r="BQ54" s="20">
        <v>0</v>
      </c>
      <c r="BR54" s="20">
        <v>0</v>
      </c>
      <c r="BS54" s="20">
        <v>0</v>
      </c>
      <c r="BT54" s="20">
        <v>0</v>
      </c>
      <c r="BU54" s="20">
        <v>0</v>
      </c>
      <c r="BV54" s="20">
        <v>0</v>
      </c>
      <c r="BW54" s="20">
        <v>0</v>
      </c>
      <c r="BX54" s="20">
        <v>0</v>
      </c>
      <c r="BY54" s="20">
        <v>0</v>
      </c>
      <c r="BZ54" s="20">
        <v>0</v>
      </c>
      <c r="CA54" s="20">
        <v>0</v>
      </c>
    </row>
    <row r="55" spans="1:79" x14ac:dyDescent="0.3">
      <c r="A55" s="19"/>
      <c r="B55" s="20" t="str">
        <f t="shared" si="0"/>
        <v>12130001</v>
      </c>
      <c r="C55" s="55" t="str">
        <f t="shared" si="1"/>
        <v>2</v>
      </c>
      <c r="D55" s="55">
        <f t="shared" si="2"/>
        <v>1</v>
      </c>
      <c r="E55" s="49">
        <v>1</v>
      </c>
      <c r="F55" s="20">
        <v>1</v>
      </c>
      <c r="G55" s="20">
        <v>1</v>
      </c>
      <c r="H55" s="20" t="str">
        <f t="shared" si="3"/>
        <v>Item_Name_12130001</v>
      </c>
      <c r="I55" s="20" t="s">
        <v>397</v>
      </c>
      <c r="J55" s="20">
        <v>10102001</v>
      </c>
      <c r="K55" s="20">
        <v>3</v>
      </c>
      <c r="L55" s="20">
        <v>0</v>
      </c>
      <c r="M55" s="20">
        <v>0</v>
      </c>
      <c r="N55" s="20">
        <v>15</v>
      </c>
      <c r="O55" s="20">
        <v>100</v>
      </c>
      <c r="P55" s="20">
        <v>1</v>
      </c>
      <c r="Q55" s="20" t="s">
        <v>398</v>
      </c>
      <c r="R55" s="20" t="s">
        <v>257</v>
      </c>
      <c r="S55" s="20" t="s">
        <v>320</v>
      </c>
      <c r="T55" s="20" t="s">
        <v>330</v>
      </c>
      <c r="U55" s="20">
        <v>27</v>
      </c>
      <c r="V55" s="20">
        <v>35</v>
      </c>
      <c r="W55" s="20">
        <v>0</v>
      </c>
      <c r="X55" s="20">
        <v>0</v>
      </c>
      <c r="Y55" s="20">
        <v>1203</v>
      </c>
      <c r="Z55" s="20">
        <v>1103</v>
      </c>
      <c r="AA55" s="20">
        <v>1203</v>
      </c>
      <c r="AB55" s="20">
        <v>0</v>
      </c>
      <c r="AC55" s="20">
        <v>0</v>
      </c>
      <c r="AD55" s="20">
        <v>0</v>
      </c>
      <c r="AE55" s="39">
        <v>0</v>
      </c>
      <c r="AF55" s="31">
        <v>0</v>
      </c>
      <c r="AG55" s="20">
        <v>0</v>
      </c>
      <c r="AH55" s="20">
        <v>0</v>
      </c>
      <c r="AI55" s="20">
        <v>0</v>
      </c>
      <c r="AJ55" s="20">
        <v>0</v>
      </c>
      <c r="AK55" s="20">
        <v>0</v>
      </c>
      <c r="AL55" s="20">
        <v>0</v>
      </c>
      <c r="AM55" s="20">
        <v>0</v>
      </c>
      <c r="AN55" s="20">
        <v>0</v>
      </c>
      <c r="AO55" s="20">
        <v>0</v>
      </c>
      <c r="AP55" s="20">
        <v>0</v>
      </c>
      <c r="AQ55" s="20">
        <v>0</v>
      </c>
      <c r="AR55" s="20">
        <v>0</v>
      </c>
      <c r="AS55" s="20">
        <v>0</v>
      </c>
      <c r="AT55" s="20">
        <v>0</v>
      </c>
      <c r="AU55" s="20">
        <v>0</v>
      </c>
      <c r="AV55" s="20">
        <v>0</v>
      </c>
      <c r="AW55" s="20">
        <v>0</v>
      </c>
      <c r="AX55" s="20">
        <v>0</v>
      </c>
      <c r="AY55" s="20">
        <v>0</v>
      </c>
      <c r="AZ55" s="20">
        <v>0</v>
      </c>
      <c r="BA55" s="20">
        <v>0</v>
      </c>
      <c r="BB55" s="20">
        <v>0</v>
      </c>
      <c r="BC55" s="20">
        <v>0</v>
      </c>
      <c r="BD55" s="20">
        <v>0</v>
      </c>
      <c r="BE55" s="20">
        <v>0</v>
      </c>
      <c r="BF55" s="20">
        <v>0</v>
      </c>
      <c r="BG55" s="20">
        <v>0</v>
      </c>
      <c r="BH55" s="20">
        <v>0</v>
      </c>
      <c r="BI55" s="20">
        <v>0</v>
      </c>
      <c r="BJ55" s="20">
        <v>0</v>
      </c>
      <c r="BK55" s="20">
        <v>0</v>
      </c>
      <c r="BL55" s="20">
        <v>0</v>
      </c>
      <c r="BM55" s="20">
        <v>0</v>
      </c>
      <c r="BN55" s="20">
        <v>0</v>
      </c>
      <c r="BO55" s="20">
        <v>0</v>
      </c>
      <c r="BP55" s="20">
        <v>0</v>
      </c>
      <c r="BQ55" s="20">
        <v>0</v>
      </c>
      <c r="BR55" s="20">
        <v>0</v>
      </c>
      <c r="BS55" s="20">
        <v>0</v>
      </c>
      <c r="BT55" s="20">
        <v>0</v>
      </c>
      <c r="BU55" s="20">
        <v>0</v>
      </c>
      <c r="BV55" s="20">
        <v>0</v>
      </c>
      <c r="BW55" s="20">
        <v>0</v>
      </c>
      <c r="BX55" s="20">
        <v>0</v>
      </c>
      <c r="BY55" s="20">
        <v>0</v>
      </c>
      <c r="BZ55" s="20">
        <v>0</v>
      </c>
      <c r="CA55" s="20">
        <v>0</v>
      </c>
    </row>
    <row r="56" spans="1:79" x14ac:dyDescent="0.3">
      <c r="A56" s="19"/>
      <c r="B56" s="20" t="str">
        <f t="shared" si="0"/>
        <v>12140001</v>
      </c>
      <c r="C56" s="55" t="str">
        <f t="shared" ref="C56" si="14">IF(J56&gt;0,MID(J56,5, 1), 0)</f>
        <v>2</v>
      </c>
      <c r="D56" s="55">
        <f t="shared" ref="D56" si="15">IF(G56&lt;100, G56, G56-100)</f>
        <v>1</v>
      </c>
      <c r="E56" s="49">
        <v>1</v>
      </c>
      <c r="F56" s="57">
        <v>1</v>
      </c>
      <c r="G56" s="57">
        <v>1</v>
      </c>
      <c r="H56" s="57" t="str">
        <f t="shared" si="3"/>
        <v>Item_Name_12140001</v>
      </c>
      <c r="I56" s="57" t="s">
        <v>545</v>
      </c>
      <c r="J56" s="57">
        <v>10102001</v>
      </c>
      <c r="K56" s="57">
        <v>4</v>
      </c>
      <c r="L56" s="57">
        <v>0</v>
      </c>
      <c r="M56" s="57">
        <v>0</v>
      </c>
      <c r="N56" s="57">
        <v>15</v>
      </c>
      <c r="O56" s="57">
        <v>100</v>
      </c>
      <c r="P56" s="57">
        <v>1</v>
      </c>
      <c r="Q56" s="57" t="s">
        <v>718</v>
      </c>
      <c r="R56" s="57" t="s">
        <v>531</v>
      </c>
      <c r="S56" s="57" t="s">
        <v>320</v>
      </c>
      <c r="T56" s="57" t="s">
        <v>330</v>
      </c>
      <c r="U56" s="57">
        <v>42</v>
      </c>
      <c r="V56" s="57">
        <v>84</v>
      </c>
      <c r="W56" s="57">
        <v>0</v>
      </c>
      <c r="X56" s="57">
        <v>0</v>
      </c>
      <c r="Y56" s="57">
        <v>1203</v>
      </c>
      <c r="Z56" s="57">
        <v>1103</v>
      </c>
      <c r="AA56" s="57">
        <v>1203</v>
      </c>
      <c r="AB56" s="57">
        <v>1207</v>
      </c>
      <c r="AC56" s="57">
        <v>0</v>
      </c>
      <c r="AD56" s="57">
        <v>0</v>
      </c>
      <c r="AE56" s="58">
        <v>0</v>
      </c>
      <c r="AF56" s="30">
        <v>0</v>
      </c>
      <c r="AG56" s="57">
        <v>0</v>
      </c>
      <c r="AH56" s="57">
        <v>0</v>
      </c>
      <c r="AI56" s="57">
        <v>0</v>
      </c>
      <c r="AJ56" s="57">
        <v>0</v>
      </c>
      <c r="AK56" s="57">
        <v>0</v>
      </c>
      <c r="AL56" s="57">
        <v>0</v>
      </c>
      <c r="AM56" s="57">
        <v>0</v>
      </c>
      <c r="AN56" s="57">
        <v>0</v>
      </c>
      <c r="AO56" s="57">
        <v>0</v>
      </c>
      <c r="AP56" s="57">
        <v>0</v>
      </c>
      <c r="AQ56" s="57">
        <v>0</v>
      </c>
      <c r="AR56" s="57">
        <v>0</v>
      </c>
      <c r="AS56" s="57">
        <v>0</v>
      </c>
      <c r="AT56" s="57">
        <v>0</v>
      </c>
      <c r="AU56" s="57">
        <v>0</v>
      </c>
      <c r="AV56" s="57">
        <v>0</v>
      </c>
      <c r="AW56" s="57">
        <v>0</v>
      </c>
      <c r="AX56" s="57">
        <v>0</v>
      </c>
      <c r="AY56" s="57">
        <v>0</v>
      </c>
      <c r="AZ56" s="57">
        <v>0</v>
      </c>
      <c r="BA56" s="57">
        <v>0</v>
      </c>
      <c r="BB56" s="57">
        <v>0</v>
      </c>
      <c r="BC56" s="57">
        <v>0</v>
      </c>
      <c r="BD56" s="57">
        <v>0</v>
      </c>
      <c r="BE56" s="57">
        <v>0</v>
      </c>
      <c r="BF56" s="57">
        <v>0</v>
      </c>
      <c r="BG56" s="57">
        <v>0</v>
      </c>
      <c r="BH56" s="57">
        <v>0</v>
      </c>
      <c r="BI56" s="57">
        <v>0</v>
      </c>
      <c r="BJ56" s="57">
        <v>0</v>
      </c>
      <c r="BK56" s="57">
        <v>0</v>
      </c>
      <c r="BL56" s="57">
        <v>0</v>
      </c>
      <c r="BM56" s="57">
        <v>0</v>
      </c>
      <c r="BN56" s="57">
        <v>0</v>
      </c>
      <c r="BO56" s="57">
        <v>0</v>
      </c>
      <c r="BP56" s="57">
        <v>0</v>
      </c>
      <c r="BQ56" s="57">
        <v>0</v>
      </c>
      <c r="BR56" s="57">
        <v>0</v>
      </c>
      <c r="BS56" s="57">
        <v>0</v>
      </c>
      <c r="BT56" s="57">
        <v>0</v>
      </c>
      <c r="BU56" s="57">
        <v>0</v>
      </c>
      <c r="BV56" s="57">
        <v>0</v>
      </c>
      <c r="BW56" s="57">
        <v>0</v>
      </c>
      <c r="BX56" s="57">
        <v>0</v>
      </c>
      <c r="BY56" s="57">
        <v>0</v>
      </c>
      <c r="BZ56" s="57">
        <v>0</v>
      </c>
      <c r="CA56" s="57">
        <v>0</v>
      </c>
    </row>
    <row r="57" spans="1:79" x14ac:dyDescent="0.3">
      <c r="A57" s="19"/>
      <c r="B57" s="20" t="str">
        <f t="shared" si="0"/>
        <v>13110001</v>
      </c>
      <c r="C57" s="55" t="str">
        <f t="shared" si="1"/>
        <v>3</v>
      </c>
      <c r="D57" s="55">
        <f t="shared" si="2"/>
        <v>1</v>
      </c>
      <c r="E57" s="49">
        <v>1</v>
      </c>
      <c r="F57" s="20">
        <v>1</v>
      </c>
      <c r="G57" s="20">
        <v>1</v>
      </c>
      <c r="H57" s="20" t="str">
        <f t="shared" si="3"/>
        <v>Item_Name_13110001</v>
      </c>
      <c r="I57" s="20" t="s">
        <v>694</v>
      </c>
      <c r="J57" s="20">
        <v>10103001</v>
      </c>
      <c r="K57" s="20">
        <v>1</v>
      </c>
      <c r="L57" s="20">
        <v>0</v>
      </c>
      <c r="M57" s="20">
        <v>0</v>
      </c>
      <c r="N57" s="20">
        <v>15</v>
      </c>
      <c r="O57" s="20">
        <v>100</v>
      </c>
      <c r="P57" s="20">
        <v>1</v>
      </c>
      <c r="Q57" s="20" t="s">
        <v>300</v>
      </c>
      <c r="R57" s="20" t="s">
        <v>171</v>
      </c>
      <c r="S57" s="20" t="s">
        <v>525</v>
      </c>
      <c r="T57" s="20" t="s">
        <v>330</v>
      </c>
      <c r="U57" s="20">
        <v>2</v>
      </c>
      <c r="V57" s="20">
        <v>4</v>
      </c>
      <c r="W57" s="20">
        <v>0</v>
      </c>
      <c r="X57" s="20">
        <v>0</v>
      </c>
      <c r="Y57" s="20">
        <v>1002</v>
      </c>
      <c r="Z57" s="20">
        <v>0</v>
      </c>
      <c r="AA57" s="20">
        <v>0</v>
      </c>
      <c r="AB57" s="20">
        <v>0</v>
      </c>
      <c r="AC57" s="20">
        <v>0</v>
      </c>
      <c r="AD57" s="20">
        <v>0</v>
      </c>
      <c r="AE57" s="39">
        <v>0</v>
      </c>
      <c r="AF57" s="31">
        <v>0</v>
      </c>
      <c r="AG57" s="20">
        <v>0</v>
      </c>
      <c r="AH57" s="20">
        <v>0</v>
      </c>
      <c r="AI57" s="20">
        <v>0</v>
      </c>
      <c r="AJ57" s="20">
        <v>0</v>
      </c>
      <c r="AK57" s="20">
        <v>0</v>
      </c>
      <c r="AL57" s="20">
        <v>0</v>
      </c>
      <c r="AM57" s="20">
        <v>0</v>
      </c>
      <c r="AN57" s="20">
        <v>0</v>
      </c>
      <c r="AO57" s="20">
        <v>0</v>
      </c>
      <c r="AP57" s="20">
        <v>0</v>
      </c>
      <c r="AQ57" s="20">
        <v>0</v>
      </c>
      <c r="AR57" s="20">
        <v>0</v>
      </c>
      <c r="AS57" s="20">
        <v>0</v>
      </c>
      <c r="AT57" s="20">
        <v>0</v>
      </c>
      <c r="AU57" s="20">
        <v>0</v>
      </c>
      <c r="AV57" s="20">
        <v>0</v>
      </c>
      <c r="AW57" s="20">
        <v>0</v>
      </c>
      <c r="AX57" s="20">
        <v>0</v>
      </c>
      <c r="AY57" s="20">
        <v>0</v>
      </c>
      <c r="AZ57" s="20">
        <v>0</v>
      </c>
      <c r="BA57" s="20">
        <v>0</v>
      </c>
      <c r="BB57" s="20">
        <v>0</v>
      </c>
      <c r="BC57" s="20">
        <v>0</v>
      </c>
      <c r="BD57" s="20">
        <v>0</v>
      </c>
      <c r="BE57" s="20">
        <v>0</v>
      </c>
      <c r="BF57" s="20">
        <v>0</v>
      </c>
      <c r="BG57" s="20">
        <v>0</v>
      </c>
      <c r="BH57" s="20">
        <v>0</v>
      </c>
      <c r="BI57" s="20">
        <v>0</v>
      </c>
      <c r="BJ57" s="20">
        <v>0</v>
      </c>
      <c r="BK57" s="20">
        <v>0</v>
      </c>
      <c r="BL57" s="20">
        <v>0</v>
      </c>
      <c r="BM57" s="20">
        <v>0</v>
      </c>
      <c r="BN57" s="20">
        <v>0</v>
      </c>
      <c r="BO57" s="20">
        <v>0</v>
      </c>
      <c r="BP57" s="20">
        <v>0</v>
      </c>
      <c r="BQ57" s="20">
        <v>0</v>
      </c>
      <c r="BR57" s="20">
        <v>0</v>
      </c>
      <c r="BS57" s="20">
        <v>0</v>
      </c>
      <c r="BT57" s="20">
        <v>0</v>
      </c>
      <c r="BU57" s="20">
        <v>0</v>
      </c>
      <c r="BV57" s="20">
        <v>0</v>
      </c>
      <c r="BW57" s="20">
        <v>0</v>
      </c>
      <c r="BX57" s="20">
        <v>0</v>
      </c>
      <c r="BY57" s="20">
        <v>0</v>
      </c>
      <c r="BZ57" s="20">
        <v>0</v>
      </c>
      <c r="CA57" s="20">
        <v>0</v>
      </c>
    </row>
    <row r="58" spans="1:79" x14ac:dyDescent="0.3">
      <c r="A58" s="19"/>
      <c r="B58" s="20" t="str">
        <f t="shared" si="0"/>
        <v>13120001</v>
      </c>
      <c r="C58" s="55" t="str">
        <f t="shared" ref="C58:C60" si="16">IF(J58&gt;0,MID(J58,5, 1), 0)</f>
        <v>3</v>
      </c>
      <c r="D58" s="55">
        <f t="shared" ref="D58:D60" si="17">IF(G58&lt;100, G58, G58-100)</f>
        <v>1</v>
      </c>
      <c r="E58" s="49">
        <v>1</v>
      </c>
      <c r="F58" s="57">
        <v>1</v>
      </c>
      <c r="G58" s="57">
        <v>1</v>
      </c>
      <c r="H58" s="57" t="str">
        <f t="shared" si="3"/>
        <v>Item_Name_13120001</v>
      </c>
      <c r="I58" s="57" t="s">
        <v>707</v>
      </c>
      <c r="J58" s="57">
        <v>10103001</v>
      </c>
      <c r="K58" s="57">
        <v>2</v>
      </c>
      <c r="L58" s="57">
        <v>0</v>
      </c>
      <c r="M58" s="57">
        <v>0</v>
      </c>
      <c r="N58" s="57">
        <v>15</v>
      </c>
      <c r="O58" s="57">
        <v>100</v>
      </c>
      <c r="P58" s="57">
        <v>1</v>
      </c>
      <c r="Q58" s="57" t="s">
        <v>710</v>
      </c>
      <c r="R58" s="57" t="s">
        <v>542</v>
      </c>
      <c r="S58" s="57" t="s">
        <v>525</v>
      </c>
      <c r="T58" s="57" t="s">
        <v>330</v>
      </c>
      <c r="U58" s="57">
        <v>2</v>
      </c>
      <c r="V58" s="57">
        <v>4</v>
      </c>
      <c r="W58" s="57">
        <v>0</v>
      </c>
      <c r="X58" s="57">
        <v>0</v>
      </c>
      <c r="Y58" s="57">
        <v>1002</v>
      </c>
      <c r="Z58" s="57">
        <v>1102</v>
      </c>
      <c r="AA58" s="57">
        <v>0</v>
      </c>
      <c r="AB58" s="57">
        <v>0</v>
      </c>
      <c r="AC58" s="57">
        <v>0</v>
      </c>
      <c r="AD58" s="57">
        <v>0</v>
      </c>
      <c r="AE58" s="58">
        <v>0</v>
      </c>
      <c r="AF58" s="30">
        <v>0</v>
      </c>
      <c r="AG58" s="57">
        <v>0</v>
      </c>
      <c r="AH58" s="57">
        <v>0</v>
      </c>
      <c r="AI58" s="57">
        <v>0</v>
      </c>
      <c r="AJ58" s="57">
        <v>0</v>
      </c>
      <c r="AK58" s="57">
        <v>0</v>
      </c>
      <c r="AL58" s="57">
        <v>0</v>
      </c>
      <c r="AM58" s="57">
        <v>0</v>
      </c>
      <c r="AN58" s="57">
        <v>0</v>
      </c>
      <c r="AO58" s="57">
        <v>0</v>
      </c>
      <c r="AP58" s="57">
        <v>0</v>
      </c>
      <c r="AQ58" s="57">
        <v>0</v>
      </c>
      <c r="AR58" s="57">
        <v>0</v>
      </c>
      <c r="AS58" s="57">
        <v>0</v>
      </c>
      <c r="AT58" s="57">
        <v>0</v>
      </c>
      <c r="AU58" s="57">
        <v>0</v>
      </c>
      <c r="AV58" s="57">
        <v>0</v>
      </c>
      <c r="AW58" s="57">
        <v>0</v>
      </c>
      <c r="AX58" s="57">
        <v>0</v>
      </c>
      <c r="AY58" s="57">
        <v>0</v>
      </c>
      <c r="AZ58" s="57">
        <v>0</v>
      </c>
      <c r="BA58" s="57">
        <v>0</v>
      </c>
      <c r="BB58" s="57">
        <v>0</v>
      </c>
      <c r="BC58" s="57">
        <v>0</v>
      </c>
      <c r="BD58" s="57">
        <v>0</v>
      </c>
      <c r="BE58" s="57">
        <v>0</v>
      </c>
      <c r="BF58" s="57">
        <v>0</v>
      </c>
      <c r="BG58" s="57">
        <v>0</v>
      </c>
      <c r="BH58" s="57">
        <v>0</v>
      </c>
      <c r="BI58" s="57">
        <v>0</v>
      </c>
      <c r="BJ58" s="57">
        <v>0</v>
      </c>
      <c r="BK58" s="57">
        <v>0</v>
      </c>
      <c r="BL58" s="57">
        <v>0</v>
      </c>
      <c r="BM58" s="57">
        <v>0</v>
      </c>
      <c r="BN58" s="57">
        <v>0</v>
      </c>
      <c r="BO58" s="57">
        <v>0</v>
      </c>
      <c r="BP58" s="57">
        <v>0</v>
      </c>
      <c r="BQ58" s="57">
        <v>0</v>
      </c>
      <c r="BR58" s="57">
        <v>0</v>
      </c>
      <c r="BS58" s="57">
        <v>0</v>
      </c>
      <c r="BT58" s="57">
        <v>0</v>
      </c>
      <c r="BU58" s="57">
        <v>0</v>
      </c>
      <c r="BV58" s="57">
        <v>0</v>
      </c>
      <c r="BW58" s="57">
        <v>0</v>
      </c>
      <c r="BX58" s="57">
        <v>0</v>
      </c>
      <c r="BY58" s="57">
        <v>0</v>
      </c>
      <c r="BZ58" s="57">
        <v>0</v>
      </c>
      <c r="CA58" s="57">
        <v>0</v>
      </c>
    </row>
    <row r="59" spans="1:79" x14ac:dyDescent="0.3">
      <c r="A59" s="19"/>
      <c r="B59" s="20" t="str">
        <f t="shared" si="0"/>
        <v>13130001</v>
      </c>
      <c r="C59" s="55" t="str">
        <f t="shared" si="16"/>
        <v>3</v>
      </c>
      <c r="D59" s="55">
        <f t="shared" si="17"/>
        <v>1</v>
      </c>
      <c r="E59" s="49">
        <v>1</v>
      </c>
      <c r="F59" s="57">
        <v>1</v>
      </c>
      <c r="G59" s="57">
        <v>1</v>
      </c>
      <c r="H59" s="57" t="str">
        <f t="shared" si="3"/>
        <v>Item_Name_13130001</v>
      </c>
      <c r="I59" s="57" t="s">
        <v>708</v>
      </c>
      <c r="J59" s="57">
        <v>10103001</v>
      </c>
      <c r="K59" s="57">
        <v>3</v>
      </c>
      <c r="L59" s="57">
        <v>0</v>
      </c>
      <c r="M59" s="57">
        <v>0</v>
      </c>
      <c r="N59" s="57">
        <v>15</v>
      </c>
      <c r="O59" s="57">
        <v>100</v>
      </c>
      <c r="P59" s="57">
        <v>1</v>
      </c>
      <c r="Q59" s="57" t="s">
        <v>711</v>
      </c>
      <c r="R59" s="57" t="s">
        <v>543</v>
      </c>
      <c r="S59" s="57" t="s">
        <v>525</v>
      </c>
      <c r="T59" s="57" t="s">
        <v>330</v>
      </c>
      <c r="U59" s="57">
        <v>2</v>
      </c>
      <c r="V59" s="57">
        <v>4</v>
      </c>
      <c r="W59" s="57">
        <v>0</v>
      </c>
      <c r="X59" s="57">
        <v>0</v>
      </c>
      <c r="Y59" s="57">
        <v>1002</v>
      </c>
      <c r="Z59" s="57">
        <v>1102</v>
      </c>
      <c r="AA59" s="57">
        <v>1202</v>
      </c>
      <c r="AB59" s="57">
        <v>0</v>
      </c>
      <c r="AC59" s="57">
        <v>0</v>
      </c>
      <c r="AD59" s="57">
        <v>0</v>
      </c>
      <c r="AE59" s="58">
        <v>0</v>
      </c>
      <c r="AF59" s="30">
        <v>0</v>
      </c>
      <c r="AG59" s="57">
        <v>0</v>
      </c>
      <c r="AH59" s="57">
        <v>0</v>
      </c>
      <c r="AI59" s="57">
        <v>0</v>
      </c>
      <c r="AJ59" s="57">
        <v>0</v>
      </c>
      <c r="AK59" s="57">
        <v>0</v>
      </c>
      <c r="AL59" s="57">
        <v>0</v>
      </c>
      <c r="AM59" s="57">
        <v>0</v>
      </c>
      <c r="AN59" s="57">
        <v>0</v>
      </c>
      <c r="AO59" s="57">
        <v>0</v>
      </c>
      <c r="AP59" s="57">
        <v>0</v>
      </c>
      <c r="AQ59" s="57">
        <v>0</v>
      </c>
      <c r="AR59" s="57">
        <v>0</v>
      </c>
      <c r="AS59" s="57">
        <v>0</v>
      </c>
      <c r="AT59" s="57">
        <v>0</v>
      </c>
      <c r="AU59" s="57">
        <v>0</v>
      </c>
      <c r="AV59" s="57">
        <v>0</v>
      </c>
      <c r="AW59" s="57">
        <v>0</v>
      </c>
      <c r="AX59" s="57">
        <v>0</v>
      </c>
      <c r="AY59" s="57">
        <v>0</v>
      </c>
      <c r="AZ59" s="57">
        <v>0</v>
      </c>
      <c r="BA59" s="57">
        <v>0</v>
      </c>
      <c r="BB59" s="57">
        <v>0</v>
      </c>
      <c r="BC59" s="57">
        <v>0</v>
      </c>
      <c r="BD59" s="57">
        <v>0</v>
      </c>
      <c r="BE59" s="57">
        <v>0</v>
      </c>
      <c r="BF59" s="57">
        <v>0</v>
      </c>
      <c r="BG59" s="57">
        <v>0</v>
      </c>
      <c r="BH59" s="57">
        <v>0</v>
      </c>
      <c r="BI59" s="57">
        <v>0</v>
      </c>
      <c r="BJ59" s="57">
        <v>0</v>
      </c>
      <c r="BK59" s="57">
        <v>0</v>
      </c>
      <c r="BL59" s="57">
        <v>0</v>
      </c>
      <c r="BM59" s="57">
        <v>0</v>
      </c>
      <c r="BN59" s="57">
        <v>0</v>
      </c>
      <c r="BO59" s="57">
        <v>0</v>
      </c>
      <c r="BP59" s="57">
        <v>0</v>
      </c>
      <c r="BQ59" s="57">
        <v>0</v>
      </c>
      <c r="BR59" s="57">
        <v>0</v>
      </c>
      <c r="BS59" s="57">
        <v>0</v>
      </c>
      <c r="BT59" s="57">
        <v>0</v>
      </c>
      <c r="BU59" s="57">
        <v>0</v>
      </c>
      <c r="BV59" s="57">
        <v>0</v>
      </c>
      <c r="BW59" s="57">
        <v>0</v>
      </c>
      <c r="BX59" s="57">
        <v>0</v>
      </c>
      <c r="BY59" s="57">
        <v>0</v>
      </c>
      <c r="BZ59" s="57">
        <v>0</v>
      </c>
      <c r="CA59" s="57">
        <v>0</v>
      </c>
    </row>
    <row r="60" spans="1:79" x14ac:dyDescent="0.3">
      <c r="A60" s="19"/>
      <c r="B60" s="20" t="str">
        <f t="shared" si="0"/>
        <v>13140001</v>
      </c>
      <c r="C60" s="55" t="str">
        <f t="shared" si="16"/>
        <v>3</v>
      </c>
      <c r="D60" s="55">
        <f t="shared" si="17"/>
        <v>1</v>
      </c>
      <c r="E60" s="49">
        <v>1</v>
      </c>
      <c r="F60" s="57">
        <v>1</v>
      </c>
      <c r="G60" s="57">
        <v>1</v>
      </c>
      <c r="H60" s="57" t="str">
        <f t="shared" si="3"/>
        <v>Item_Name_13140001</v>
      </c>
      <c r="I60" s="57" t="s">
        <v>709</v>
      </c>
      <c r="J60" s="57">
        <v>10103001</v>
      </c>
      <c r="K60" s="57">
        <v>4</v>
      </c>
      <c r="L60" s="57">
        <v>0</v>
      </c>
      <c r="M60" s="57">
        <v>0</v>
      </c>
      <c r="N60" s="57">
        <v>15</v>
      </c>
      <c r="O60" s="57">
        <v>100</v>
      </c>
      <c r="P60" s="57">
        <v>1</v>
      </c>
      <c r="Q60" s="57" t="s">
        <v>712</v>
      </c>
      <c r="R60" s="57" t="s">
        <v>531</v>
      </c>
      <c r="S60" s="57" t="s">
        <v>525</v>
      </c>
      <c r="T60" s="57" t="s">
        <v>330</v>
      </c>
      <c r="U60" s="57">
        <v>2</v>
      </c>
      <c r="V60" s="57">
        <v>4</v>
      </c>
      <c r="W60" s="57">
        <v>0</v>
      </c>
      <c r="X60" s="57">
        <v>0</v>
      </c>
      <c r="Y60" s="57">
        <v>1002</v>
      </c>
      <c r="Z60" s="57">
        <v>1102</v>
      </c>
      <c r="AA60" s="57">
        <v>1202</v>
      </c>
      <c r="AB60" s="57">
        <v>1206</v>
      </c>
      <c r="AC60" s="57">
        <v>0</v>
      </c>
      <c r="AD60" s="57">
        <v>0</v>
      </c>
      <c r="AE60" s="58">
        <v>0</v>
      </c>
      <c r="AF60" s="30">
        <v>0</v>
      </c>
      <c r="AG60" s="57">
        <v>0</v>
      </c>
      <c r="AH60" s="57">
        <v>0</v>
      </c>
      <c r="AI60" s="57">
        <v>0</v>
      </c>
      <c r="AJ60" s="57">
        <v>0</v>
      </c>
      <c r="AK60" s="57">
        <v>0</v>
      </c>
      <c r="AL60" s="57">
        <v>0</v>
      </c>
      <c r="AM60" s="57">
        <v>0</v>
      </c>
      <c r="AN60" s="57">
        <v>0</v>
      </c>
      <c r="AO60" s="57">
        <v>0</v>
      </c>
      <c r="AP60" s="57">
        <v>0</v>
      </c>
      <c r="AQ60" s="57">
        <v>0</v>
      </c>
      <c r="AR60" s="57">
        <v>0</v>
      </c>
      <c r="AS60" s="57">
        <v>0</v>
      </c>
      <c r="AT60" s="57">
        <v>0</v>
      </c>
      <c r="AU60" s="57">
        <v>0</v>
      </c>
      <c r="AV60" s="57">
        <v>0</v>
      </c>
      <c r="AW60" s="57">
        <v>0</v>
      </c>
      <c r="AX60" s="57">
        <v>0</v>
      </c>
      <c r="AY60" s="57">
        <v>0</v>
      </c>
      <c r="AZ60" s="57">
        <v>0</v>
      </c>
      <c r="BA60" s="57">
        <v>0</v>
      </c>
      <c r="BB60" s="57">
        <v>0</v>
      </c>
      <c r="BC60" s="57">
        <v>0</v>
      </c>
      <c r="BD60" s="57">
        <v>0</v>
      </c>
      <c r="BE60" s="57">
        <v>0</v>
      </c>
      <c r="BF60" s="57">
        <v>0</v>
      </c>
      <c r="BG60" s="57">
        <v>0</v>
      </c>
      <c r="BH60" s="57">
        <v>0</v>
      </c>
      <c r="BI60" s="57">
        <v>0</v>
      </c>
      <c r="BJ60" s="57">
        <v>0</v>
      </c>
      <c r="BK60" s="57">
        <v>0</v>
      </c>
      <c r="BL60" s="57">
        <v>0</v>
      </c>
      <c r="BM60" s="57">
        <v>0</v>
      </c>
      <c r="BN60" s="57">
        <v>0</v>
      </c>
      <c r="BO60" s="57">
        <v>0</v>
      </c>
      <c r="BP60" s="57">
        <v>0</v>
      </c>
      <c r="BQ60" s="57">
        <v>0</v>
      </c>
      <c r="BR60" s="57">
        <v>0</v>
      </c>
      <c r="BS60" s="57">
        <v>0</v>
      </c>
      <c r="BT60" s="57">
        <v>0</v>
      </c>
      <c r="BU60" s="57">
        <v>0</v>
      </c>
      <c r="BV60" s="57">
        <v>0</v>
      </c>
      <c r="BW60" s="57">
        <v>0</v>
      </c>
      <c r="BX60" s="57">
        <v>0</v>
      </c>
      <c r="BY60" s="57">
        <v>0</v>
      </c>
      <c r="BZ60" s="57">
        <v>0</v>
      </c>
      <c r="CA60" s="57">
        <v>0</v>
      </c>
    </row>
    <row r="61" spans="1:79" x14ac:dyDescent="0.3">
      <c r="A61" s="19"/>
      <c r="B61" s="20" t="str">
        <f t="shared" si="0"/>
        <v>14110001</v>
      </c>
      <c r="C61" s="55" t="str">
        <f t="shared" si="1"/>
        <v>4</v>
      </c>
      <c r="D61" s="55">
        <f t="shared" si="2"/>
        <v>1</v>
      </c>
      <c r="E61" s="49">
        <v>1</v>
      </c>
      <c r="F61" s="20">
        <v>1</v>
      </c>
      <c r="G61" s="20">
        <v>1</v>
      </c>
      <c r="H61" s="20" t="str">
        <f t="shared" si="3"/>
        <v>Item_Name_14110001</v>
      </c>
      <c r="I61" s="20" t="s">
        <v>546</v>
      </c>
      <c r="J61" s="20">
        <v>10104001</v>
      </c>
      <c r="K61" s="20">
        <v>1</v>
      </c>
      <c r="L61" s="20">
        <v>0</v>
      </c>
      <c r="M61" s="20">
        <v>0</v>
      </c>
      <c r="N61" s="20">
        <v>15</v>
      </c>
      <c r="O61" s="20">
        <v>100</v>
      </c>
      <c r="P61" s="20">
        <v>1</v>
      </c>
      <c r="Q61" s="20" t="s">
        <v>307</v>
      </c>
      <c r="R61" s="20" t="s">
        <v>171</v>
      </c>
      <c r="S61" s="20" t="s">
        <v>526</v>
      </c>
      <c r="T61" s="20" t="s">
        <v>330</v>
      </c>
      <c r="U61" s="20">
        <v>0</v>
      </c>
      <c r="V61" s="20">
        <v>0</v>
      </c>
      <c r="W61" s="20">
        <v>1001</v>
      </c>
      <c r="X61" s="20">
        <v>1002</v>
      </c>
      <c r="Y61" s="20">
        <v>1002</v>
      </c>
      <c r="Z61" s="20">
        <v>0</v>
      </c>
      <c r="AA61" s="20">
        <v>0</v>
      </c>
      <c r="AB61" s="20">
        <v>0</v>
      </c>
      <c r="AC61" s="20">
        <v>0</v>
      </c>
      <c r="AD61" s="20">
        <v>0</v>
      </c>
      <c r="AE61" s="39">
        <v>0</v>
      </c>
      <c r="AF61" s="31">
        <v>0</v>
      </c>
      <c r="AG61" s="20">
        <v>0</v>
      </c>
      <c r="AH61" s="20">
        <v>0</v>
      </c>
      <c r="AI61" s="20">
        <v>0</v>
      </c>
      <c r="AJ61" s="20">
        <v>0</v>
      </c>
      <c r="AK61" s="20">
        <v>0</v>
      </c>
      <c r="AL61" s="20">
        <v>0</v>
      </c>
      <c r="AM61" s="20">
        <v>0</v>
      </c>
      <c r="AN61" s="20">
        <v>0</v>
      </c>
      <c r="AO61" s="20">
        <v>0</v>
      </c>
      <c r="AP61" s="20">
        <v>0</v>
      </c>
      <c r="AQ61" s="20">
        <v>0</v>
      </c>
      <c r="AR61" s="20">
        <v>0</v>
      </c>
      <c r="AS61" s="20">
        <v>0</v>
      </c>
      <c r="AT61" s="20">
        <v>0</v>
      </c>
      <c r="AU61" s="20">
        <v>0</v>
      </c>
      <c r="AV61" s="20">
        <v>0</v>
      </c>
      <c r="AW61" s="20">
        <v>0</v>
      </c>
      <c r="AX61" s="20">
        <v>0</v>
      </c>
      <c r="AY61" s="20">
        <v>0</v>
      </c>
      <c r="AZ61" s="20">
        <v>0</v>
      </c>
      <c r="BA61" s="20">
        <v>0</v>
      </c>
      <c r="BB61" s="20">
        <v>0</v>
      </c>
      <c r="BC61" s="20">
        <v>0</v>
      </c>
      <c r="BD61" s="20">
        <v>0</v>
      </c>
      <c r="BE61" s="20">
        <v>0</v>
      </c>
      <c r="BF61" s="20">
        <v>0</v>
      </c>
      <c r="BG61" s="20">
        <v>0</v>
      </c>
      <c r="BH61" s="20">
        <v>0</v>
      </c>
      <c r="BI61" s="20">
        <v>0</v>
      </c>
      <c r="BJ61" s="20">
        <v>0</v>
      </c>
      <c r="BK61" s="20">
        <v>0</v>
      </c>
      <c r="BL61" s="20">
        <v>0</v>
      </c>
      <c r="BM61" s="20">
        <v>0</v>
      </c>
      <c r="BN61" s="20">
        <v>0</v>
      </c>
      <c r="BO61" s="20">
        <v>0</v>
      </c>
      <c r="BP61" s="20">
        <v>0</v>
      </c>
      <c r="BQ61" s="20">
        <v>0</v>
      </c>
      <c r="BR61" s="20">
        <v>0</v>
      </c>
      <c r="BS61" s="20">
        <v>0</v>
      </c>
      <c r="BT61" s="20">
        <v>0</v>
      </c>
      <c r="BU61" s="20">
        <v>0</v>
      </c>
      <c r="BV61" s="20">
        <v>0</v>
      </c>
      <c r="BW61" s="20">
        <v>0</v>
      </c>
      <c r="BX61" s="20">
        <v>0</v>
      </c>
      <c r="BY61" s="20">
        <v>0</v>
      </c>
      <c r="BZ61" s="20">
        <v>0</v>
      </c>
      <c r="CA61" s="20">
        <v>0</v>
      </c>
    </row>
    <row r="62" spans="1:79" x14ac:dyDescent="0.3">
      <c r="A62" s="19"/>
      <c r="B62" s="20" t="str">
        <f t="shared" si="0"/>
        <v>14120001</v>
      </c>
      <c r="C62" s="55" t="str">
        <f t="shared" ref="C62:C64" si="18">IF(J62&gt;0,MID(J62,5, 1), 0)</f>
        <v>4</v>
      </c>
      <c r="D62" s="55">
        <f t="shared" ref="D62:D64" si="19">IF(G62&lt;100, G62, G62-100)</f>
        <v>1</v>
      </c>
      <c r="E62" s="49">
        <v>1</v>
      </c>
      <c r="F62" s="57">
        <v>1</v>
      </c>
      <c r="G62" s="57">
        <v>1</v>
      </c>
      <c r="H62" s="57" t="str">
        <f t="shared" si="3"/>
        <v>Item_Name_14120001</v>
      </c>
      <c r="I62" s="57" t="s">
        <v>547</v>
      </c>
      <c r="J62" s="57">
        <v>10104001</v>
      </c>
      <c r="K62" s="57">
        <v>2</v>
      </c>
      <c r="L62" s="57">
        <v>0</v>
      </c>
      <c r="M62" s="57">
        <v>0</v>
      </c>
      <c r="N62" s="57">
        <v>15</v>
      </c>
      <c r="O62" s="57">
        <v>100</v>
      </c>
      <c r="P62" s="57">
        <v>1</v>
      </c>
      <c r="Q62" s="57" t="s">
        <v>715</v>
      </c>
      <c r="R62" s="57" t="s">
        <v>542</v>
      </c>
      <c r="S62" s="57" t="s">
        <v>526</v>
      </c>
      <c r="T62" s="57" t="s">
        <v>330</v>
      </c>
      <c r="U62" s="57">
        <v>0</v>
      </c>
      <c r="V62" s="57">
        <v>0</v>
      </c>
      <c r="W62" s="57">
        <v>1001</v>
      </c>
      <c r="X62" s="57">
        <v>1003</v>
      </c>
      <c r="Y62" s="57">
        <v>1002</v>
      </c>
      <c r="Z62" s="57">
        <v>1102</v>
      </c>
      <c r="AA62" s="57">
        <v>0</v>
      </c>
      <c r="AB62" s="57">
        <v>0</v>
      </c>
      <c r="AC62" s="57">
        <v>0</v>
      </c>
      <c r="AD62" s="57">
        <v>0</v>
      </c>
      <c r="AE62" s="58">
        <v>0</v>
      </c>
      <c r="AF62" s="30">
        <v>0</v>
      </c>
      <c r="AG62" s="57">
        <v>0</v>
      </c>
      <c r="AH62" s="57">
        <v>0</v>
      </c>
      <c r="AI62" s="57">
        <v>0</v>
      </c>
      <c r="AJ62" s="57">
        <v>0</v>
      </c>
      <c r="AK62" s="57">
        <v>0</v>
      </c>
      <c r="AL62" s="57">
        <v>0</v>
      </c>
      <c r="AM62" s="57">
        <v>0</v>
      </c>
      <c r="AN62" s="57">
        <v>0</v>
      </c>
      <c r="AO62" s="57">
        <v>0</v>
      </c>
      <c r="AP62" s="57">
        <v>0</v>
      </c>
      <c r="AQ62" s="57">
        <v>0</v>
      </c>
      <c r="AR62" s="57">
        <v>0</v>
      </c>
      <c r="AS62" s="57">
        <v>0</v>
      </c>
      <c r="AT62" s="57">
        <v>0</v>
      </c>
      <c r="AU62" s="57">
        <v>0</v>
      </c>
      <c r="AV62" s="57">
        <v>0</v>
      </c>
      <c r="AW62" s="57">
        <v>0</v>
      </c>
      <c r="AX62" s="57">
        <v>0</v>
      </c>
      <c r="AY62" s="57">
        <v>0</v>
      </c>
      <c r="AZ62" s="57">
        <v>0</v>
      </c>
      <c r="BA62" s="57">
        <v>0</v>
      </c>
      <c r="BB62" s="57">
        <v>0</v>
      </c>
      <c r="BC62" s="57">
        <v>0</v>
      </c>
      <c r="BD62" s="57">
        <v>0</v>
      </c>
      <c r="BE62" s="57">
        <v>0</v>
      </c>
      <c r="BF62" s="57">
        <v>0</v>
      </c>
      <c r="BG62" s="57">
        <v>0</v>
      </c>
      <c r="BH62" s="57">
        <v>0</v>
      </c>
      <c r="BI62" s="57">
        <v>0</v>
      </c>
      <c r="BJ62" s="57">
        <v>0</v>
      </c>
      <c r="BK62" s="57">
        <v>0</v>
      </c>
      <c r="BL62" s="57">
        <v>0</v>
      </c>
      <c r="BM62" s="57">
        <v>0</v>
      </c>
      <c r="BN62" s="57">
        <v>0</v>
      </c>
      <c r="BO62" s="57">
        <v>0</v>
      </c>
      <c r="BP62" s="57">
        <v>0</v>
      </c>
      <c r="BQ62" s="57">
        <v>0</v>
      </c>
      <c r="BR62" s="57">
        <v>0</v>
      </c>
      <c r="BS62" s="57">
        <v>0</v>
      </c>
      <c r="BT62" s="57">
        <v>0</v>
      </c>
      <c r="BU62" s="57">
        <v>0</v>
      </c>
      <c r="BV62" s="57">
        <v>0</v>
      </c>
      <c r="BW62" s="57">
        <v>0</v>
      </c>
      <c r="BX62" s="57">
        <v>0</v>
      </c>
      <c r="BY62" s="57">
        <v>0</v>
      </c>
      <c r="BZ62" s="57">
        <v>0</v>
      </c>
      <c r="CA62" s="57">
        <v>0</v>
      </c>
    </row>
    <row r="63" spans="1:79" x14ac:dyDescent="0.3">
      <c r="A63" s="19"/>
      <c r="B63" s="20" t="str">
        <f t="shared" si="0"/>
        <v>14130001</v>
      </c>
      <c r="C63" s="55" t="str">
        <f t="shared" si="18"/>
        <v>4</v>
      </c>
      <c r="D63" s="55">
        <f t="shared" si="19"/>
        <v>1</v>
      </c>
      <c r="E63" s="49">
        <v>1</v>
      </c>
      <c r="F63" s="57">
        <v>1</v>
      </c>
      <c r="G63" s="57">
        <v>1</v>
      </c>
      <c r="H63" s="57" t="str">
        <f t="shared" si="3"/>
        <v>Item_Name_14130001</v>
      </c>
      <c r="I63" s="57" t="s">
        <v>548</v>
      </c>
      <c r="J63" s="57">
        <v>10104001</v>
      </c>
      <c r="K63" s="57">
        <v>3</v>
      </c>
      <c r="L63" s="57">
        <v>0</v>
      </c>
      <c r="M63" s="57">
        <v>0</v>
      </c>
      <c r="N63" s="57">
        <v>15</v>
      </c>
      <c r="O63" s="57">
        <v>100</v>
      </c>
      <c r="P63" s="57">
        <v>1</v>
      </c>
      <c r="Q63" s="57" t="s">
        <v>716</v>
      </c>
      <c r="R63" s="57" t="s">
        <v>543</v>
      </c>
      <c r="S63" s="57" t="s">
        <v>526</v>
      </c>
      <c r="T63" s="57" t="s">
        <v>330</v>
      </c>
      <c r="U63" s="57">
        <v>0</v>
      </c>
      <c r="V63" s="57">
        <v>0</v>
      </c>
      <c r="W63" s="57">
        <v>1001</v>
      </c>
      <c r="X63" s="57">
        <v>1004</v>
      </c>
      <c r="Y63" s="57">
        <v>1002</v>
      </c>
      <c r="Z63" s="57">
        <v>1102</v>
      </c>
      <c r="AA63" s="57">
        <v>1202</v>
      </c>
      <c r="AB63" s="57">
        <v>0</v>
      </c>
      <c r="AC63" s="57">
        <v>0</v>
      </c>
      <c r="AD63" s="57">
        <v>0</v>
      </c>
      <c r="AE63" s="58">
        <v>0</v>
      </c>
      <c r="AF63" s="30">
        <v>0</v>
      </c>
      <c r="AG63" s="57">
        <v>0</v>
      </c>
      <c r="AH63" s="57">
        <v>0</v>
      </c>
      <c r="AI63" s="57">
        <v>0</v>
      </c>
      <c r="AJ63" s="57">
        <v>0</v>
      </c>
      <c r="AK63" s="57">
        <v>0</v>
      </c>
      <c r="AL63" s="57">
        <v>0</v>
      </c>
      <c r="AM63" s="57">
        <v>0</v>
      </c>
      <c r="AN63" s="57">
        <v>0</v>
      </c>
      <c r="AO63" s="57">
        <v>0</v>
      </c>
      <c r="AP63" s="57">
        <v>0</v>
      </c>
      <c r="AQ63" s="57">
        <v>0</v>
      </c>
      <c r="AR63" s="57">
        <v>0</v>
      </c>
      <c r="AS63" s="57">
        <v>0</v>
      </c>
      <c r="AT63" s="57">
        <v>0</v>
      </c>
      <c r="AU63" s="57">
        <v>0</v>
      </c>
      <c r="AV63" s="57">
        <v>0</v>
      </c>
      <c r="AW63" s="57">
        <v>0</v>
      </c>
      <c r="AX63" s="57">
        <v>0</v>
      </c>
      <c r="AY63" s="57">
        <v>0</v>
      </c>
      <c r="AZ63" s="57">
        <v>0</v>
      </c>
      <c r="BA63" s="57">
        <v>0</v>
      </c>
      <c r="BB63" s="57">
        <v>0</v>
      </c>
      <c r="BC63" s="57">
        <v>0</v>
      </c>
      <c r="BD63" s="57">
        <v>0</v>
      </c>
      <c r="BE63" s="57">
        <v>0</v>
      </c>
      <c r="BF63" s="57">
        <v>0</v>
      </c>
      <c r="BG63" s="57">
        <v>0</v>
      </c>
      <c r="BH63" s="57">
        <v>0</v>
      </c>
      <c r="BI63" s="57">
        <v>0</v>
      </c>
      <c r="BJ63" s="57">
        <v>0</v>
      </c>
      <c r="BK63" s="57">
        <v>0</v>
      </c>
      <c r="BL63" s="57">
        <v>0</v>
      </c>
      <c r="BM63" s="57">
        <v>0</v>
      </c>
      <c r="BN63" s="57">
        <v>0</v>
      </c>
      <c r="BO63" s="57">
        <v>0</v>
      </c>
      <c r="BP63" s="57">
        <v>0</v>
      </c>
      <c r="BQ63" s="57">
        <v>0</v>
      </c>
      <c r="BR63" s="57">
        <v>0</v>
      </c>
      <c r="BS63" s="57">
        <v>0</v>
      </c>
      <c r="BT63" s="57">
        <v>0</v>
      </c>
      <c r="BU63" s="57">
        <v>0</v>
      </c>
      <c r="BV63" s="57">
        <v>0</v>
      </c>
      <c r="BW63" s="57">
        <v>0</v>
      </c>
      <c r="BX63" s="57">
        <v>0</v>
      </c>
      <c r="BY63" s="57">
        <v>0</v>
      </c>
      <c r="BZ63" s="57">
        <v>0</v>
      </c>
      <c r="CA63" s="57">
        <v>0</v>
      </c>
    </row>
    <row r="64" spans="1:79" x14ac:dyDescent="0.3">
      <c r="A64" s="19"/>
      <c r="B64" s="20" t="str">
        <f t="shared" si="0"/>
        <v>14140001</v>
      </c>
      <c r="C64" s="55" t="str">
        <f t="shared" si="18"/>
        <v>4</v>
      </c>
      <c r="D64" s="55">
        <f t="shared" si="19"/>
        <v>1</v>
      </c>
      <c r="E64" s="49">
        <v>1</v>
      </c>
      <c r="F64" s="57">
        <v>1</v>
      </c>
      <c r="G64" s="57">
        <v>1</v>
      </c>
      <c r="H64" s="57" t="str">
        <f t="shared" si="3"/>
        <v>Item_Name_14140001</v>
      </c>
      <c r="I64" s="57" t="s">
        <v>549</v>
      </c>
      <c r="J64" s="57">
        <v>10104001</v>
      </c>
      <c r="K64" s="57">
        <v>4</v>
      </c>
      <c r="L64" s="57">
        <v>0</v>
      </c>
      <c r="M64" s="57">
        <v>0</v>
      </c>
      <c r="N64" s="57">
        <v>15</v>
      </c>
      <c r="O64" s="57">
        <v>100</v>
      </c>
      <c r="P64" s="57">
        <v>1</v>
      </c>
      <c r="Q64" s="57" t="s">
        <v>717</v>
      </c>
      <c r="R64" s="57" t="s">
        <v>531</v>
      </c>
      <c r="S64" s="57" t="s">
        <v>526</v>
      </c>
      <c r="T64" s="57" t="s">
        <v>330</v>
      </c>
      <c r="U64" s="57">
        <v>0</v>
      </c>
      <c r="V64" s="57">
        <v>0</v>
      </c>
      <c r="W64" s="57">
        <v>1001</v>
      </c>
      <c r="X64" s="57">
        <v>1006</v>
      </c>
      <c r="Y64" s="57">
        <v>1002</v>
      </c>
      <c r="Z64" s="57">
        <v>1102</v>
      </c>
      <c r="AA64" s="57">
        <v>1202</v>
      </c>
      <c r="AB64" s="57">
        <v>1206</v>
      </c>
      <c r="AC64" s="57">
        <v>0</v>
      </c>
      <c r="AD64" s="57">
        <v>0</v>
      </c>
      <c r="AE64" s="58">
        <v>0</v>
      </c>
      <c r="AF64" s="30">
        <v>0</v>
      </c>
      <c r="AG64" s="57">
        <v>0</v>
      </c>
      <c r="AH64" s="57">
        <v>0</v>
      </c>
      <c r="AI64" s="57">
        <v>0</v>
      </c>
      <c r="AJ64" s="57">
        <v>0</v>
      </c>
      <c r="AK64" s="57">
        <v>0</v>
      </c>
      <c r="AL64" s="57">
        <v>0</v>
      </c>
      <c r="AM64" s="57">
        <v>0</v>
      </c>
      <c r="AN64" s="57">
        <v>0</v>
      </c>
      <c r="AO64" s="57">
        <v>0</v>
      </c>
      <c r="AP64" s="57">
        <v>0</v>
      </c>
      <c r="AQ64" s="57">
        <v>0</v>
      </c>
      <c r="AR64" s="57">
        <v>0</v>
      </c>
      <c r="AS64" s="57">
        <v>0</v>
      </c>
      <c r="AT64" s="57">
        <v>0</v>
      </c>
      <c r="AU64" s="57">
        <v>0</v>
      </c>
      <c r="AV64" s="57">
        <v>0</v>
      </c>
      <c r="AW64" s="57">
        <v>0</v>
      </c>
      <c r="AX64" s="57">
        <v>0</v>
      </c>
      <c r="AY64" s="57">
        <v>0</v>
      </c>
      <c r="AZ64" s="57">
        <v>0</v>
      </c>
      <c r="BA64" s="57">
        <v>0</v>
      </c>
      <c r="BB64" s="57">
        <v>0</v>
      </c>
      <c r="BC64" s="57">
        <v>0</v>
      </c>
      <c r="BD64" s="57">
        <v>0</v>
      </c>
      <c r="BE64" s="57">
        <v>0</v>
      </c>
      <c r="BF64" s="57">
        <v>0</v>
      </c>
      <c r="BG64" s="57">
        <v>0</v>
      </c>
      <c r="BH64" s="57">
        <v>0</v>
      </c>
      <c r="BI64" s="57">
        <v>0</v>
      </c>
      <c r="BJ64" s="57">
        <v>0</v>
      </c>
      <c r="BK64" s="57">
        <v>0</v>
      </c>
      <c r="BL64" s="57">
        <v>0</v>
      </c>
      <c r="BM64" s="57">
        <v>0</v>
      </c>
      <c r="BN64" s="57">
        <v>0</v>
      </c>
      <c r="BO64" s="57">
        <v>0</v>
      </c>
      <c r="BP64" s="57">
        <v>0</v>
      </c>
      <c r="BQ64" s="57">
        <v>0</v>
      </c>
      <c r="BR64" s="57">
        <v>0</v>
      </c>
      <c r="BS64" s="57">
        <v>0</v>
      </c>
      <c r="BT64" s="57">
        <v>0</v>
      </c>
      <c r="BU64" s="57">
        <v>0</v>
      </c>
      <c r="BV64" s="57">
        <v>0</v>
      </c>
      <c r="BW64" s="57">
        <v>0</v>
      </c>
      <c r="BX64" s="57">
        <v>0</v>
      </c>
      <c r="BY64" s="57">
        <v>0</v>
      </c>
      <c r="BZ64" s="57">
        <v>0</v>
      </c>
      <c r="CA64" s="57">
        <v>0</v>
      </c>
    </row>
    <row r="65" spans="1:79" x14ac:dyDescent="0.3">
      <c r="A65" s="19"/>
      <c r="B65" s="20" t="str">
        <f t="shared" si="0"/>
        <v>11210001</v>
      </c>
      <c r="C65" s="55" t="str">
        <f t="shared" si="1"/>
        <v>1</v>
      </c>
      <c r="D65" s="55">
        <f t="shared" si="2"/>
        <v>2</v>
      </c>
      <c r="E65" s="49">
        <v>1</v>
      </c>
      <c r="F65" s="20">
        <v>1</v>
      </c>
      <c r="G65" s="20">
        <v>2</v>
      </c>
      <c r="H65" s="20" t="str">
        <f t="shared" si="3"/>
        <v>Item_Name_11210001</v>
      </c>
      <c r="I65" s="20" t="s">
        <v>399</v>
      </c>
      <c r="J65" s="20">
        <v>10101001</v>
      </c>
      <c r="K65" s="20">
        <v>1</v>
      </c>
      <c r="L65" s="20">
        <v>0</v>
      </c>
      <c r="M65" s="20">
        <v>0</v>
      </c>
      <c r="N65" s="20">
        <v>15</v>
      </c>
      <c r="O65" s="20">
        <v>100</v>
      </c>
      <c r="P65" s="20">
        <v>1</v>
      </c>
      <c r="Q65" s="20" t="s">
        <v>375</v>
      </c>
      <c r="R65" s="20" t="s">
        <v>171</v>
      </c>
      <c r="S65" s="20" t="s">
        <v>321</v>
      </c>
      <c r="T65" s="20" t="s">
        <v>400</v>
      </c>
      <c r="U65" s="20">
        <v>0</v>
      </c>
      <c r="V65" s="20">
        <v>0</v>
      </c>
      <c r="W65" s="20">
        <v>17</v>
      </c>
      <c r="X65" s="20">
        <v>8</v>
      </c>
      <c r="Y65" s="20">
        <v>1001</v>
      </c>
      <c r="Z65" s="20">
        <v>0</v>
      </c>
      <c r="AA65" s="20">
        <v>0</v>
      </c>
      <c r="AB65" s="20">
        <v>0</v>
      </c>
      <c r="AC65" s="20">
        <v>0</v>
      </c>
      <c r="AD65" s="20">
        <v>0</v>
      </c>
      <c r="AE65" s="39">
        <v>0</v>
      </c>
      <c r="AF65" s="31">
        <v>0</v>
      </c>
      <c r="AG65" s="20">
        <v>0</v>
      </c>
      <c r="AH65" s="20">
        <v>0</v>
      </c>
      <c r="AI65" s="20">
        <v>0</v>
      </c>
      <c r="AJ65" s="20">
        <v>0</v>
      </c>
      <c r="AK65" s="20">
        <v>0</v>
      </c>
      <c r="AL65" s="20">
        <v>0</v>
      </c>
      <c r="AM65" s="20">
        <v>0</v>
      </c>
      <c r="AN65" s="20">
        <v>0</v>
      </c>
      <c r="AO65" s="20">
        <v>0</v>
      </c>
      <c r="AP65" s="20">
        <v>0</v>
      </c>
      <c r="AQ65" s="20">
        <v>0</v>
      </c>
      <c r="AR65" s="20">
        <v>0</v>
      </c>
      <c r="AS65" s="20">
        <v>0</v>
      </c>
      <c r="AT65" s="20">
        <v>0</v>
      </c>
      <c r="AU65" s="20">
        <v>0</v>
      </c>
      <c r="AV65" s="20">
        <v>0</v>
      </c>
      <c r="AW65" s="20">
        <v>0</v>
      </c>
      <c r="AX65" s="20">
        <v>0</v>
      </c>
      <c r="AY65" s="20">
        <v>0</v>
      </c>
      <c r="AZ65" s="20">
        <v>0</v>
      </c>
      <c r="BA65" s="20">
        <v>0</v>
      </c>
      <c r="BB65" s="20">
        <v>0</v>
      </c>
      <c r="BC65" s="20">
        <v>0</v>
      </c>
      <c r="BD65" s="20">
        <v>0</v>
      </c>
      <c r="BE65" s="20">
        <v>0</v>
      </c>
      <c r="BF65" s="20">
        <v>0</v>
      </c>
      <c r="BG65" s="20">
        <v>0</v>
      </c>
      <c r="BH65" s="20">
        <v>0</v>
      </c>
      <c r="BI65" s="20">
        <v>0</v>
      </c>
      <c r="BJ65" s="20">
        <v>0</v>
      </c>
      <c r="BK65" s="20">
        <v>0</v>
      </c>
      <c r="BL65" s="20">
        <v>0</v>
      </c>
      <c r="BM65" s="20">
        <v>0</v>
      </c>
      <c r="BN65" s="20">
        <v>0</v>
      </c>
      <c r="BO65" s="20">
        <v>0</v>
      </c>
      <c r="BP65" s="20">
        <v>0</v>
      </c>
      <c r="BQ65" s="20">
        <v>0</v>
      </c>
      <c r="BR65" s="20">
        <v>0</v>
      </c>
      <c r="BS65" s="20">
        <v>0</v>
      </c>
      <c r="BT65" s="20">
        <v>0</v>
      </c>
      <c r="BU65" s="20">
        <v>0</v>
      </c>
      <c r="BV65" s="20">
        <v>0</v>
      </c>
      <c r="BW65" s="20">
        <v>0</v>
      </c>
      <c r="BX65" s="20">
        <v>0</v>
      </c>
      <c r="BY65" s="20">
        <v>0</v>
      </c>
      <c r="BZ65" s="20">
        <v>0</v>
      </c>
      <c r="CA65" s="20">
        <v>0</v>
      </c>
    </row>
    <row r="66" spans="1:79" x14ac:dyDescent="0.3">
      <c r="A66" s="19"/>
      <c r="B66" s="20" t="str">
        <f t="shared" si="0"/>
        <v>11220001</v>
      </c>
      <c r="C66" s="55" t="str">
        <f t="shared" si="1"/>
        <v>1</v>
      </c>
      <c r="D66" s="55">
        <f t="shared" si="2"/>
        <v>2</v>
      </c>
      <c r="E66" s="49">
        <v>1</v>
      </c>
      <c r="F66" s="20">
        <v>1</v>
      </c>
      <c r="G66" s="20">
        <v>2</v>
      </c>
      <c r="H66" s="20" t="str">
        <f t="shared" si="3"/>
        <v>Item_Name_11220001</v>
      </c>
      <c r="I66" s="20" t="s">
        <v>176</v>
      </c>
      <c r="J66" s="20">
        <v>10101001</v>
      </c>
      <c r="K66" s="20">
        <v>2</v>
      </c>
      <c r="L66" s="20">
        <v>0</v>
      </c>
      <c r="M66" s="20">
        <v>0</v>
      </c>
      <c r="N66" s="20">
        <v>15</v>
      </c>
      <c r="O66" s="20">
        <v>100</v>
      </c>
      <c r="P66" s="20">
        <v>1</v>
      </c>
      <c r="Q66" s="20" t="s">
        <v>401</v>
      </c>
      <c r="R66" s="20" t="s">
        <v>256</v>
      </c>
      <c r="S66" s="20" t="s">
        <v>321</v>
      </c>
      <c r="T66" s="20" t="s">
        <v>400</v>
      </c>
      <c r="U66" s="20">
        <v>0</v>
      </c>
      <c r="V66" s="20">
        <v>0</v>
      </c>
      <c r="W66" s="20">
        <v>17</v>
      </c>
      <c r="X66" s="20">
        <v>10</v>
      </c>
      <c r="Y66" s="20">
        <v>1101</v>
      </c>
      <c r="Z66" s="20">
        <v>1101</v>
      </c>
      <c r="AA66" s="20">
        <v>0</v>
      </c>
      <c r="AB66" s="20">
        <v>0</v>
      </c>
      <c r="AC66" s="20">
        <v>0</v>
      </c>
      <c r="AD66" s="20">
        <v>0</v>
      </c>
      <c r="AE66" s="39">
        <v>0</v>
      </c>
      <c r="AF66" s="31">
        <v>0</v>
      </c>
      <c r="AG66" s="20">
        <v>0</v>
      </c>
      <c r="AH66" s="20">
        <v>0</v>
      </c>
      <c r="AI66" s="20">
        <v>0</v>
      </c>
      <c r="AJ66" s="20">
        <v>0</v>
      </c>
      <c r="AK66" s="20">
        <v>0</v>
      </c>
      <c r="AL66" s="20">
        <v>0</v>
      </c>
      <c r="AM66" s="20">
        <v>0</v>
      </c>
      <c r="AN66" s="20">
        <v>0</v>
      </c>
      <c r="AO66" s="20">
        <v>0</v>
      </c>
      <c r="AP66" s="20">
        <v>0</v>
      </c>
      <c r="AQ66" s="20">
        <v>0</v>
      </c>
      <c r="AR66" s="20">
        <v>0</v>
      </c>
      <c r="AS66" s="20">
        <v>0</v>
      </c>
      <c r="AT66" s="20">
        <v>0</v>
      </c>
      <c r="AU66" s="20">
        <v>0</v>
      </c>
      <c r="AV66" s="20">
        <v>0</v>
      </c>
      <c r="AW66" s="20">
        <v>0</v>
      </c>
      <c r="AX66" s="20">
        <v>0</v>
      </c>
      <c r="AY66" s="20">
        <v>0</v>
      </c>
      <c r="AZ66" s="20">
        <v>0</v>
      </c>
      <c r="BA66" s="20">
        <v>0</v>
      </c>
      <c r="BB66" s="20">
        <v>0</v>
      </c>
      <c r="BC66" s="20">
        <v>0</v>
      </c>
      <c r="BD66" s="20">
        <v>0</v>
      </c>
      <c r="BE66" s="20">
        <v>0</v>
      </c>
      <c r="BF66" s="20">
        <v>0</v>
      </c>
      <c r="BG66" s="20">
        <v>0</v>
      </c>
      <c r="BH66" s="20">
        <v>0</v>
      </c>
      <c r="BI66" s="20">
        <v>0</v>
      </c>
      <c r="BJ66" s="20">
        <v>0</v>
      </c>
      <c r="BK66" s="20">
        <v>0</v>
      </c>
      <c r="BL66" s="20">
        <v>0</v>
      </c>
      <c r="BM66" s="20">
        <v>0</v>
      </c>
      <c r="BN66" s="20">
        <v>0</v>
      </c>
      <c r="BO66" s="20">
        <v>0</v>
      </c>
      <c r="BP66" s="20">
        <v>0</v>
      </c>
      <c r="BQ66" s="20">
        <v>0</v>
      </c>
      <c r="BR66" s="20">
        <v>0</v>
      </c>
      <c r="BS66" s="20">
        <v>0</v>
      </c>
      <c r="BT66" s="20">
        <v>0</v>
      </c>
      <c r="BU66" s="20">
        <v>0</v>
      </c>
      <c r="BV66" s="20">
        <v>0</v>
      </c>
      <c r="BW66" s="20">
        <v>0</v>
      </c>
      <c r="BX66" s="20">
        <v>0</v>
      </c>
      <c r="BY66" s="20">
        <v>0</v>
      </c>
      <c r="BZ66" s="20">
        <v>0</v>
      </c>
      <c r="CA66" s="20">
        <v>0</v>
      </c>
    </row>
    <row r="67" spans="1:79" x14ac:dyDescent="0.3">
      <c r="A67" s="19"/>
      <c r="B67" s="20" t="str">
        <f t="shared" si="0"/>
        <v>11230001</v>
      </c>
      <c r="C67" s="55" t="str">
        <f t="shared" si="1"/>
        <v>1</v>
      </c>
      <c r="D67" s="55">
        <f t="shared" si="2"/>
        <v>2</v>
      </c>
      <c r="E67" s="49">
        <v>1</v>
      </c>
      <c r="F67" s="20">
        <v>1</v>
      </c>
      <c r="G67" s="20">
        <v>2</v>
      </c>
      <c r="H67" s="20" t="str">
        <f t="shared" si="3"/>
        <v>Item_Name_11230001</v>
      </c>
      <c r="I67" s="20" t="s">
        <v>177</v>
      </c>
      <c r="J67" s="20">
        <v>10101001</v>
      </c>
      <c r="K67" s="20">
        <v>3</v>
      </c>
      <c r="L67" s="20">
        <v>0</v>
      </c>
      <c r="M67" s="20">
        <v>0</v>
      </c>
      <c r="N67" s="20">
        <v>15</v>
      </c>
      <c r="O67" s="20">
        <v>100</v>
      </c>
      <c r="P67" s="20">
        <v>1</v>
      </c>
      <c r="Q67" s="20" t="s">
        <v>402</v>
      </c>
      <c r="R67" s="20" t="s">
        <v>257</v>
      </c>
      <c r="S67" s="20" t="s">
        <v>321</v>
      </c>
      <c r="T67" s="20" t="s">
        <v>400</v>
      </c>
      <c r="U67" s="20">
        <v>0</v>
      </c>
      <c r="V67" s="20">
        <v>0</v>
      </c>
      <c r="W67" s="20">
        <v>17</v>
      </c>
      <c r="X67" s="20">
        <v>15</v>
      </c>
      <c r="Y67" s="20">
        <v>1201</v>
      </c>
      <c r="Z67" s="20">
        <v>1101</v>
      </c>
      <c r="AA67" s="20">
        <v>1201</v>
      </c>
      <c r="AB67" s="20">
        <v>0</v>
      </c>
      <c r="AC67" s="20">
        <v>0</v>
      </c>
      <c r="AD67" s="20">
        <v>0</v>
      </c>
      <c r="AE67" s="39">
        <v>0</v>
      </c>
      <c r="AF67" s="31">
        <v>0</v>
      </c>
      <c r="AG67" s="20">
        <v>0</v>
      </c>
      <c r="AH67" s="20">
        <v>0</v>
      </c>
      <c r="AI67" s="20">
        <v>0</v>
      </c>
      <c r="AJ67" s="20">
        <v>0</v>
      </c>
      <c r="AK67" s="20">
        <v>0</v>
      </c>
      <c r="AL67" s="20">
        <v>0</v>
      </c>
      <c r="AM67" s="20">
        <v>0</v>
      </c>
      <c r="AN67" s="20">
        <v>0</v>
      </c>
      <c r="AO67" s="20">
        <v>0</v>
      </c>
      <c r="AP67" s="20">
        <v>0</v>
      </c>
      <c r="AQ67" s="20">
        <v>0</v>
      </c>
      <c r="AR67" s="20">
        <v>0</v>
      </c>
      <c r="AS67" s="20">
        <v>0</v>
      </c>
      <c r="AT67" s="20">
        <v>0</v>
      </c>
      <c r="AU67" s="20">
        <v>0</v>
      </c>
      <c r="AV67" s="20">
        <v>0</v>
      </c>
      <c r="AW67" s="20">
        <v>0</v>
      </c>
      <c r="AX67" s="20">
        <v>0</v>
      </c>
      <c r="AY67" s="20">
        <v>0</v>
      </c>
      <c r="AZ67" s="20">
        <v>0</v>
      </c>
      <c r="BA67" s="20">
        <v>0</v>
      </c>
      <c r="BB67" s="20">
        <v>0</v>
      </c>
      <c r="BC67" s="20">
        <v>0</v>
      </c>
      <c r="BD67" s="20">
        <v>0</v>
      </c>
      <c r="BE67" s="20">
        <v>0</v>
      </c>
      <c r="BF67" s="20">
        <v>0</v>
      </c>
      <c r="BG67" s="20">
        <v>0</v>
      </c>
      <c r="BH67" s="20">
        <v>0</v>
      </c>
      <c r="BI67" s="20">
        <v>0</v>
      </c>
      <c r="BJ67" s="20">
        <v>0</v>
      </c>
      <c r="BK67" s="20">
        <v>0</v>
      </c>
      <c r="BL67" s="20">
        <v>0</v>
      </c>
      <c r="BM67" s="20">
        <v>0</v>
      </c>
      <c r="BN67" s="20">
        <v>0</v>
      </c>
      <c r="BO67" s="20">
        <v>0</v>
      </c>
      <c r="BP67" s="20">
        <v>0</v>
      </c>
      <c r="BQ67" s="20">
        <v>0</v>
      </c>
      <c r="BR67" s="20">
        <v>0</v>
      </c>
      <c r="BS67" s="20">
        <v>0</v>
      </c>
      <c r="BT67" s="20">
        <v>0</v>
      </c>
      <c r="BU67" s="20">
        <v>0</v>
      </c>
      <c r="BV67" s="20">
        <v>0</v>
      </c>
      <c r="BW67" s="20">
        <v>0</v>
      </c>
      <c r="BX67" s="20">
        <v>0</v>
      </c>
      <c r="BY67" s="20">
        <v>0</v>
      </c>
      <c r="BZ67" s="20">
        <v>0</v>
      </c>
      <c r="CA67" s="20">
        <v>0</v>
      </c>
    </row>
    <row r="68" spans="1:79" x14ac:dyDescent="0.3">
      <c r="A68" s="19"/>
      <c r="B68" s="20" t="str">
        <f t="shared" si="0"/>
        <v>11240001</v>
      </c>
      <c r="C68" s="55" t="str">
        <f t="shared" ref="C68" si="20">IF(J68&gt;0,MID(J68,5, 1), 0)</f>
        <v>1</v>
      </c>
      <c r="D68" s="55">
        <f t="shared" ref="D68" si="21">IF(G68&lt;100, G68, G68-100)</f>
        <v>2</v>
      </c>
      <c r="E68" s="49">
        <v>1</v>
      </c>
      <c r="F68" s="57">
        <v>1</v>
      </c>
      <c r="G68" s="57">
        <v>2</v>
      </c>
      <c r="H68" s="57" t="str">
        <f t="shared" si="3"/>
        <v>Item_Name_11240001</v>
      </c>
      <c r="I68" s="57" t="s">
        <v>550</v>
      </c>
      <c r="J68" s="57">
        <v>10101001</v>
      </c>
      <c r="K68" s="57">
        <v>4</v>
      </c>
      <c r="L68" s="57">
        <v>0</v>
      </c>
      <c r="M68" s="57">
        <v>0</v>
      </c>
      <c r="N68" s="57">
        <v>15</v>
      </c>
      <c r="O68" s="57">
        <v>100</v>
      </c>
      <c r="P68" s="57">
        <v>1</v>
      </c>
      <c r="Q68" s="57" t="s">
        <v>713</v>
      </c>
      <c r="R68" s="57" t="s">
        <v>531</v>
      </c>
      <c r="S68" s="57" t="s">
        <v>321</v>
      </c>
      <c r="T68" s="57" t="s">
        <v>400</v>
      </c>
      <c r="U68" s="57">
        <v>0</v>
      </c>
      <c r="V68" s="57">
        <v>0</v>
      </c>
      <c r="W68" s="57">
        <v>17</v>
      </c>
      <c r="X68" s="57">
        <v>26</v>
      </c>
      <c r="Y68" s="57">
        <v>1201</v>
      </c>
      <c r="Z68" s="57">
        <v>1101</v>
      </c>
      <c r="AA68" s="57">
        <v>1201</v>
      </c>
      <c r="AB68" s="57">
        <v>1205</v>
      </c>
      <c r="AC68" s="57">
        <v>0</v>
      </c>
      <c r="AD68" s="57">
        <v>0</v>
      </c>
      <c r="AE68" s="58">
        <v>0</v>
      </c>
      <c r="AF68" s="30">
        <v>0</v>
      </c>
      <c r="AG68" s="57">
        <v>0</v>
      </c>
      <c r="AH68" s="57">
        <v>0</v>
      </c>
      <c r="AI68" s="57">
        <v>0</v>
      </c>
      <c r="AJ68" s="57">
        <v>0</v>
      </c>
      <c r="AK68" s="57">
        <v>0</v>
      </c>
      <c r="AL68" s="57">
        <v>0</v>
      </c>
      <c r="AM68" s="57">
        <v>0</v>
      </c>
      <c r="AN68" s="57">
        <v>0</v>
      </c>
      <c r="AO68" s="57">
        <v>0</v>
      </c>
      <c r="AP68" s="57">
        <v>0</v>
      </c>
      <c r="AQ68" s="57">
        <v>0</v>
      </c>
      <c r="AR68" s="57">
        <v>0</v>
      </c>
      <c r="AS68" s="57">
        <v>0</v>
      </c>
      <c r="AT68" s="57">
        <v>0</v>
      </c>
      <c r="AU68" s="57">
        <v>0</v>
      </c>
      <c r="AV68" s="57">
        <v>0</v>
      </c>
      <c r="AW68" s="57">
        <v>0</v>
      </c>
      <c r="AX68" s="57">
        <v>0</v>
      </c>
      <c r="AY68" s="57">
        <v>0</v>
      </c>
      <c r="AZ68" s="57">
        <v>0</v>
      </c>
      <c r="BA68" s="57">
        <v>0</v>
      </c>
      <c r="BB68" s="57">
        <v>0</v>
      </c>
      <c r="BC68" s="57">
        <v>0</v>
      </c>
      <c r="BD68" s="57">
        <v>0</v>
      </c>
      <c r="BE68" s="57">
        <v>0</v>
      </c>
      <c r="BF68" s="57">
        <v>0</v>
      </c>
      <c r="BG68" s="57">
        <v>0</v>
      </c>
      <c r="BH68" s="57">
        <v>0</v>
      </c>
      <c r="BI68" s="57">
        <v>0</v>
      </c>
      <c r="BJ68" s="57">
        <v>0</v>
      </c>
      <c r="BK68" s="57">
        <v>0</v>
      </c>
      <c r="BL68" s="57">
        <v>0</v>
      </c>
      <c r="BM68" s="57">
        <v>0</v>
      </c>
      <c r="BN68" s="57">
        <v>0</v>
      </c>
      <c r="BO68" s="57">
        <v>0</v>
      </c>
      <c r="BP68" s="57">
        <v>0</v>
      </c>
      <c r="BQ68" s="57">
        <v>0</v>
      </c>
      <c r="BR68" s="57">
        <v>0</v>
      </c>
      <c r="BS68" s="57">
        <v>0</v>
      </c>
      <c r="BT68" s="57">
        <v>0</v>
      </c>
      <c r="BU68" s="57">
        <v>0</v>
      </c>
      <c r="BV68" s="57">
        <v>0</v>
      </c>
      <c r="BW68" s="57">
        <v>0</v>
      </c>
      <c r="BX68" s="57">
        <v>0</v>
      </c>
      <c r="BY68" s="57">
        <v>0</v>
      </c>
      <c r="BZ68" s="57">
        <v>0</v>
      </c>
      <c r="CA68" s="57">
        <v>0</v>
      </c>
    </row>
    <row r="69" spans="1:79" x14ac:dyDescent="0.3">
      <c r="A69" s="19"/>
      <c r="B69" s="20" t="str">
        <f t="shared" si="0"/>
        <v>12210001</v>
      </c>
      <c r="C69" s="55" t="str">
        <f t="shared" si="1"/>
        <v>2</v>
      </c>
      <c r="D69" s="55">
        <f t="shared" si="2"/>
        <v>2</v>
      </c>
      <c r="E69" s="49">
        <v>1</v>
      </c>
      <c r="F69" s="20">
        <v>1</v>
      </c>
      <c r="G69" s="20">
        <v>2</v>
      </c>
      <c r="H69" s="20" t="str">
        <f t="shared" si="3"/>
        <v>Item_Name_12210001</v>
      </c>
      <c r="I69" s="20" t="s">
        <v>403</v>
      </c>
      <c r="J69" s="20">
        <v>10102001</v>
      </c>
      <c r="K69" s="20">
        <v>1</v>
      </c>
      <c r="L69" s="20">
        <v>0</v>
      </c>
      <c r="M69" s="20">
        <v>0</v>
      </c>
      <c r="N69" s="20">
        <v>15</v>
      </c>
      <c r="O69" s="20">
        <v>100</v>
      </c>
      <c r="P69" s="20">
        <v>1</v>
      </c>
      <c r="Q69" s="20" t="s">
        <v>382</v>
      </c>
      <c r="R69" s="20" t="s">
        <v>171</v>
      </c>
      <c r="S69" s="20" t="s">
        <v>321</v>
      </c>
      <c r="T69" s="20" t="s">
        <v>400</v>
      </c>
      <c r="U69" s="20">
        <v>0</v>
      </c>
      <c r="V69" s="20">
        <v>0</v>
      </c>
      <c r="W69" s="20">
        <v>17</v>
      </c>
      <c r="X69" s="20">
        <v>5</v>
      </c>
      <c r="Y69" s="20">
        <v>1003</v>
      </c>
      <c r="Z69" s="20">
        <v>0</v>
      </c>
      <c r="AA69" s="20">
        <v>0</v>
      </c>
      <c r="AB69" s="20">
        <v>0</v>
      </c>
      <c r="AC69" s="20">
        <v>0</v>
      </c>
      <c r="AD69" s="20">
        <v>0</v>
      </c>
      <c r="AE69" s="39">
        <v>0</v>
      </c>
      <c r="AF69" s="31">
        <v>0</v>
      </c>
      <c r="AG69" s="20">
        <v>0</v>
      </c>
      <c r="AH69" s="20">
        <v>0</v>
      </c>
      <c r="AI69" s="20">
        <v>0</v>
      </c>
      <c r="AJ69" s="20">
        <v>0</v>
      </c>
      <c r="AK69" s="20">
        <v>0</v>
      </c>
      <c r="AL69" s="20">
        <v>0</v>
      </c>
      <c r="AM69" s="20">
        <v>0</v>
      </c>
      <c r="AN69" s="20">
        <v>0</v>
      </c>
      <c r="AO69" s="20">
        <v>0</v>
      </c>
      <c r="AP69" s="20">
        <v>0</v>
      </c>
      <c r="AQ69" s="20">
        <v>0</v>
      </c>
      <c r="AR69" s="20">
        <v>0</v>
      </c>
      <c r="AS69" s="20">
        <v>0</v>
      </c>
      <c r="AT69" s="20">
        <v>0</v>
      </c>
      <c r="AU69" s="20">
        <v>0</v>
      </c>
      <c r="AV69" s="20">
        <v>0</v>
      </c>
      <c r="AW69" s="20">
        <v>0</v>
      </c>
      <c r="AX69" s="20">
        <v>0</v>
      </c>
      <c r="AY69" s="20">
        <v>0</v>
      </c>
      <c r="AZ69" s="20">
        <v>0</v>
      </c>
      <c r="BA69" s="20">
        <v>0</v>
      </c>
      <c r="BB69" s="20">
        <v>0</v>
      </c>
      <c r="BC69" s="20">
        <v>0</v>
      </c>
      <c r="BD69" s="20">
        <v>0</v>
      </c>
      <c r="BE69" s="20">
        <v>0</v>
      </c>
      <c r="BF69" s="20">
        <v>0</v>
      </c>
      <c r="BG69" s="20">
        <v>0</v>
      </c>
      <c r="BH69" s="20">
        <v>0</v>
      </c>
      <c r="BI69" s="20">
        <v>0</v>
      </c>
      <c r="BJ69" s="20">
        <v>0</v>
      </c>
      <c r="BK69" s="20">
        <v>0</v>
      </c>
      <c r="BL69" s="20">
        <v>0</v>
      </c>
      <c r="BM69" s="20">
        <v>0</v>
      </c>
      <c r="BN69" s="20">
        <v>0</v>
      </c>
      <c r="BO69" s="20">
        <v>0</v>
      </c>
      <c r="BP69" s="20">
        <v>0</v>
      </c>
      <c r="BQ69" s="20">
        <v>0</v>
      </c>
      <c r="BR69" s="20">
        <v>0</v>
      </c>
      <c r="BS69" s="20">
        <v>0</v>
      </c>
      <c r="BT69" s="20">
        <v>0</v>
      </c>
      <c r="BU69" s="20">
        <v>0</v>
      </c>
      <c r="BV69" s="20">
        <v>0</v>
      </c>
      <c r="BW69" s="20">
        <v>0</v>
      </c>
      <c r="BX69" s="20">
        <v>0</v>
      </c>
      <c r="BY69" s="20">
        <v>0</v>
      </c>
      <c r="BZ69" s="20">
        <v>0</v>
      </c>
      <c r="CA69" s="20">
        <v>0</v>
      </c>
    </row>
    <row r="70" spans="1:79" x14ac:dyDescent="0.3">
      <c r="A70" s="19"/>
      <c r="B70" s="20" t="str">
        <f t="shared" si="0"/>
        <v>12220001</v>
      </c>
      <c r="C70" s="55" t="str">
        <f t="shared" si="1"/>
        <v>2</v>
      </c>
      <c r="D70" s="55">
        <f t="shared" si="2"/>
        <v>2</v>
      </c>
      <c r="E70" s="49">
        <v>1</v>
      </c>
      <c r="F70" s="20">
        <v>1</v>
      </c>
      <c r="G70" s="20">
        <v>2</v>
      </c>
      <c r="H70" s="20" t="str">
        <f t="shared" si="3"/>
        <v>Item_Name_12220001</v>
      </c>
      <c r="I70" s="20" t="s">
        <v>178</v>
      </c>
      <c r="J70" s="20">
        <v>10102001</v>
      </c>
      <c r="K70" s="20">
        <v>2</v>
      </c>
      <c r="L70" s="20">
        <v>0</v>
      </c>
      <c r="M70" s="20">
        <v>0</v>
      </c>
      <c r="N70" s="20">
        <v>15</v>
      </c>
      <c r="O70" s="20">
        <v>100</v>
      </c>
      <c r="P70" s="20">
        <v>1</v>
      </c>
      <c r="Q70" s="20" t="s">
        <v>404</v>
      </c>
      <c r="R70" s="20" t="s">
        <v>256</v>
      </c>
      <c r="S70" s="20" t="s">
        <v>321</v>
      </c>
      <c r="T70" s="20" t="s">
        <v>400</v>
      </c>
      <c r="U70" s="20">
        <v>0</v>
      </c>
      <c r="V70" s="20">
        <v>0</v>
      </c>
      <c r="W70" s="20">
        <v>17</v>
      </c>
      <c r="X70" s="20">
        <v>7</v>
      </c>
      <c r="Y70" s="20">
        <v>1103</v>
      </c>
      <c r="Z70" s="20">
        <v>1103</v>
      </c>
      <c r="AA70" s="20">
        <v>0</v>
      </c>
      <c r="AB70" s="20">
        <v>0</v>
      </c>
      <c r="AC70" s="20">
        <v>0</v>
      </c>
      <c r="AD70" s="20">
        <v>0</v>
      </c>
      <c r="AE70" s="39">
        <v>0</v>
      </c>
      <c r="AF70" s="31">
        <v>0</v>
      </c>
      <c r="AG70" s="20">
        <v>0</v>
      </c>
      <c r="AH70" s="20">
        <v>0</v>
      </c>
      <c r="AI70" s="20">
        <v>0</v>
      </c>
      <c r="AJ70" s="20">
        <v>0</v>
      </c>
      <c r="AK70" s="20">
        <v>0</v>
      </c>
      <c r="AL70" s="20">
        <v>0</v>
      </c>
      <c r="AM70" s="20">
        <v>0</v>
      </c>
      <c r="AN70" s="20">
        <v>0</v>
      </c>
      <c r="AO70" s="20">
        <v>0</v>
      </c>
      <c r="AP70" s="20">
        <v>0</v>
      </c>
      <c r="AQ70" s="20">
        <v>0</v>
      </c>
      <c r="AR70" s="20">
        <v>0</v>
      </c>
      <c r="AS70" s="20">
        <v>0</v>
      </c>
      <c r="AT70" s="20">
        <v>0</v>
      </c>
      <c r="AU70" s="20">
        <v>0</v>
      </c>
      <c r="AV70" s="20">
        <v>0</v>
      </c>
      <c r="AW70" s="20">
        <v>0</v>
      </c>
      <c r="AX70" s="20">
        <v>0</v>
      </c>
      <c r="AY70" s="20">
        <v>0</v>
      </c>
      <c r="AZ70" s="20">
        <v>0</v>
      </c>
      <c r="BA70" s="20">
        <v>0</v>
      </c>
      <c r="BB70" s="20">
        <v>0</v>
      </c>
      <c r="BC70" s="20">
        <v>0</v>
      </c>
      <c r="BD70" s="20">
        <v>0</v>
      </c>
      <c r="BE70" s="20">
        <v>0</v>
      </c>
      <c r="BF70" s="20">
        <v>0</v>
      </c>
      <c r="BG70" s="20">
        <v>0</v>
      </c>
      <c r="BH70" s="20">
        <v>0</v>
      </c>
      <c r="BI70" s="20">
        <v>0</v>
      </c>
      <c r="BJ70" s="20">
        <v>0</v>
      </c>
      <c r="BK70" s="20">
        <v>0</v>
      </c>
      <c r="BL70" s="20">
        <v>0</v>
      </c>
      <c r="BM70" s="20">
        <v>0</v>
      </c>
      <c r="BN70" s="20">
        <v>0</v>
      </c>
      <c r="BO70" s="20">
        <v>0</v>
      </c>
      <c r="BP70" s="20">
        <v>0</v>
      </c>
      <c r="BQ70" s="20">
        <v>0</v>
      </c>
      <c r="BR70" s="20">
        <v>0</v>
      </c>
      <c r="BS70" s="20">
        <v>0</v>
      </c>
      <c r="BT70" s="20">
        <v>0</v>
      </c>
      <c r="BU70" s="20">
        <v>0</v>
      </c>
      <c r="BV70" s="20">
        <v>0</v>
      </c>
      <c r="BW70" s="20">
        <v>0</v>
      </c>
      <c r="BX70" s="20">
        <v>0</v>
      </c>
      <c r="BY70" s="20">
        <v>0</v>
      </c>
      <c r="BZ70" s="20">
        <v>0</v>
      </c>
      <c r="CA70" s="20">
        <v>0</v>
      </c>
    </row>
    <row r="71" spans="1:79" x14ac:dyDescent="0.3">
      <c r="A71" s="19"/>
      <c r="B71" s="20" t="str">
        <f t="shared" si="0"/>
        <v>12230001</v>
      </c>
      <c r="C71" s="55" t="str">
        <f t="shared" si="1"/>
        <v>2</v>
      </c>
      <c r="D71" s="55">
        <f t="shared" si="2"/>
        <v>2</v>
      </c>
      <c r="E71" s="49">
        <v>1</v>
      </c>
      <c r="F71" s="20">
        <v>1</v>
      </c>
      <c r="G71" s="20">
        <v>2</v>
      </c>
      <c r="H71" s="20" t="str">
        <f t="shared" si="3"/>
        <v>Item_Name_12230001</v>
      </c>
      <c r="I71" s="20" t="s">
        <v>179</v>
      </c>
      <c r="J71" s="20">
        <v>10102001</v>
      </c>
      <c r="K71" s="20">
        <v>3</v>
      </c>
      <c r="L71" s="20">
        <v>0</v>
      </c>
      <c r="M71" s="20">
        <v>0</v>
      </c>
      <c r="N71" s="20">
        <v>15</v>
      </c>
      <c r="O71" s="20">
        <v>100</v>
      </c>
      <c r="P71" s="20">
        <v>1</v>
      </c>
      <c r="Q71" s="20" t="s">
        <v>405</v>
      </c>
      <c r="R71" s="20" t="s">
        <v>257</v>
      </c>
      <c r="S71" s="20" t="s">
        <v>321</v>
      </c>
      <c r="T71" s="20" t="s">
        <v>400</v>
      </c>
      <c r="U71" s="20">
        <v>0</v>
      </c>
      <c r="V71" s="20">
        <v>0</v>
      </c>
      <c r="W71" s="20">
        <v>17</v>
      </c>
      <c r="X71" s="20">
        <v>11</v>
      </c>
      <c r="Y71" s="20">
        <v>1203</v>
      </c>
      <c r="Z71" s="20">
        <v>1103</v>
      </c>
      <c r="AA71" s="20">
        <v>1203</v>
      </c>
      <c r="AB71" s="20">
        <v>0</v>
      </c>
      <c r="AC71" s="20">
        <v>0</v>
      </c>
      <c r="AD71" s="20">
        <v>0</v>
      </c>
      <c r="AE71" s="39">
        <v>0</v>
      </c>
      <c r="AF71" s="31">
        <v>0</v>
      </c>
      <c r="AG71" s="20">
        <v>0</v>
      </c>
      <c r="AH71" s="20">
        <v>0</v>
      </c>
      <c r="AI71" s="20">
        <v>0</v>
      </c>
      <c r="AJ71" s="20">
        <v>0</v>
      </c>
      <c r="AK71" s="20">
        <v>0</v>
      </c>
      <c r="AL71" s="20">
        <v>0</v>
      </c>
      <c r="AM71" s="20">
        <v>0</v>
      </c>
      <c r="AN71" s="20">
        <v>0</v>
      </c>
      <c r="AO71" s="20">
        <v>0</v>
      </c>
      <c r="AP71" s="20">
        <v>0</v>
      </c>
      <c r="AQ71" s="20">
        <v>0</v>
      </c>
      <c r="AR71" s="20">
        <v>0</v>
      </c>
      <c r="AS71" s="20">
        <v>0</v>
      </c>
      <c r="AT71" s="20">
        <v>0</v>
      </c>
      <c r="AU71" s="20">
        <v>0</v>
      </c>
      <c r="AV71" s="20">
        <v>0</v>
      </c>
      <c r="AW71" s="20">
        <v>0</v>
      </c>
      <c r="AX71" s="20">
        <v>0</v>
      </c>
      <c r="AY71" s="20">
        <v>0</v>
      </c>
      <c r="AZ71" s="20">
        <v>0</v>
      </c>
      <c r="BA71" s="20">
        <v>0</v>
      </c>
      <c r="BB71" s="20">
        <v>0</v>
      </c>
      <c r="BC71" s="20">
        <v>0</v>
      </c>
      <c r="BD71" s="20">
        <v>0</v>
      </c>
      <c r="BE71" s="20">
        <v>0</v>
      </c>
      <c r="BF71" s="20">
        <v>0</v>
      </c>
      <c r="BG71" s="20">
        <v>0</v>
      </c>
      <c r="BH71" s="20">
        <v>0</v>
      </c>
      <c r="BI71" s="20">
        <v>0</v>
      </c>
      <c r="BJ71" s="20">
        <v>0</v>
      </c>
      <c r="BK71" s="20">
        <v>0</v>
      </c>
      <c r="BL71" s="20">
        <v>0</v>
      </c>
      <c r="BM71" s="20">
        <v>0</v>
      </c>
      <c r="BN71" s="20">
        <v>0</v>
      </c>
      <c r="BO71" s="20">
        <v>0</v>
      </c>
      <c r="BP71" s="20">
        <v>0</v>
      </c>
      <c r="BQ71" s="20">
        <v>0</v>
      </c>
      <c r="BR71" s="20">
        <v>0</v>
      </c>
      <c r="BS71" s="20">
        <v>0</v>
      </c>
      <c r="BT71" s="20">
        <v>0</v>
      </c>
      <c r="BU71" s="20">
        <v>0</v>
      </c>
      <c r="BV71" s="20">
        <v>0</v>
      </c>
      <c r="BW71" s="20">
        <v>0</v>
      </c>
      <c r="BX71" s="20">
        <v>0</v>
      </c>
      <c r="BY71" s="20">
        <v>0</v>
      </c>
      <c r="BZ71" s="20">
        <v>0</v>
      </c>
      <c r="CA71" s="20">
        <v>0</v>
      </c>
    </row>
    <row r="72" spans="1:79" x14ac:dyDescent="0.3">
      <c r="A72" s="19"/>
      <c r="B72" s="20" t="str">
        <f t="shared" si="0"/>
        <v>12240001</v>
      </c>
      <c r="C72" s="55" t="str">
        <f t="shared" ref="C72" si="22">IF(J72&gt;0,MID(J72,5, 1), 0)</f>
        <v>2</v>
      </c>
      <c r="D72" s="55">
        <f t="shared" ref="D72" si="23">IF(G72&lt;100, G72, G72-100)</f>
        <v>2</v>
      </c>
      <c r="E72" s="49">
        <v>1</v>
      </c>
      <c r="F72" s="57">
        <v>1</v>
      </c>
      <c r="G72" s="57">
        <v>2</v>
      </c>
      <c r="H72" s="57" t="str">
        <f t="shared" si="3"/>
        <v>Item_Name_12240001</v>
      </c>
      <c r="I72" s="57" t="s">
        <v>551</v>
      </c>
      <c r="J72" s="57">
        <v>10102001</v>
      </c>
      <c r="K72" s="57">
        <v>4</v>
      </c>
      <c r="L72" s="57">
        <v>0</v>
      </c>
      <c r="M72" s="57">
        <v>0</v>
      </c>
      <c r="N72" s="57">
        <v>15</v>
      </c>
      <c r="O72" s="57">
        <v>100</v>
      </c>
      <c r="P72" s="57">
        <v>1</v>
      </c>
      <c r="Q72" s="57" t="s">
        <v>714</v>
      </c>
      <c r="R72" s="57" t="s">
        <v>531</v>
      </c>
      <c r="S72" s="57" t="s">
        <v>321</v>
      </c>
      <c r="T72" s="57" t="s">
        <v>400</v>
      </c>
      <c r="U72" s="57">
        <v>0</v>
      </c>
      <c r="V72" s="57">
        <v>0</v>
      </c>
      <c r="W72" s="57">
        <v>17</v>
      </c>
      <c r="X72" s="57">
        <v>23</v>
      </c>
      <c r="Y72" s="57">
        <v>1203</v>
      </c>
      <c r="Z72" s="57">
        <v>1103</v>
      </c>
      <c r="AA72" s="57">
        <v>1203</v>
      </c>
      <c r="AB72" s="57">
        <v>1207</v>
      </c>
      <c r="AC72" s="57">
        <v>0</v>
      </c>
      <c r="AD72" s="57">
        <v>0</v>
      </c>
      <c r="AE72" s="58">
        <v>0</v>
      </c>
      <c r="AF72" s="30">
        <v>0</v>
      </c>
      <c r="AG72" s="57">
        <v>0</v>
      </c>
      <c r="AH72" s="57">
        <v>0</v>
      </c>
      <c r="AI72" s="57">
        <v>0</v>
      </c>
      <c r="AJ72" s="57">
        <v>0</v>
      </c>
      <c r="AK72" s="57">
        <v>0</v>
      </c>
      <c r="AL72" s="57">
        <v>0</v>
      </c>
      <c r="AM72" s="57">
        <v>0</v>
      </c>
      <c r="AN72" s="57">
        <v>0</v>
      </c>
      <c r="AO72" s="57">
        <v>0</v>
      </c>
      <c r="AP72" s="57">
        <v>0</v>
      </c>
      <c r="AQ72" s="57">
        <v>0</v>
      </c>
      <c r="AR72" s="57">
        <v>0</v>
      </c>
      <c r="AS72" s="57">
        <v>0</v>
      </c>
      <c r="AT72" s="57">
        <v>0</v>
      </c>
      <c r="AU72" s="57">
        <v>0</v>
      </c>
      <c r="AV72" s="57">
        <v>0</v>
      </c>
      <c r="AW72" s="57">
        <v>0</v>
      </c>
      <c r="AX72" s="57">
        <v>0</v>
      </c>
      <c r="AY72" s="57">
        <v>0</v>
      </c>
      <c r="AZ72" s="57">
        <v>0</v>
      </c>
      <c r="BA72" s="57">
        <v>0</v>
      </c>
      <c r="BB72" s="57">
        <v>0</v>
      </c>
      <c r="BC72" s="57">
        <v>0</v>
      </c>
      <c r="BD72" s="57">
        <v>0</v>
      </c>
      <c r="BE72" s="57">
        <v>0</v>
      </c>
      <c r="BF72" s="57">
        <v>0</v>
      </c>
      <c r="BG72" s="57">
        <v>0</v>
      </c>
      <c r="BH72" s="57">
        <v>0</v>
      </c>
      <c r="BI72" s="57">
        <v>0</v>
      </c>
      <c r="BJ72" s="57">
        <v>0</v>
      </c>
      <c r="BK72" s="57">
        <v>0</v>
      </c>
      <c r="BL72" s="57">
        <v>0</v>
      </c>
      <c r="BM72" s="57">
        <v>0</v>
      </c>
      <c r="BN72" s="57">
        <v>0</v>
      </c>
      <c r="BO72" s="57">
        <v>0</v>
      </c>
      <c r="BP72" s="57">
        <v>0</v>
      </c>
      <c r="BQ72" s="57">
        <v>0</v>
      </c>
      <c r="BR72" s="57">
        <v>0</v>
      </c>
      <c r="BS72" s="57">
        <v>0</v>
      </c>
      <c r="BT72" s="57">
        <v>0</v>
      </c>
      <c r="BU72" s="57">
        <v>0</v>
      </c>
      <c r="BV72" s="57">
        <v>0</v>
      </c>
      <c r="BW72" s="57">
        <v>0</v>
      </c>
      <c r="BX72" s="57">
        <v>0</v>
      </c>
      <c r="BY72" s="57">
        <v>0</v>
      </c>
      <c r="BZ72" s="57">
        <v>0</v>
      </c>
      <c r="CA72" s="57">
        <v>0</v>
      </c>
    </row>
    <row r="73" spans="1:79" x14ac:dyDescent="0.3">
      <c r="A73" s="19"/>
      <c r="B73" s="20" t="str">
        <f t="shared" si="0"/>
        <v>13210001</v>
      </c>
      <c r="C73" s="55" t="str">
        <f t="shared" si="1"/>
        <v>3</v>
      </c>
      <c r="D73" s="55">
        <f t="shared" si="2"/>
        <v>2</v>
      </c>
      <c r="E73" s="49">
        <v>1</v>
      </c>
      <c r="F73" s="20">
        <v>1</v>
      </c>
      <c r="G73" s="20">
        <v>2</v>
      </c>
      <c r="H73" s="20" t="str">
        <f t="shared" si="3"/>
        <v>Item_Name_13210001</v>
      </c>
      <c r="I73" s="20" t="s">
        <v>695</v>
      </c>
      <c r="J73" s="20">
        <v>10103001</v>
      </c>
      <c r="K73" s="20">
        <v>1</v>
      </c>
      <c r="L73" s="20">
        <v>0</v>
      </c>
      <c r="M73" s="20">
        <v>0</v>
      </c>
      <c r="N73" s="20">
        <v>15</v>
      </c>
      <c r="O73" s="20">
        <v>100</v>
      </c>
      <c r="P73" s="20">
        <v>1</v>
      </c>
      <c r="Q73" s="20" t="s">
        <v>301</v>
      </c>
      <c r="R73" s="20" t="s">
        <v>171</v>
      </c>
      <c r="S73" s="20" t="s">
        <v>321</v>
      </c>
      <c r="T73" s="20" t="s">
        <v>400</v>
      </c>
      <c r="U73" s="20">
        <v>0</v>
      </c>
      <c r="V73" s="20">
        <v>0</v>
      </c>
      <c r="W73" s="20">
        <v>17</v>
      </c>
      <c r="X73" s="20">
        <v>4</v>
      </c>
      <c r="Y73" s="20">
        <v>1002</v>
      </c>
      <c r="Z73" s="20">
        <v>0</v>
      </c>
      <c r="AA73" s="20">
        <v>0</v>
      </c>
      <c r="AB73" s="20">
        <v>0</v>
      </c>
      <c r="AC73" s="20">
        <v>0</v>
      </c>
      <c r="AD73" s="20">
        <v>0</v>
      </c>
      <c r="AE73" s="39">
        <v>0</v>
      </c>
      <c r="AF73" s="31">
        <v>0</v>
      </c>
      <c r="AG73" s="20">
        <v>0</v>
      </c>
      <c r="AH73" s="20">
        <v>0</v>
      </c>
      <c r="AI73" s="20">
        <v>0</v>
      </c>
      <c r="AJ73" s="20">
        <v>0</v>
      </c>
      <c r="AK73" s="20">
        <v>0</v>
      </c>
      <c r="AL73" s="20">
        <v>0</v>
      </c>
      <c r="AM73" s="20">
        <v>0</v>
      </c>
      <c r="AN73" s="20">
        <v>0</v>
      </c>
      <c r="AO73" s="20">
        <v>0</v>
      </c>
      <c r="AP73" s="20">
        <v>0</v>
      </c>
      <c r="AQ73" s="20">
        <v>0</v>
      </c>
      <c r="AR73" s="20">
        <v>0</v>
      </c>
      <c r="AS73" s="20">
        <v>0</v>
      </c>
      <c r="AT73" s="20">
        <v>0</v>
      </c>
      <c r="AU73" s="20">
        <v>0</v>
      </c>
      <c r="AV73" s="20">
        <v>0</v>
      </c>
      <c r="AW73" s="20">
        <v>0</v>
      </c>
      <c r="AX73" s="20">
        <v>0</v>
      </c>
      <c r="AY73" s="20">
        <v>0</v>
      </c>
      <c r="AZ73" s="20">
        <v>0</v>
      </c>
      <c r="BA73" s="20">
        <v>0</v>
      </c>
      <c r="BB73" s="20">
        <v>0</v>
      </c>
      <c r="BC73" s="20">
        <v>0</v>
      </c>
      <c r="BD73" s="20">
        <v>0</v>
      </c>
      <c r="BE73" s="20">
        <v>0</v>
      </c>
      <c r="BF73" s="20">
        <v>0</v>
      </c>
      <c r="BG73" s="20">
        <v>0</v>
      </c>
      <c r="BH73" s="20">
        <v>0</v>
      </c>
      <c r="BI73" s="20">
        <v>0</v>
      </c>
      <c r="BJ73" s="20">
        <v>0</v>
      </c>
      <c r="BK73" s="20">
        <v>0</v>
      </c>
      <c r="BL73" s="20">
        <v>0</v>
      </c>
      <c r="BM73" s="20">
        <v>0</v>
      </c>
      <c r="BN73" s="20">
        <v>0</v>
      </c>
      <c r="BO73" s="20">
        <v>0</v>
      </c>
      <c r="BP73" s="20">
        <v>0</v>
      </c>
      <c r="BQ73" s="20">
        <v>0</v>
      </c>
      <c r="BR73" s="20">
        <v>0</v>
      </c>
      <c r="BS73" s="20">
        <v>0</v>
      </c>
      <c r="BT73" s="20">
        <v>0</v>
      </c>
      <c r="BU73" s="20">
        <v>0</v>
      </c>
      <c r="BV73" s="20">
        <v>0</v>
      </c>
      <c r="BW73" s="20">
        <v>0</v>
      </c>
      <c r="BX73" s="20">
        <v>0</v>
      </c>
      <c r="BY73" s="20">
        <v>0</v>
      </c>
      <c r="BZ73" s="20">
        <v>0</v>
      </c>
      <c r="CA73" s="20">
        <v>0</v>
      </c>
    </row>
    <row r="74" spans="1:79" x14ac:dyDescent="0.3">
      <c r="A74" s="19"/>
      <c r="B74" s="20" t="str">
        <f t="shared" si="0"/>
        <v>13220001</v>
      </c>
      <c r="C74" s="55" t="str">
        <f t="shared" ref="C74:C76" si="24">IF(J74&gt;0,MID(J74,5, 1), 0)</f>
        <v>3</v>
      </c>
      <c r="D74" s="55">
        <f t="shared" ref="D74:D76" si="25">IF(G74&lt;100, G74, G74-100)</f>
        <v>2</v>
      </c>
      <c r="E74" s="49">
        <v>1</v>
      </c>
      <c r="F74" s="57">
        <v>1</v>
      </c>
      <c r="G74" s="57">
        <v>2</v>
      </c>
      <c r="H74" s="57" t="str">
        <f t="shared" si="3"/>
        <v>Item_Name_13220001</v>
      </c>
      <c r="I74" s="57" t="s">
        <v>720</v>
      </c>
      <c r="J74" s="57">
        <v>10103001</v>
      </c>
      <c r="K74" s="57">
        <v>2</v>
      </c>
      <c r="L74" s="57">
        <v>0</v>
      </c>
      <c r="M74" s="57">
        <v>0</v>
      </c>
      <c r="N74" s="57">
        <v>15</v>
      </c>
      <c r="O74" s="57">
        <v>100</v>
      </c>
      <c r="P74" s="57">
        <v>1</v>
      </c>
      <c r="Q74" s="57" t="s">
        <v>723</v>
      </c>
      <c r="R74" s="57" t="s">
        <v>542</v>
      </c>
      <c r="S74" s="57" t="s">
        <v>321</v>
      </c>
      <c r="T74" s="57" t="s">
        <v>400</v>
      </c>
      <c r="U74" s="57">
        <v>0</v>
      </c>
      <c r="V74" s="57">
        <v>0</v>
      </c>
      <c r="W74" s="57">
        <v>17</v>
      </c>
      <c r="X74" s="57">
        <v>4</v>
      </c>
      <c r="Y74" s="57">
        <v>1002</v>
      </c>
      <c r="Z74" s="57">
        <v>1102</v>
      </c>
      <c r="AA74" s="57">
        <v>0</v>
      </c>
      <c r="AB74" s="57">
        <v>0</v>
      </c>
      <c r="AC74" s="57">
        <v>0</v>
      </c>
      <c r="AD74" s="57">
        <v>0</v>
      </c>
      <c r="AE74" s="58">
        <v>0</v>
      </c>
      <c r="AF74" s="30">
        <v>0</v>
      </c>
      <c r="AG74" s="57">
        <v>0</v>
      </c>
      <c r="AH74" s="57">
        <v>0</v>
      </c>
      <c r="AI74" s="57">
        <v>0</v>
      </c>
      <c r="AJ74" s="57">
        <v>0</v>
      </c>
      <c r="AK74" s="57">
        <v>0</v>
      </c>
      <c r="AL74" s="57">
        <v>0</v>
      </c>
      <c r="AM74" s="57">
        <v>0</v>
      </c>
      <c r="AN74" s="57">
        <v>0</v>
      </c>
      <c r="AO74" s="57">
        <v>0</v>
      </c>
      <c r="AP74" s="57">
        <v>0</v>
      </c>
      <c r="AQ74" s="57">
        <v>0</v>
      </c>
      <c r="AR74" s="57">
        <v>0</v>
      </c>
      <c r="AS74" s="57">
        <v>0</v>
      </c>
      <c r="AT74" s="57">
        <v>0</v>
      </c>
      <c r="AU74" s="57">
        <v>0</v>
      </c>
      <c r="AV74" s="57">
        <v>0</v>
      </c>
      <c r="AW74" s="57">
        <v>0</v>
      </c>
      <c r="AX74" s="57">
        <v>0</v>
      </c>
      <c r="AY74" s="57">
        <v>0</v>
      </c>
      <c r="AZ74" s="57">
        <v>0</v>
      </c>
      <c r="BA74" s="57">
        <v>0</v>
      </c>
      <c r="BB74" s="57">
        <v>0</v>
      </c>
      <c r="BC74" s="57">
        <v>0</v>
      </c>
      <c r="BD74" s="57">
        <v>0</v>
      </c>
      <c r="BE74" s="57">
        <v>0</v>
      </c>
      <c r="BF74" s="57">
        <v>0</v>
      </c>
      <c r="BG74" s="57">
        <v>0</v>
      </c>
      <c r="BH74" s="57">
        <v>0</v>
      </c>
      <c r="BI74" s="57">
        <v>0</v>
      </c>
      <c r="BJ74" s="57">
        <v>0</v>
      </c>
      <c r="BK74" s="57">
        <v>0</v>
      </c>
      <c r="BL74" s="57">
        <v>0</v>
      </c>
      <c r="BM74" s="57">
        <v>0</v>
      </c>
      <c r="BN74" s="57">
        <v>0</v>
      </c>
      <c r="BO74" s="57">
        <v>0</v>
      </c>
      <c r="BP74" s="57">
        <v>0</v>
      </c>
      <c r="BQ74" s="57">
        <v>0</v>
      </c>
      <c r="BR74" s="57">
        <v>0</v>
      </c>
      <c r="BS74" s="57">
        <v>0</v>
      </c>
      <c r="BT74" s="57">
        <v>0</v>
      </c>
      <c r="BU74" s="57">
        <v>0</v>
      </c>
      <c r="BV74" s="57">
        <v>0</v>
      </c>
      <c r="BW74" s="57">
        <v>0</v>
      </c>
      <c r="BX74" s="57">
        <v>0</v>
      </c>
      <c r="BY74" s="57">
        <v>0</v>
      </c>
      <c r="BZ74" s="57">
        <v>0</v>
      </c>
      <c r="CA74" s="57">
        <v>0</v>
      </c>
    </row>
    <row r="75" spans="1:79" x14ac:dyDescent="0.3">
      <c r="A75" s="19"/>
      <c r="B75" s="20" t="str">
        <f t="shared" si="0"/>
        <v>13230001</v>
      </c>
      <c r="C75" s="55" t="str">
        <f t="shared" si="24"/>
        <v>3</v>
      </c>
      <c r="D75" s="55">
        <f t="shared" si="25"/>
        <v>2</v>
      </c>
      <c r="E75" s="49">
        <v>1</v>
      </c>
      <c r="F75" s="57">
        <v>1</v>
      </c>
      <c r="G75" s="57">
        <v>2</v>
      </c>
      <c r="H75" s="57" t="str">
        <f t="shared" si="3"/>
        <v>Item_Name_13230001</v>
      </c>
      <c r="I75" s="57" t="s">
        <v>721</v>
      </c>
      <c r="J75" s="57">
        <v>10103001</v>
      </c>
      <c r="K75" s="57">
        <v>3</v>
      </c>
      <c r="L75" s="57">
        <v>0</v>
      </c>
      <c r="M75" s="57">
        <v>0</v>
      </c>
      <c r="N75" s="57">
        <v>15</v>
      </c>
      <c r="O75" s="57">
        <v>100</v>
      </c>
      <c r="P75" s="57">
        <v>1</v>
      </c>
      <c r="Q75" s="57" t="s">
        <v>724</v>
      </c>
      <c r="R75" s="57" t="s">
        <v>543</v>
      </c>
      <c r="S75" s="57" t="s">
        <v>321</v>
      </c>
      <c r="T75" s="57" t="s">
        <v>400</v>
      </c>
      <c r="U75" s="57">
        <v>0</v>
      </c>
      <c r="V75" s="57">
        <v>0</v>
      </c>
      <c r="W75" s="57">
        <v>17</v>
      </c>
      <c r="X75" s="57">
        <v>4</v>
      </c>
      <c r="Y75" s="57">
        <v>1002</v>
      </c>
      <c r="Z75" s="57">
        <v>1102</v>
      </c>
      <c r="AA75" s="57">
        <v>1202</v>
      </c>
      <c r="AB75" s="57">
        <v>0</v>
      </c>
      <c r="AC75" s="57">
        <v>0</v>
      </c>
      <c r="AD75" s="57">
        <v>0</v>
      </c>
      <c r="AE75" s="58">
        <v>0</v>
      </c>
      <c r="AF75" s="30">
        <v>0</v>
      </c>
      <c r="AG75" s="57">
        <v>0</v>
      </c>
      <c r="AH75" s="57">
        <v>0</v>
      </c>
      <c r="AI75" s="57">
        <v>0</v>
      </c>
      <c r="AJ75" s="57">
        <v>0</v>
      </c>
      <c r="AK75" s="57">
        <v>0</v>
      </c>
      <c r="AL75" s="57">
        <v>0</v>
      </c>
      <c r="AM75" s="57">
        <v>0</v>
      </c>
      <c r="AN75" s="57">
        <v>0</v>
      </c>
      <c r="AO75" s="57">
        <v>0</v>
      </c>
      <c r="AP75" s="57">
        <v>0</v>
      </c>
      <c r="AQ75" s="57">
        <v>0</v>
      </c>
      <c r="AR75" s="57">
        <v>0</v>
      </c>
      <c r="AS75" s="57">
        <v>0</v>
      </c>
      <c r="AT75" s="57">
        <v>0</v>
      </c>
      <c r="AU75" s="57">
        <v>0</v>
      </c>
      <c r="AV75" s="57">
        <v>0</v>
      </c>
      <c r="AW75" s="57">
        <v>0</v>
      </c>
      <c r="AX75" s="57">
        <v>0</v>
      </c>
      <c r="AY75" s="57">
        <v>0</v>
      </c>
      <c r="AZ75" s="57">
        <v>0</v>
      </c>
      <c r="BA75" s="57">
        <v>0</v>
      </c>
      <c r="BB75" s="57">
        <v>0</v>
      </c>
      <c r="BC75" s="57">
        <v>0</v>
      </c>
      <c r="BD75" s="57">
        <v>0</v>
      </c>
      <c r="BE75" s="57">
        <v>0</v>
      </c>
      <c r="BF75" s="57">
        <v>0</v>
      </c>
      <c r="BG75" s="57">
        <v>0</v>
      </c>
      <c r="BH75" s="57">
        <v>0</v>
      </c>
      <c r="BI75" s="57">
        <v>0</v>
      </c>
      <c r="BJ75" s="57">
        <v>0</v>
      </c>
      <c r="BK75" s="57">
        <v>0</v>
      </c>
      <c r="BL75" s="57">
        <v>0</v>
      </c>
      <c r="BM75" s="57">
        <v>0</v>
      </c>
      <c r="BN75" s="57">
        <v>0</v>
      </c>
      <c r="BO75" s="57">
        <v>0</v>
      </c>
      <c r="BP75" s="57">
        <v>0</v>
      </c>
      <c r="BQ75" s="57">
        <v>0</v>
      </c>
      <c r="BR75" s="57">
        <v>0</v>
      </c>
      <c r="BS75" s="57">
        <v>0</v>
      </c>
      <c r="BT75" s="57">
        <v>0</v>
      </c>
      <c r="BU75" s="57">
        <v>0</v>
      </c>
      <c r="BV75" s="57">
        <v>0</v>
      </c>
      <c r="BW75" s="57">
        <v>0</v>
      </c>
      <c r="BX75" s="57">
        <v>0</v>
      </c>
      <c r="BY75" s="57">
        <v>0</v>
      </c>
      <c r="BZ75" s="57">
        <v>0</v>
      </c>
      <c r="CA75" s="57">
        <v>0</v>
      </c>
    </row>
    <row r="76" spans="1:79" x14ac:dyDescent="0.3">
      <c r="A76" s="19"/>
      <c r="B76" s="20" t="str">
        <f t="shared" si="0"/>
        <v>13240001</v>
      </c>
      <c r="C76" s="55" t="str">
        <f t="shared" si="24"/>
        <v>3</v>
      </c>
      <c r="D76" s="55">
        <f t="shared" si="25"/>
        <v>2</v>
      </c>
      <c r="E76" s="49">
        <v>1</v>
      </c>
      <c r="F76" s="57">
        <v>1</v>
      </c>
      <c r="G76" s="57">
        <v>2</v>
      </c>
      <c r="H76" s="57" t="str">
        <f t="shared" si="3"/>
        <v>Item_Name_13240001</v>
      </c>
      <c r="I76" s="57" t="s">
        <v>722</v>
      </c>
      <c r="J76" s="57">
        <v>10103001</v>
      </c>
      <c r="K76" s="57">
        <v>4</v>
      </c>
      <c r="L76" s="57">
        <v>0</v>
      </c>
      <c r="M76" s="57">
        <v>0</v>
      </c>
      <c r="N76" s="57">
        <v>15</v>
      </c>
      <c r="O76" s="57">
        <v>100</v>
      </c>
      <c r="P76" s="57">
        <v>1</v>
      </c>
      <c r="Q76" s="57" t="s">
        <v>725</v>
      </c>
      <c r="R76" s="57" t="s">
        <v>531</v>
      </c>
      <c r="S76" s="57" t="s">
        <v>321</v>
      </c>
      <c r="T76" s="57" t="s">
        <v>400</v>
      </c>
      <c r="U76" s="57">
        <v>0</v>
      </c>
      <c r="V76" s="57">
        <v>0</v>
      </c>
      <c r="W76" s="57">
        <v>17</v>
      </c>
      <c r="X76" s="57">
        <v>4</v>
      </c>
      <c r="Y76" s="57">
        <v>1002</v>
      </c>
      <c r="Z76" s="57">
        <v>1102</v>
      </c>
      <c r="AA76" s="57">
        <v>1202</v>
      </c>
      <c r="AB76" s="57">
        <v>1206</v>
      </c>
      <c r="AC76" s="57">
        <v>0</v>
      </c>
      <c r="AD76" s="57">
        <v>0</v>
      </c>
      <c r="AE76" s="58">
        <v>0</v>
      </c>
      <c r="AF76" s="30">
        <v>0</v>
      </c>
      <c r="AG76" s="57">
        <v>0</v>
      </c>
      <c r="AH76" s="57">
        <v>0</v>
      </c>
      <c r="AI76" s="57">
        <v>0</v>
      </c>
      <c r="AJ76" s="57">
        <v>0</v>
      </c>
      <c r="AK76" s="57">
        <v>0</v>
      </c>
      <c r="AL76" s="57">
        <v>0</v>
      </c>
      <c r="AM76" s="57">
        <v>0</v>
      </c>
      <c r="AN76" s="57">
        <v>0</v>
      </c>
      <c r="AO76" s="57">
        <v>0</v>
      </c>
      <c r="AP76" s="57">
        <v>0</v>
      </c>
      <c r="AQ76" s="57">
        <v>0</v>
      </c>
      <c r="AR76" s="57">
        <v>0</v>
      </c>
      <c r="AS76" s="57">
        <v>0</v>
      </c>
      <c r="AT76" s="57">
        <v>0</v>
      </c>
      <c r="AU76" s="57">
        <v>0</v>
      </c>
      <c r="AV76" s="57">
        <v>0</v>
      </c>
      <c r="AW76" s="57">
        <v>0</v>
      </c>
      <c r="AX76" s="57">
        <v>0</v>
      </c>
      <c r="AY76" s="57">
        <v>0</v>
      </c>
      <c r="AZ76" s="57">
        <v>0</v>
      </c>
      <c r="BA76" s="57">
        <v>0</v>
      </c>
      <c r="BB76" s="57">
        <v>0</v>
      </c>
      <c r="BC76" s="57">
        <v>0</v>
      </c>
      <c r="BD76" s="57">
        <v>0</v>
      </c>
      <c r="BE76" s="57">
        <v>0</v>
      </c>
      <c r="BF76" s="57">
        <v>0</v>
      </c>
      <c r="BG76" s="57">
        <v>0</v>
      </c>
      <c r="BH76" s="57">
        <v>0</v>
      </c>
      <c r="BI76" s="57">
        <v>0</v>
      </c>
      <c r="BJ76" s="57">
        <v>0</v>
      </c>
      <c r="BK76" s="57">
        <v>0</v>
      </c>
      <c r="BL76" s="57">
        <v>0</v>
      </c>
      <c r="BM76" s="57">
        <v>0</v>
      </c>
      <c r="BN76" s="57">
        <v>0</v>
      </c>
      <c r="BO76" s="57">
        <v>0</v>
      </c>
      <c r="BP76" s="57">
        <v>0</v>
      </c>
      <c r="BQ76" s="57">
        <v>0</v>
      </c>
      <c r="BR76" s="57">
        <v>0</v>
      </c>
      <c r="BS76" s="57">
        <v>0</v>
      </c>
      <c r="BT76" s="57">
        <v>0</v>
      </c>
      <c r="BU76" s="57">
        <v>0</v>
      </c>
      <c r="BV76" s="57">
        <v>0</v>
      </c>
      <c r="BW76" s="57">
        <v>0</v>
      </c>
      <c r="BX76" s="57">
        <v>0</v>
      </c>
      <c r="BY76" s="57">
        <v>0</v>
      </c>
      <c r="BZ76" s="57">
        <v>0</v>
      </c>
      <c r="CA76" s="57">
        <v>0</v>
      </c>
    </row>
    <row r="77" spans="1:79" x14ac:dyDescent="0.3">
      <c r="A77" s="19"/>
      <c r="B77" s="20" t="str">
        <f t="shared" si="0"/>
        <v>14210001</v>
      </c>
      <c r="C77" s="55" t="str">
        <f t="shared" si="1"/>
        <v>4</v>
      </c>
      <c r="D77" s="55">
        <f t="shared" si="2"/>
        <v>2</v>
      </c>
      <c r="E77" s="49">
        <v>1</v>
      </c>
      <c r="F77" s="20">
        <v>1</v>
      </c>
      <c r="G77" s="20">
        <v>2</v>
      </c>
      <c r="H77" s="20" t="str">
        <f t="shared" si="3"/>
        <v>Item_Name_14210001</v>
      </c>
      <c r="I77" s="20" t="s">
        <v>552</v>
      </c>
      <c r="J77" s="20">
        <v>10104001</v>
      </c>
      <c r="K77" s="20">
        <v>1</v>
      </c>
      <c r="L77" s="20">
        <v>0</v>
      </c>
      <c r="M77" s="20">
        <v>0</v>
      </c>
      <c r="N77" s="20">
        <v>15</v>
      </c>
      <c r="O77" s="20">
        <v>100</v>
      </c>
      <c r="P77" s="20">
        <v>1</v>
      </c>
      <c r="Q77" s="20" t="s">
        <v>308</v>
      </c>
      <c r="R77" s="20" t="s">
        <v>171</v>
      </c>
      <c r="S77" s="20" t="s">
        <v>321</v>
      </c>
      <c r="T77" s="20" t="s">
        <v>400</v>
      </c>
      <c r="U77" s="20">
        <v>0</v>
      </c>
      <c r="V77" s="20">
        <v>0</v>
      </c>
      <c r="W77" s="20">
        <v>17</v>
      </c>
      <c r="X77" s="20">
        <v>3</v>
      </c>
      <c r="Y77" s="20">
        <v>1002</v>
      </c>
      <c r="Z77" s="20">
        <v>0</v>
      </c>
      <c r="AA77" s="20">
        <v>0</v>
      </c>
      <c r="AB77" s="20">
        <v>0</v>
      </c>
      <c r="AC77" s="20">
        <v>0</v>
      </c>
      <c r="AD77" s="20">
        <v>0</v>
      </c>
      <c r="AE77" s="39">
        <v>0</v>
      </c>
      <c r="AF77" s="31">
        <v>0</v>
      </c>
      <c r="AG77" s="20">
        <v>0</v>
      </c>
      <c r="AH77" s="20">
        <v>0</v>
      </c>
      <c r="AI77" s="20">
        <v>0</v>
      </c>
      <c r="AJ77" s="20">
        <v>0</v>
      </c>
      <c r="AK77" s="20">
        <v>0</v>
      </c>
      <c r="AL77" s="20">
        <v>0</v>
      </c>
      <c r="AM77" s="20">
        <v>0</v>
      </c>
      <c r="AN77" s="20">
        <v>0</v>
      </c>
      <c r="AO77" s="20">
        <v>0</v>
      </c>
      <c r="AP77" s="20">
        <v>0</v>
      </c>
      <c r="AQ77" s="20">
        <v>0</v>
      </c>
      <c r="AR77" s="20">
        <v>0</v>
      </c>
      <c r="AS77" s="20">
        <v>0</v>
      </c>
      <c r="AT77" s="20">
        <v>0</v>
      </c>
      <c r="AU77" s="20">
        <v>0</v>
      </c>
      <c r="AV77" s="20">
        <v>0</v>
      </c>
      <c r="AW77" s="20">
        <v>0</v>
      </c>
      <c r="AX77" s="20">
        <v>0</v>
      </c>
      <c r="AY77" s="20">
        <v>0</v>
      </c>
      <c r="AZ77" s="20">
        <v>0</v>
      </c>
      <c r="BA77" s="20">
        <v>0</v>
      </c>
      <c r="BB77" s="20">
        <v>0</v>
      </c>
      <c r="BC77" s="20">
        <v>0</v>
      </c>
      <c r="BD77" s="20">
        <v>0</v>
      </c>
      <c r="BE77" s="20">
        <v>0</v>
      </c>
      <c r="BF77" s="20">
        <v>0</v>
      </c>
      <c r="BG77" s="20">
        <v>0</v>
      </c>
      <c r="BH77" s="20">
        <v>0</v>
      </c>
      <c r="BI77" s="20">
        <v>0</v>
      </c>
      <c r="BJ77" s="20">
        <v>0</v>
      </c>
      <c r="BK77" s="20">
        <v>0</v>
      </c>
      <c r="BL77" s="20">
        <v>0</v>
      </c>
      <c r="BM77" s="20">
        <v>0</v>
      </c>
      <c r="BN77" s="20">
        <v>0</v>
      </c>
      <c r="BO77" s="20">
        <v>0</v>
      </c>
      <c r="BP77" s="20">
        <v>0</v>
      </c>
      <c r="BQ77" s="20">
        <v>0</v>
      </c>
      <c r="BR77" s="20">
        <v>0</v>
      </c>
      <c r="BS77" s="20">
        <v>0</v>
      </c>
      <c r="BT77" s="20">
        <v>0</v>
      </c>
      <c r="BU77" s="20">
        <v>0</v>
      </c>
      <c r="BV77" s="20">
        <v>0</v>
      </c>
      <c r="BW77" s="20">
        <v>0</v>
      </c>
      <c r="BX77" s="20">
        <v>0</v>
      </c>
      <c r="BY77" s="20">
        <v>0</v>
      </c>
      <c r="BZ77" s="20">
        <v>0</v>
      </c>
      <c r="CA77" s="20">
        <v>0</v>
      </c>
    </row>
    <row r="78" spans="1:79" x14ac:dyDescent="0.3">
      <c r="A78" s="19"/>
      <c r="B78" s="20" t="str">
        <f t="shared" si="0"/>
        <v>14220001</v>
      </c>
      <c r="C78" s="55" t="str">
        <f t="shared" ref="C78:C80" si="26">IF(J78&gt;0,MID(J78,5, 1), 0)</f>
        <v>4</v>
      </c>
      <c r="D78" s="55">
        <f t="shared" ref="D78:D80" si="27">IF(G78&lt;100, G78, G78-100)</f>
        <v>2</v>
      </c>
      <c r="E78" s="49">
        <v>1</v>
      </c>
      <c r="F78" s="57">
        <v>1</v>
      </c>
      <c r="G78" s="57">
        <v>2</v>
      </c>
      <c r="H78" s="57" t="str">
        <f t="shared" si="3"/>
        <v>Item_Name_14220001</v>
      </c>
      <c r="I78" s="57" t="s">
        <v>553</v>
      </c>
      <c r="J78" s="57">
        <v>10104001</v>
      </c>
      <c r="K78" s="57">
        <v>2</v>
      </c>
      <c r="L78" s="57">
        <v>0</v>
      </c>
      <c r="M78" s="57">
        <v>0</v>
      </c>
      <c r="N78" s="57">
        <v>15</v>
      </c>
      <c r="O78" s="57">
        <v>100</v>
      </c>
      <c r="P78" s="57">
        <v>1</v>
      </c>
      <c r="Q78" s="57" t="s">
        <v>726</v>
      </c>
      <c r="R78" s="57" t="s">
        <v>542</v>
      </c>
      <c r="S78" s="57" t="s">
        <v>321</v>
      </c>
      <c r="T78" s="57" t="s">
        <v>400</v>
      </c>
      <c r="U78" s="57">
        <v>0</v>
      </c>
      <c r="V78" s="57">
        <v>0</v>
      </c>
      <c r="W78" s="57">
        <v>17</v>
      </c>
      <c r="X78" s="57">
        <v>6</v>
      </c>
      <c r="Y78" s="57">
        <v>1002</v>
      </c>
      <c r="Z78" s="57">
        <v>1102</v>
      </c>
      <c r="AA78" s="57">
        <v>0</v>
      </c>
      <c r="AB78" s="57">
        <v>0</v>
      </c>
      <c r="AC78" s="57">
        <v>0</v>
      </c>
      <c r="AD78" s="57">
        <v>0</v>
      </c>
      <c r="AE78" s="58">
        <v>0</v>
      </c>
      <c r="AF78" s="30">
        <v>0</v>
      </c>
      <c r="AG78" s="57">
        <v>0</v>
      </c>
      <c r="AH78" s="57">
        <v>0</v>
      </c>
      <c r="AI78" s="57">
        <v>0</v>
      </c>
      <c r="AJ78" s="57">
        <v>0</v>
      </c>
      <c r="AK78" s="57">
        <v>0</v>
      </c>
      <c r="AL78" s="57">
        <v>0</v>
      </c>
      <c r="AM78" s="57">
        <v>0</v>
      </c>
      <c r="AN78" s="57">
        <v>0</v>
      </c>
      <c r="AO78" s="57">
        <v>0</v>
      </c>
      <c r="AP78" s="57">
        <v>0</v>
      </c>
      <c r="AQ78" s="57">
        <v>0</v>
      </c>
      <c r="AR78" s="57">
        <v>0</v>
      </c>
      <c r="AS78" s="57">
        <v>0</v>
      </c>
      <c r="AT78" s="57">
        <v>0</v>
      </c>
      <c r="AU78" s="57">
        <v>0</v>
      </c>
      <c r="AV78" s="57">
        <v>0</v>
      </c>
      <c r="AW78" s="57">
        <v>0</v>
      </c>
      <c r="AX78" s="57">
        <v>0</v>
      </c>
      <c r="AY78" s="57">
        <v>0</v>
      </c>
      <c r="AZ78" s="57">
        <v>0</v>
      </c>
      <c r="BA78" s="57">
        <v>0</v>
      </c>
      <c r="BB78" s="57">
        <v>0</v>
      </c>
      <c r="BC78" s="57">
        <v>0</v>
      </c>
      <c r="BD78" s="57">
        <v>0</v>
      </c>
      <c r="BE78" s="57">
        <v>0</v>
      </c>
      <c r="BF78" s="57">
        <v>0</v>
      </c>
      <c r="BG78" s="57">
        <v>0</v>
      </c>
      <c r="BH78" s="57">
        <v>0</v>
      </c>
      <c r="BI78" s="57">
        <v>0</v>
      </c>
      <c r="BJ78" s="57">
        <v>0</v>
      </c>
      <c r="BK78" s="57">
        <v>0</v>
      </c>
      <c r="BL78" s="57">
        <v>0</v>
      </c>
      <c r="BM78" s="57">
        <v>0</v>
      </c>
      <c r="BN78" s="57">
        <v>0</v>
      </c>
      <c r="BO78" s="57">
        <v>0</v>
      </c>
      <c r="BP78" s="57">
        <v>0</v>
      </c>
      <c r="BQ78" s="57">
        <v>0</v>
      </c>
      <c r="BR78" s="57">
        <v>0</v>
      </c>
      <c r="BS78" s="57">
        <v>0</v>
      </c>
      <c r="BT78" s="57">
        <v>0</v>
      </c>
      <c r="BU78" s="57">
        <v>0</v>
      </c>
      <c r="BV78" s="57">
        <v>0</v>
      </c>
      <c r="BW78" s="57">
        <v>0</v>
      </c>
      <c r="BX78" s="57">
        <v>0</v>
      </c>
      <c r="BY78" s="57">
        <v>0</v>
      </c>
      <c r="BZ78" s="57">
        <v>0</v>
      </c>
      <c r="CA78" s="57">
        <v>0</v>
      </c>
    </row>
    <row r="79" spans="1:79" x14ac:dyDescent="0.3">
      <c r="A79" s="19"/>
      <c r="B79" s="20" t="str">
        <f t="shared" si="0"/>
        <v>14230001</v>
      </c>
      <c r="C79" s="55" t="str">
        <f t="shared" si="26"/>
        <v>4</v>
      </c>
      <c r="D79" s="55">
        <f t="shared" si="27"/>
        <v>2</v>
      </c>
      <c r="E79" s="49">
        <v>1</v>
      </c>
      <c r="F79" s="57">
        <v>1</v>
      </c>
      <c r="G79" s="57">
        <v>2</v>
      </c>
      <c r="H79" s="57" t="str">
        <f t="shared" si="3"/>
        <v>Item_Name_14230001</v>
      </c>
      <c r="I79" s="57" t="s">
        <v>554</v>
      </c>
      <c r="J79" s="57">
        <v>10104001</v>
      </c>
      <c r="K79" s="57">
        <v>3</v>
      </c>
      <c r="L79" s="57">
        <v>0</v>
      </c>
      <c r="M79" s="57">
        <v>0</v>
      </c>
      <c r="N79" s="57">
        <v>15</v>
      </c>
      <c r="O79" s="57">
        <v>100</v>
      </c>
      <c r="P79" s="57">
        <v>1</v>
      </c>
      <c r="Q79" s="57" t="s">
        <v>727</v>
      </c>
      <c r="R79" s="57" t="s">
        <v>543</v>
      </c>
      <c r="S79" s="57" t="s">
        <v>321</v>
      </c>
      <c r="T79" s="57" t="s">
        <v>400</v>
      </c>
      <c r="U79" s="57">
        <v>0</v>
      </c>
      <c r="V79" s="57">
        <v>0</v>
      </c>
      <c r="W79" s="57">
        <v>17</v>
      </c>
      <c r="X79" s="57">
        <v>10</v>
      </c>
      <c r="Y79" s="57">
        <v>1002</v>
      </c>
      <c r="Z79" s="57">
        <v>1102</v>
      </c>
      <c r="AA79" s="57">
        <v>1202</v>
      </c>
      <c r="AB79" s="57">
        <v>0</v>
      </c>
      <c r="AC79" s="57">
        <v>0</v>
      </c>
      <c r="AD79" s="57">
        <v>0</v>
      </c>
      <c r="AE79" s="58">
        <v>0</v>
      </c>
      <c r="AF79" s="30">
        <v>0</v>
      </c>
      <c r="AG79" s="57">
        <v>0</v>
      </c>
      <c r="AH79" s="57">
        <v>0</v>
      </c>
      <c r="AI79" s="57">
        <v>0</v>
      </c>
      <c r="AJ79" s="57">
        <v>0</v>
      </c>
      <c r="AK79" s="57">
        <v>0</v>
      </c>
      <c r="AL79" s="57">
        <v>0</v>
      </c>
      <c r="AM79" s="57">
        <v>0</v>
      </c>
      <c r="AN79" s="57">
        <v>0</v>
      </c>
      <c r="AO79" s="57">
        <v>0</v>
      </c>
      <c r="AP79" s="57">
        <v>0</v>
      </c>
      <c r="AQ79" s="57">
        <v>0</v>
      </c>
      <c r="AR79" s="57">
        <v>0</v>
      </c>
      <c r="AS79" s="57">
        <v>0</v>
      </c>
      <c r="AT79" s="57">
        <v>0</v>
      </c>
      <c r="AU79" s="57">
        <v>0</v>
      </c>
      <c r="AV79" s="57">
        <v>0</v>
      </c>
      <c r="AW79" s="57">
        <v>0</v>
      </c>
      <c r="AX79" s="57">
        <v>0</v>
      </c>
      <c r="AY79" s="57">
        <v>0</v>
      </c>
      <c r="AZ79" s="57">
        <v>0</v>
      </c>
      <c r="BA79" s="57">
        <v>0</v>
      </c>
      <c r="BB79" s="57">
        <v>0</v>
      </c>
      <c r="BC79" s="57">
        <v>0</v>
      </c>
      <c r="BD79" s="57">
        <v>0</v>
      </c>
      <c r="BE79" s="57">
        <v>0</v>
      </c>
      <c r="BF79" s="57">
        <v>0</v>
      </c>
      <c r="BG79" s="57">
        <v>0</v>
      </c>
      <c r="BH79" s="57">
        <v>0</v>
      </c>
      <c r="BI79" s="57">
        <v>0</v>
      </c>
      <c r="BJ79" s="57">
        <v>0</v>
      </c>
      <c r="BK79" s="57">
        <v>0</v>
      </c>
      <c r="BL79" s="57">
        <v>0</v>
      </c>
      <c r="BM79" s="57">
        <v>0</v>
      </c>
      <c r="BN79" s="57">
        <v>0</v>
      </c>
      <c r="BO79" s="57">
        <v>0</v>
      </c>
      <c r="BP79" s="57">
        <v>0</v>
      </c>
      <c r="BQ79" s="57">
        <v>0</v>
      </c>
      <c r="BR79" s="57">
        <v>0</v>
      </c>
      <c r="BS79" s="57">
        <v>0</v>
      </c>
      <c r="BT79" s="57">
        <v>0</v>
      </c>
      <c r="BU79" s="57">
        <v>0</v>
      </c>
      <c r="BV79" s="57">
        <v>0</v>
      </c>
      <c r="BW79" s="57">
        <v>0</v>
      </c>
      <c r="BX79" s="57">
        <v>0</v>
      </c>
      <c r="BY79" s="57">
        <v>0</v>
      </c>
      <c r="BZ79" s="57">
        <v>0</v>
      </c>
      <c r="CA79" s="57">
        <v>0</v>
      </c>
    </row>
    <row r="80" spans="1:79" x14ac:dyDescent="0.3">
      <c r="A80" s="19"/>
      <c r="B80" s="20" t="str">
        <f t="shared" si="0"/>
        <v>14240001</v>
      </c>
      <c r="C80" s="55" t="str">
        <f t="shared" si="26"/>
        <v>4</v>
      </c>
      <c r="D80" s="55">
        <f t="shared" si="27"/>
        <v>2</v>
      </c>
      <c r="E80" s="49">
        <v>1</v>
      </c>
      <c r="F80" s="57">
        <v>1</v>
      </c>
      <c r="G80" s="57">
        <v>2</v>
      </c>
      <c r="H80" s="57" t="str">
        <f t="shared" si="3"/>
        <v>Item_Name_14240001</v>
      </c>
      <c r="I80" s="57" t="s">
        <v>555</v>
      </c>
      <c r="J80" s="57">
        <v>10104001</v>
      </c>
      <c r="K80" s="57">
        <v>4</v>
      </c>
      <c r="L80" s="57">
        <v>0</v>
      </c>
      <c r="M80" s="57">
        <v>0</v>
      </c>
      <c r="N80" s="57">
        <v>15</v>
      </c>
      <c r="O80" s="57">
        <v>100</v>
      </c>
      <c r="P80" s="57">
        <v>1</v>
      </c>
      <c r="Q80" s="57" t="s">
        <v>728</v>
      </c>
      <c r="R80" s="57" t="s">
        <v>531</v>
      </c>
      <c r="S80" s="57" t="s">
        <v>321</v>
      </c>
      <c r="T80" s="57" t="s">
        <v>400</v>
      </c>
      <c r="U80" s="57">
        <v>0</v>
      </c>
      <c r="V80" s="57">
        <v>0</v>
      </c>
      <c r="W80" s="57">
        <v>17</v>
      </c>
      <c r="X80" s="57">
        <v>19</v>
      </c>
      <c r="Y80" s="57">
        <v>1002</v>
      </c>
      <c r="Z80" s="57">
        <v>1102</v>
      </c>
      <c r="AA80" s="57">
        <v>1202</v>
      </c>
      <c r="AB80" s="57">
        <v>1206</v>
      </c>
      <c r="AC80" s="57">
        <v>0</v>
      </c>
      <c r="AD80" s="57">
        <v>0</v>
      </c>
      <c r="AE80" s="58">
        <v>0</v>
      </c>
      <c r="AF80" s="30">
        <v>0</v>
      </c>
      <c r="AG80" s="57">
        <v>0</v>
      </c>
      <c r="AH80" s="57">
        <v>0</v>
      </c>
      <c r="AI80" s="57">
        <v>0</v>
      </c>
      <c r="AJ80" s="57">
        <v>0</v>
      </c>
      <c r="AK80" s="57">
        <v>0</v>
      </c>
      <c r="AL80" s="57">
        <v>0</v>
      </c>
      <c r="AM80" s="57">
        <v>0</v>
      </c>
      <c r="AN80" s="57">
        <v>0</v>
      </c>
      <c r="AO80" s="57">
        <v>0</v>
      </c>
      <c r="AP80" s="57">
        <v>0</v>
      </c>
      <c r="AQ80" s="57">
        <v>0</v>
      </c>
      <c r="AR80" s="57">
        <v>0</v>
      </c>
      <c r="AS80" s="57">
        <v>0</v>
      </c>
      <c r="AT80" s="57">
        <v>0</v>
      </c>
      <c r="AU80" s="57">
        <v>0</v>
      </c>
      <c r="AV80" s="57">
        <v>0</v>
      </c>
      <c r="AW80" s="57">
        <v>0</v>
      </c>
      <c r="AX80" s="57">
        <v>0</v>
      </c>
      <c r="AY80" s="57">
        <v>0</v>
      </c>
      <c r="AZ80" s="57">
        <v>0</v>
      </c>
      <c r="BA80" s="57">
        <v>0</v>
      </c>
      <c r="BB80" s="57">
        <v>0</v>
      </c>
      <c r="BC80" s="57">
        <v>0</v>
      </c>
      <c r="BD80" s="57">
        <v>0</v>
      </c>
      <c r="BE80" s="57">
        <v>0</v>
      </c>
      <c r="BF80" s="57">
        <v>0</v>
      </c>
      <c r="BG80" s="57">
        <v>0</v>
      </c>
      <c r="BH80" s="57">
        <v>0</v>
      </c>
      <c r="BI80" s="57">
        <v>0</v>
      </c>
      <c r="BJ80" s="57">
        <v>0</v>
      </c>
      <c r="BK80" s="57">
        <v>0</v>
      </c>
      <c r="BL80" s="57">
        <v>0</v>
      </c>
      <c r="BM80" s="57">
        <v>0</v>
      </c>
      <c r="BN80" s="57">
        <v>0</v>
      </c>
      <c r="BO80" s="57">
        <v>0</v>
      </c>
      <c r="BP80" s="57">
        <v>0</v>
      </c>
      <c r="BQ80" s="57">
        <v>0</v>
      </c>
      <c r="BR80" s="57">
        <v>0</v>
      </c>
      <c r="BS80" s="57">
        <v>0</v>
      </c>
      <c r="BT80" s="57">
        <v>0</v>
      </c>
      <c r="BU80" s="57">
        <v>0</v>
      </c>
      <c r="BV80" s="57">
        <v>0</v>
      </c>
      <c r="BW80" s="57">
        <v>0</v>
      </c>
      <c r="BX80" s="57">
        <v>0</v>
      </c>
      <c r="BY80" s="57">
        <v>0</v>
      </c>
      <c r="BZ80" s="57">
        <v>0</v>
      </c>
      <c r="CA80" s="57">
        <v>0</v>
      </c>
    </row>
    <row r="81" spans="1:79" x14ac:dyDescent="0.3">
      <c r="A81" s="19"/>
      <c r="B81" s="20" t="str">
        <f t="shared" si="0"/>
        <v>11310001</v>
      </c>
      <c r="C81" s="55" t="str">
        <f t="shared" si="1"/>
        <v>1</v>
      </c>
      <c r="D81" s="55">
        <f t="shared" si="2"/>
        <v>3</v>
      </c>
      <c r="E81" s="49">
        <v>1</v>
      </c>
      <c r="F81" s="20">
        <v>1</v>
      </c>
      <c r="G81" s="20">
        <v>3</v>
      </c>
      <c r="H81" s="20" t="str">
        <f t="shared" si="3"/>
        <v>Item_Name_11310001</v>
      </c>
      <c r="I81" s="20" t="s">
        <v>183</v>
      </c>
      <c r="J81" s="20">
        <v>10101001</v>
      </c>
      <c r="K81" s="20">
        <v>1</v>
      </c>
      <c r="L81" s="20">
        <v>0</v>
      </c>
      <c r="M81" s="20">
        <v>0</v>
      </c>
      <c r="N81" s="20">
        <v>15</v>
      </c>
      <c r="O81" s="20">
        <v>100</v>
      </c>
      <c r="P81" s="20">
        <v>1</v>
      </c>
      <c r="Q81" s="20" t="s">
        <v>377</v>
      </c>
      <c r="R81" s="20" t="s">
        <v>171</v>
      </c>
      <c r="S81" s="20" t="s">
        <v>322</v>
      </c>
      <c r="T81" s="20" t="s">
        <v>400</v>
      </c>
      <c r="U81" s="20">
        <v>0</v>
      </c>
      <c r="V81" s="20">
        <v>0</v>
      </c>
      <c r="W81" s="20">
        <v>17</v>
      </c>
      <c r="X81" s="20">
        <v>45</v>
      </c>
      <c r="Y81" s="20">
        <v>1005</v>
      </c>
      <c r="Z81" s="20">
        <v>0</v>
      </c>
      <c r="AA81" s="20">
        <v>0</v>
      </c>
      <c r="AB81" s="20">
        <v>0</v>
      </c>
      <c r="AC81" s="20">
        <v>0</v>
      </c>
      <c r="AD81" s="20">
        <v>0</v>
      </c>
      <c r="AE81" s="39">
        <v>0</v>
      </c>
      <c r="AF81" s="31">
        <v>0</v>
      </c>
      <c r="AG81" s="20">
        <v>0</v>
      </c>
      <c r="AH81" s="20">
        <v>0</v>
      </c>
      <c r="AI81" s="20">
        <v>0</v>
      </c>
      <c r="AJ81" s="20">
        <v>0</v>
      </c>
      <c r="AK81" s="20">
        <v>0</v>
      </c>
      <c r="AL81" s="20">
        <v>0</v>
      </c>
      <c r="AM81" s="20">
        <v>0</v>
      </c>
      <c r="AN81" s="20">
        <v>0</v>
      </c>
      <c r="AO81" s="20">
        <v>0</v>
      </c>
      <c r="AP81" s="20">
        <v>0</v>
      </c>
      <c r="AQ81" s="20">
        <v>0</v>
      </c>
      <c r="AR81" s="20">
        <v>0</v>
      </c>
      <c r="AS81" s="20">
        <v>0</v>
      </c>
      <c r="AT81" s="20">
        <v>0</v>
      </c>
      <c r="AU81" s="20">
        <v>0</v>
      </c>
      <c r="AV81" s="20">
        <v>0</v>
      </c>
      <c r="AW81" s="20">
        <v>0</v>
      </c>
      <c r="AX81" s="20">
        <v>0</v>
      </c>
      <c r="AY81" s="20">
        <v>0</v>
      </c>
      <c r="AZ81" s="20">
        <v>0</v>
      </c>
      <c r="BA81" s="20">
        <v>0</v>
      </c>
      <c r="BB81" s="20">
        <v>0</v>
      </c>
      <c r="BC81" s="20">
        <v>0</v>
      </c>
      <c r="BD81" s="20">
        <v>0</v>
      </c>
      <c r="BE81" s="20">
        <v>0</v>
      </c>
      <c r="BF81" s="20">
        <v>0</v>
      </c>
      <c r="BG81" s="20">
        <v>0</v>
      </c>
      <c r="BH81" s="20">
        <v>0</v>
      </c>
      <c r="BI81" s="20">
        <v>0</v>
      </c>
      <c r="BJ81" s="20">
        <v>0</v>
      </c>
      <c r="BK81" s="20">
        <v>0</v>
      </c>
      <c r="BL81" s="20">
        <v>0</v>
      </c>
      <c r="BM81" s="20">
        <v>0</v>
      </c>
      <c r="BN81" s="20">
        <v>0</v>
      </c>
      <c r="BO81" s="20">
        <v>0</v>
      </c>
      <c r="BP81" s="20">
        <v>0</v>
      </c>
      <c r="BQ81" s="20">
        <v>0</v>
      </c>
      <c r="BR81" s="20">
        <v>0</v>
      </c>
      <c r="BS81" s="20">
        <v>0</v>
      </c>
      <c r="BT81" s="20">
        <v>0</v>
      </c>
      <c r="BU81" s="20">
        <v>0</v>
      </c>
      <c r="BV81" s="20">
        <v>0</v>
      </c>
      <c r="BW81" s="20">
        <v>0</v>
      </c>
      <c r="BX81" s="20">
        <v>0</v>
      </c>
      <c r="BY81" s="20">
        <v>0</v>
      </c>
      <c r="BZ81" s="20">
        <v>0</v>
      </c>
      <c r="CA81" s="20">
        <v>0</v>
      </c>
    </row>
    <row r="82" spans="1:79" x14ac:dyDescent="0.3">
      <c r="A82" s="19"/>
      <c r="B82" s="20" t="str">
        <f t="shared" si="0"/>
        <v>11320001</v>
      </c>
      <c r="C82" s="55" t="str">
        <f t="shared" si="1"/>
        <v>1</v>
      </c>
      <c r="D82" s="55">
        <f t="shared" si="2"/>
        <v>3</v>
      </c>
      <c r="E82" s="49">
        <v>1</v>
      </c>
      <c r="F82" s="20">
        <v>1</v>
      </c>
      <c r="G82" s="20">
        <v>3</v>
      </c>
      <c r="H82" s="20" t="str">
        <f t="shared" si="3"/>
        <v>Item_Name_11320001</v>
      </c>
      <c r="I82" s="20" t="s">
        <v>184</v>
      </c>
      <c r="J82" s="20">
        <v>10101001</v>
      </c>
      <c r="K82" s="20">
        <v>2</v>
      </c>
      <c r="L82" s="20">
        <v>0</v>
      </c>
      <c r="M82" s="20">
        <v>0</v>
      </c>
      <c r="N82" s="20">
        <v>15</v>
      </c>
      <c r="O82" s="20">
        <v>100</v>
      </c>
      <c r="P82" s="20">
        <v>1</v>
      </c>
      <c r="Q82" s="20" t="s">
        <v>406</v>
      </c>
      <c r="R82" s="20" t="s">
        <v>256</v>
      </c>
      <c r="S82" s="20" t="s">
        <v>322</v>
      </c>
      <c r="T82" s="20" t="s">
        <v>400</v>
      </c>
      <c r="U82" s="20">
        <v>0</v>
      </c>
      <c r="V82" s="20">
        <v>0</v>
      </c>
      <c r="W82" s="20">
        <v>17</v>
      </c>
      <c r="X82" s="20">
        <v>57</v>
      </c>
      <c r="Y82" s="20">
        <v>1105</v>
      </c>
      <c r="Z82" s="20">
        <v>1101</v>
      </c>
      <c r="AA82" s="20">
        <v>0</v>
      </c>
      <c r="AB82" s="20">
        <v>0</v>
      </c>
      <c r="AC82" s="20">
        <v>0</v>
      </c>
      <c r="AD82" s="20">
        <v>0</v>
      </c>
      <c r="AE82" s="39">
        <v>0</v>
      </c>
      <c r="AF82" s="31">
        <v>0</v>
      </c>
      <c r="AG82" s="20">
        <v>0</v>
      </c>
      <c r="AH82" s="20">
        <v>0</v>
      </c>
      <c r="AI82" s="20">
        <v>0</v>
      </c>
      <c r="AJ82" s="20">
        <v>0</v>
      </c>
      <c r="AK82" s="20">
        <v>0</v>
      </c>
      <c r="AL82" s="20">
        <v>0</v>
      </c>
      <c r="AM82" s="20">
        <v>0</v>
      </c>
      <c r="AN82" s="20">
        <v>0</v>
      </c>
      <c r="AO82" s="20">
        <v>0</v>
      </c>
      <c r="AP82" s="20">
        <v>0</v>
      </c>
      <c r="AQ82" s="20">
        <v>0</v>
      </c>
      <c r="AR82" s="20">
        <v>0</v>
      </c>
      <c r="AS82" s="20">
        <v>0</v>
      </c>
      <c r="AT82" s="20">
        <v>0</v>
      </c>
      <c r="AU82" s="20">
        <v>0</v>
      </c>
      <c r="AV82" s="20">
        <v>0</v>
      </c>
      <c r="AW82" s="20">
        <v>0</v>
      </c>
      <c r="AX82" s="20">
        <v>0</v>
      </c>
      <c r="AY82" s="20">
        <v>0</v>
      </c>
      <c r="AZ82" s="20">
        <v>0</v>
      </c>
      <c r="BA82" s="20">
        <v>0</v>
      </c>
      <c r="BB82" s="20">
        <v>0</v>
      </c>
      <c r="BC82" s="20">
        <v>0</v>
      </c>
      <c r="BD82" s="20">
        <v>0</v>
      </c>
      <c r="BE82" s="20">
        <v>0</v>
      </c>
      <c r="BF82" s="20">
        <v>0</v>
      </c>
      <c r="BG82" s="20">
        <v>0</v>
      </c>
      <c r="BH82" s="20">
        <v>0</v>
      </c>
      <c r="BI82" s="20">
        <v>0</v>
      </c>
      <c r="BJ82" s="20">
        <v>0</v>
      </c>
      <c r="BK82" s="20">
        <v>0</v>
      </c>
      <c r="BL82" s="20">
        <v>0</v>
      </c>
      <c r="BM82" s="20">
        <v>0</v>
      </c>
      <c r="BN82" s="20">
        <v>0</v>
      </c>
      <c r="BO82" s="20">
        <v>0</v>
      </c>
      <c r="BP82" s="20">
        <v>0</v>
      </c>
      <c r="BQ82" s="20">
        <v>0</v>
      </c>
      <c r="BR82" s="20">
        <v>0</v>
      </c>
      <c r="BS82" s="20">
        <v>0</v>
      </c>
      <c r="BT82" s="20">
        <v>0</v>
      </c>
      <c r="BU82" s="20">
        <v>0</v>
      </c>
      <c r="BV82" s="20">
        <v>0</v>
      </c>
      <c r="BW82" s="20">
        <v>0</v>
      </c>
      <c r="BX82" s="20">
        <v>0</v>
      </c>
      <c r="BY82" s="20">
        <v>0</v>
      </c>
      <c r="BZ82" s="20">
        <v>0</v>
      </c>
      <c r="CA82" s="20">
        <v>0</v>
      </c>
    </row>
    <row r="83" spans="1:79" x14ac:dyDescent="0.3">
      <c r="A83" s="19"/>
      <c r="B83" s="20" t="str">
        <f t="shared" si="0"/>
        <v>11330001</v>
      </c>
      <c r="C83" s="55" t="str">
        <f t="shared" si="1"/>
        <v>1</v>
      </c>
      <c r="D83" s="55">
        <f t="shared" si="2"/>
        <v>3</v>
      </c>
      <c r="E83" s="49">
        <v>1</v>
      </c>
      <c r="F83" s="20">
        <v>1</v>
      </c>
      <c r="G83" s="20">
        <v>3</v>
      </c>
      <c r="H83" s="20" t="str">
        <f t="shared" si="3"/>
        <v>Item_Name_11330001</v>
      </c>
      <c r="I83" s="20" t="s">
        <v>185</v>
      </c>
      <c r="J83" s="20">
        <v>10101001</v>
      </c>
      <c r="K83" s="20">
        <v>3</v>
      </c>
      <c r="L83" s="20">
        <v>0</v>
      </c>
      <c r="M83" s="20">
        <v>0</v>
      </c>
      <c r="N83" s="20">
        <v>15</v>
      </c>
      <c r="O83" s="20">
        <v>100</v>
      </c>
      <c r="P83" s="20">
        <v>1</v>
      </c>
      <c r="Q83" s="20" t="s">
        <v>407</v>
      </c>
      <c r="R83" s="20" t="s">
        <v>257</v>
      </c>
      <c r="S83" s="20" t="s">
        <v>322</v>
      </c>
      <c r="T83" s="20" t="s">
        <v>400</v>
      </c>
      <c r="U83" s="20">
        <v>0</v>
      </c>
      <c r="V83" s="20">
        <v>0</v>
      </c>
      <c r="W83" s="20">
        <v>17</v>
      </c>
      <c r="X83" s="20">
        <v>72</v>
      </c>
      <c r="Y83" s="20">
        <v>1205</v>
      </c>
      <c r="Z83" s="20">
        <v>1101</v>
      </c>
      <c r="AA83" s="20">
        <v>1201</v>
      </c>
      <c r="AB83" s="20">
        <v>0</v>
      </c>
      <c r="AC83" s="20">
        <v>0</v>
      </c>
      <c r="AD83" s="20">
        <v>0</v>
      </c>
      <c r="AE83" s="39">
        <v>0</v>
      </c>
      <c r="AF83" s="31">
        <v>0</v>
      </c>
      <c r="AG83" s="20">
        <v>0</v>
      </c>
      <c r="AH83" s="20">
        <v>0</v>
      </c>
      <c r="AI83" s="20">
        <v>0</v>
      </c>
      <c r="AJ83" s="20">
        <v>0</v>
      </c>
      <c r="AK83" s="20">
        <v>0</v>
      </c>
      <c r="AL83" s="20">
        <v>0</v>
      </c>
      <c r="AM83" s="20">
        <v>0</v>
      </c>
      <c r="AN83" s="20">
        <v>0</v>
      </c>
      <c r="AO83" s="20">
        <v>0</v>
      </c>
      <c r="AP83" s="20">
        <v>0</v>
      </c>
      <c r="AQ83" s="20">
        <v>0</v>
      </c>
      <c r="AR83" s="20">
        <v>0</v>
      </c>
      <c r="AS83" s="20">
        <v>0</v>
      </c>
      <c r="AT83" s="20">
        <v>0</v>
      </c>
      <c r="AU83" s="20">
        <v>0</v>
      </c>
      <c r="AV83" s="20">
        <v>0</v>
      </c>
      <c r="AW83" s="20">
        <v>0</v>
      </c>
      <c r="AX83" s="20">
        <v>0</v>
      </c>
      <c r="AY83" s="20">
        <v>0</v>
      </c>
      <c r="AZ83" s="20">
        <v>0</v>
      </c>
      <c r="BA83" s="20">
        <v>0</v>
      </c>
      <c r="BB83" s="20">
        <v>0</v>
      </c>
      <c r="BC83" s="20">
        <v>0</v>
      </c>
      <c r="BD83" s="20">
        <v>0</v>
      </c>
      <c r="BE83" s="20">
        <v>0</v>
      </c>
      <c r="BF83" s="20">
        <v>0</v>
      </c>
      <c r="BG83" s="20">
        <v>0</v>
      </c>
      <c r="BH83" s="20">
        <v>0</v>
      </c>
      <c r="BI83" s="20">
        <v>0</v>
      </c>
      <c r="BJ83" s="20">
        <v>0</v>
      </c>
      <c r="BK83" s="20">
        <v>0</v>
      </c>
      <c r="BL83" s="20">
        <v>0</v>
      </c>
      <c r="BM83" s="20">
        <v>0</v>
      </c>
      <c r="BN83" s="20">
        <v>0</v>
      </c>
      <c r="BO83" s="20">
        <v>0</v>
      </c>
      <c r="BP83" s="20">
        <v>0</v>
      </c>
      <c r="BQ83" s="20">
        <v>0</v>
      </c>
      <c r="BR83" s="20">
        <v>0</v>
      </c>
      <c r="BS83" s="20">
        <v>0</v>
      </c>
      <c r="BT83" s="20">
        <v>0</v>
      </c>
      <c r="BU83" s="20">
        <v>0</v>
      </c>
      <c r="BV83" s="20">
        <v>0</v>
      </c>
      <c r="BW83" s="20">
        <v>0</v>
      </c>
      <c r="BX83" s="20">
        <v>0</v>
      </c>
      <c r="BY83" s="20">
        <v>0</v>
      </c>
      <c r="BZ83" s="20">
        <v>0</v>
      </c>
      <c r="CA83" s="20">
        <v>0</v>
      </c>
    </row>
    <row r="84" spans="1:79" x14ac:dyDescent="0.3">
      <c r="A84" s="19"/>
      <c r="B84" s="20" t="str">
        <f t="shared" si="0"/>
        <v>11340001</v>
      </c>
      <c r="C84" s="55" t="str">
        <f t="shared" ref="C84" si="28">IF(J84&gt;0,MID(J84,5, 1), 0)</f>
        <v>1</v>
      </c>
      <c r="D84" s="55">
        <f t="shared" ref="D84" si="29">IF(G84&lt;100, G84, G84-100)</f>
        <v>3</v>
      </c>
      <c r="E84" s="49">
        <v>1</v>
      </c>
      <c r="F84" s="57">
        <v>1</v>
      </c>
      <c r="G84" s="57">
        <v>3</v>
      </c>
      <c r="H84" s="57" t="str">
        <f t="shared" si="3"/>
        <v>Item_Name_11340001</v>
      </c>
      <c r="I84" s="57" t="s">
        <v>556</v>
      </c>
      <c r="J84" s="57">
        <v>10101001</v>
      </c>
      <c r="K84" s="57">
        <v>4</v>
      </c>
      <c r="L84" s="57">
        <v>0</v>
      </c>
      <c r="M84" s="57">
        <v>0</v>
      </c>
      <c r="N84" s="57">
        <v>15</v>
      </c>
      <c r="O84" s="57">
        <v>100</v>
      </c>
      <c r="P84" s="57">
        <v>1</v>
      </c>
      <c r="Q84" s="57" t="s">
        <v>729</v>
      </c>
      <c r="R84" s="57" t="s">
        <v>531</v>
      </c>
      <c r="S84" s="57" t="s">
        <v>322</v>
      </c>
      <c r="T84" s="57" t="s">
        <v>400</v>
      </c>
      <c r="U84" s="57">
        <v>0</v>
      </c>
      <c r="V84" s="57">
        <v>0</v>
      </c>
      <c r="W84" s="57">
        <v>17</v>
      </c>
      <c r="X84" s="57">
        <v>101</v>
      </c>
      <c r="Y84" s="57">
        <v>1205</v>
      </c>
      <c r="Z84" s="57">
        <v>1101</v>
      </c>
      <c r="AA84" s="57">
        <v>1201</v>
      </c>
      <c r="AB84" s="57">
        <v>1205</v>
      </c>
      <c r="AC84" s="57">
        <v>0</v>
      </c>
      <c r="AD84" s="57">
        <v>0</v>
      </c>
      <c r="AE84" s="58">
        <v>0</v>
      </c>
      <c r="AF84" s="30">
        <v>0</v>
      </c>
      <c r="AG84" s="57">
        <v>0</v>
      </c>
      <c r="AH84" s="57">
        <v>0</v>
      </c>
      <c r="AI84" s="57">
        <v>0</v>
      </c>
      <c r="AJ84" s="57">
        <v>0</v>
      </c>
      <c r="AK84" s="57">
        <v>0</v>
      </c>
      <c r="AL84" s="57">
        <v>0</v>
      </c>
      <c r="AM84" s="57">
        <v>0</v>
      </c>
      <c r="AN84" s="57">
        <v>0</v>
      </c>
      <c r="AO84" s="57">
        <v>0</v>
      </c>
      <c r="AP84" s="57">
        <v>0</v>
      </c>
      <c r="AQ84" s="57">
        <v>0</v>
      </c>
      <c r="AR84" s="57">
        <v>0</v>
      </c>
      <c r="AS84" s="57">
        <v>0</v>
      </c>
      <c r="AT84" s="57">
        <v>0</v>
      </c>
      <c r="AU84" s="57">
        <v>0</v>
      </c>
      <c r="AV84" s="57">
        <v>0</v>
      </c>
      <c r="AW84" s="57">
        <v>0</v>
      </c>
      <c r="AX84" s="57">
        <v>0</v>
      </c>
      <c r="AY84" s="57">
        <v>0</v>
      </c>
      <c r="AZ84" s="57">
        <v>0</v>
      </c>
      <c r="BA84" s="57">
        <v>0</v>
      </c>
      <c r="BB84" s="57">
        <v>0</v>
      </c>
      <c r="BC84" s="57">
        <v>0</v>
      </c>
      <c r="BD84" s="57">
        <v>0</v>
      </c>
      <c r="BE84" s="57">
        <v>0</v>
      </c>
      <c r="BF84" s="57">
        <v>0</v>
      </c>
      <c r="BG84" s="57">
        <v>0</v>
      </c>
      <c r="BH84" s="57">
        <v>0</v>
      </c>
      <c r="BI84" s="57">
        <v>0</v>
      </c>
      <c r="BJ84" s="57">
        <v>0</v>
      </c>
      <c r="BK84" s="57">
        <v>0</v>
      </c>
      <c r="BL84" s="57">
        <v>0</v>
      </c>
      <c r="BM84" s="57">
        <v>0</v>
      </c>
      <c r="BN84" s="57">
        <v>0</v>
      </c>
      <c r="BO84" s="57">
        <v>0</v>
      </c>
      <c r="BP84" s="57">
        <v>0</v>
      </c>
      <c r="BQ84" s="57">
        <v>0</v>
      </c>
      <c r="BR84" s="57">
        <v>0</v>
      </c>
      <c r="BS84" s="57">
        <v>0</v>
      </c>
      <c r="BT84" s="57">
        <v>0</v>
      </c>
      <c r="BU84" s="57">
        <v>0</v>
      </c>
      <c r="BV84" s="57">
        <v>0</v>
      </c>
      <c r="BW84" s="57">
        <v>0</v>
      </c>
      <c r="BX84" s="57">
        <v>0</v>
      </c>
      <c r="BY84" s="57">
        <v>0</v>
      </c>
      <c r="BZ84" s="57">
        <v>0</v>
      </c>
      <c r="CA84" s="57">
        <v>0</v>
      </c>
    </row>
    <row r="85" spans="1:79" x14ac:dyDescent="0.3">
      <c r="A85" s="19"/>
      <c r="B85" s="20" t="str">
        <f t="shared" si="0"/>
        <v>12310001</v>
      </c>
      <c r="C85" s="55" t="str">
        <f t="shared" si="1"/>
        <v>2</v>
      </c>
      <c r="D85" s="55">
        <f t="shared" si="2"/>
        <v>3</v>
      </c>
      <c r="E85" s="49">
        <v>1</v>
      </c>
      <c r="F85" s="20">
        <v>1</v>
      </c>
      <c r="G85" s="20">
        <v>3</v>
      </c>
      <c r="H85" s="20" t="str">
        <f t="shared" si="3"/>
        <v>Item_Name_12310001</v>
      </c>
      <c r="I85" s="20" t="s">
        <v>180</v>
      </c>
      <c r="J85" s="20">
        <v>10102001</v>
      </c>
      <c r="K85" s="20">
        <v>1</v>
      </c>
      <c r="L85" s="20">
        <v>0</v>
      </c>
      <c r="M85" s="20">
        <v>0</v>
      </c>
      <c r="N85" s="20">
        <v>15</v>
      </c>
      <c r="O85" s="20">
        <v>100</v>
      </c>
      <c r="P85" s="20">
        <v>1</v>
      </c>
      <c r="Q85" s="20" t="s">
        <v>383</v>
      </c>
      <c r="R85" s="20" t="s">
        <v>171</v>
      </c>
      <c r="S85" s="20" t="s">
        <v>322</v>
      </c>
      <c r="T85" s="20" t="s">
        <v>400</v>
      </c>
      <c r="U85" s="20">
        <v>0</v>
      </c>
      <c r="V85" s="20">
        <v>0</v>
      </c>
      <c r="W85" s="20">
        <v>17</v>
      </c>
      <c r="X85" s="20">
        <v>14</v>
      </c>
      <c r="Y85" s="20">
        <v>1007</v>
      </c>
      <c r="Z85" s="20">
        <v>0</v>
      </c>
      <c r="AA85" s="20">
        <v>0</v>
      </c>
      <c r="AB85" s="20">
        <v>0</v>
      </c>
      <c r="AC85" s="20">
        <v>0</v>
      </c>
      <c r="AD85" s="20">
        <v>0</v>
      </c>
      <c r="AE85" s="39">
        <v>0</v>
      </c>
      <c r="AF85" s="31">
        <v>0</v>
      </c>
      <c r="AG85" s="20">
        <v>0</v>
      </c>
      <c r="AH85" s="20">
        <v>0</v>
      </c>
      <c r="AI85" s="20">
        <v>0</v>
      </c>
      <c r="AJ85" s="20">
        <v>0</v>
      </c>
      <c r="AK85" s="20">
        <v>0</v>
      </c>
      <c r="AL85" s="20">
        <v>0</v>
      </c>
      <c r="AM85" s="20">
        <v>0</v>
      </c>
      <c r="AN85" s="20">
        <v>0</v>
      </c>
      <c r="AO85" s="20">
        <v>0</v>
      </c>
      <c r="AP85" s="20">
        <v>0</v>
      </c>
      <c r="AQ85" s="20">
        <v>0</v>
      </c>
      <c r="AR85" s="20">
        <v>0</v>
      </c>
      <c r="AS85" s="20">
        <v>0</v>
      </c>
      <c r="AT85" s="20">
        <v>0</v>
      </c>
      <c r="AU85" s="20">
        <v>0</v>
      </c>
      <c r="AV85" s="20">
        <v>0</v>
      </c>
      <c r="AW85" s="20">
        <v>0</v>
      </c>
      <c r="AX85" s="20">
        <v>0</v>
      </c>
      <c r="AY85" s="20">
        <v>0</v>
      </c>
      <c r="AZ85" s="20">
        <v>0</v>
      </c>
      <c r="BA85" s="20">
        <v>0</v>
      </c>
      <c r="BB85" s="20">
        <v>0</v>
      </c>
      <c r="BC85" s="20">
        <v>0</v>
      </c>
      <c r="BD85" s="20">
        <v>0</v>
      </c>
      <c r="BE85" s="20">
        <v>0</v>
      </c>
      <c r="BF85" s="20">
        <v>0</v>
      </c>
      <c r="BG85" s="20">
        <v>0</v>
      </c>
      <c r="BH85" s="20">
        <v>0</v>
      </c>
      <c r="BI85" s="20">
        <v>0</v>
      </c>
      <c r="BJ85" s="20">
        <v>0</v>
      </c>
      <c r="BK85" s="20">
        <v>0</v>
      </c>
      <c r="BL85" s="20">
        <v>0</v>
      </c>
      <c r="BM85" s="20">
        <v>0</v>
      </c>
      <c r="BN85" s="20">
        <v>0</v>
      </c>
      <c r="BO85" s="20">
        <v>0</v>
      </c>
      <c r="BP85" s="20">
        <v>0</v>
      </c>
      <c r="BQ85" s="20">
        <v>0</v>
      </c>
      <c r="BR85" s="20">
        <v>0</v>
      </c>
      <c r="BS85" s="20">
        <v>0</v>
      </c>
      <c r="BT85" s="20">
        <v>0</v>
      </c>
      <c r="BU85" s="20">
        <v>0</v>
      </c>
      <c r="BV85" s="20">
        <v>0</v>
      </c>
      <c r="BW85" s="20">
        <v>0</v>
      </c>
      <c r="BX85" s="20">
        <v>0</v>
      </c>
      <c r="BY85" s="20">
        <v>0</v>
      </c>
      <c r="BZ85" s="20">
        <v>0</v>
      </c>
      <c r="CA85" s="20">
        <v>0</v>
      </c>
    </row>
    <row r="86" spans="1:79" x14ac:dyDescent="0.3">
      <c r="A86" s="19"/>
      <c r="B86" s="20" t="str">
        <f t="shared" si="0"/>
        <v>12320001</v>
      </c>
      <c r="C86" s="55" t="str">
        <f t="shared" si="1"/>
        <v>2</v>
      </c>
      <c r="D86" s="55">
        <f t="shared" si="2"/>
        <v>3</v>
      </c>
      <c r="E86" s="49">
        <v>1</v>
      </c>
      <c r="F86" s="20">
        <v>1</v>
      </c>
      <c r="G86" s="20">
        <v>3</v>
      </c>
      <c r="H86" s="20" t="str">
        <f t="shared" si="3"/>
        <v>Item_Name_12320001</v>
      </c>
      <c r="I86" s="20" t="s">
        <v>181</v>
      </c>
      <c r="J86" s="20">
        <v>10102001</v>
      </c>
      <c r="K86" s="20">
        <v>2</v>
      </c>
      <c r="L86" s="20">
        <v>0</v>
      </c>
      <c r="M86" s="20">
        <v>0</v>
      </c>
      <c r="N86" s="20">
        <v>15</v>
      </c>
      <c r="O86" s="20">
        <v>100</v>
      </c>
      <c r="P86" s="20">
        <v>1</v>
      </c>
      <c r="Q86" s="20" t="s">
        <v>408</v>
      </c>
      <c r="R86" s="20" t="s">
        <v>256</v>
      </c>
      <c r="S86" s="20" t="s">
        <v>322</v>
      </c>
      <c r="T86" s="20" t="s">
        <v>400</v>
      </c>
      <c r="U86" s="20">
        <v>0</v>
      </c>
      <c r="V86" s="20">
        <v>0</v>
      </c>
      <c r="W86" s="20">
        <v>17</v>
      </c>
      <c r="X86" s="20">
        <v>21</v>
      </c>
      <c r="Y86" s="20">
        <v>1107</v>
      </c>
      <c r="Z86" s="20">
        <v>1103</v>
      </c>
      <c r="AA86" s="20">
        <v>0</v>
      </c>
      <c r="AB86" s="20">
        <v>0</v>
      </c>
      <c r="AC86" s="20">
        <v>0</v>
      </c>
      <c r="AD86" s="20">
        <v>0</v>
      </c>
      <c r="AE86" s="39">
        <v>0</v>
      </c>
      <c r="AF86" s="31">
        <v>0</v>
      </c>
      <c r="AG86" s="20">
        <v>0</v>
      </c>
      <c r="AH86" s="20">
        <v>0</v>
      </c>
      <c r="AI86" s="20">
        <v>0</v>
      </c>
      <c r="AJ86" s="20">
        <v>0</v>
      </c>
      <c r="AK86" s="20">
        <v>0</v>
      </c>
      <c r="AL86" s="20">
        <v>0</v>
      </c>
      <c r="AM86" s="20">
        <v>0</v>
      </c>
      <c r="AN86" s="20">
        <v>0</v>
      </c>
      <c r="AO86" s="20">
        <v>0</v>
      </c>
      <c r="AP86" s="20">
        <v>0</v>
      </c>
      <c r="AQ86" s="20">
        <v>0</v>
      </c>
      <c r="AR86" s="20">
        <v>0</v>
      </c>
      <c r="AS86" s="20">
        <v>0</v>
      </c>
      <c r="AT86" s="20">
        <v>0</v>
      </c>
      <c r="AU86" s="20">
        <v>0</v>
      </c>
      <c r="AV86" s="20">
        <v>0</v>
      </c>
      <c r="AW86" s="20">
        <v>0</v>
      </c>
      <c r="AX86" s="20">
        <v>0</v>
      </c>
      <c r="AY86" s="20">
        <v>0</v>
      </c>
      <c r="AZ86" s="20">
        <v>0</v>
      </c>
      <c r="BA86" s="20">
        <v>0</v>
      </c>
      <c r="BB86" s="20">
        <v>0</v>
      </c>
      <c r="BC86" s="20">
        <v>0</v>
      </c>
      <c r="BD86" s="20">
        <v>0</v>
      </c>
      <c r="BE86" s="20">
        <v>0</v>
      </c>
      <c r="BF86" s="20">
        <v>0</v>
      </c>
      <c r="BG86" s="20">
        <v>0</v>
      </c>
      <c r="BH86" s="20">
        <v>0</v>
      </c>
      <c r="BI86" s="20">
        <v>0</v>
      </c>
      <c r="BJ86" s="20">
        <v>0</v>
      </c>
      <c r="BK86" s="20">
        <v>0</v>
      </c>
      <c r="BL86" s="20">
        <v>0</v>
      </c>
      <c r="BM86" s="20">
        <v>0</v>
      </c>
      <c r="BN86" s="20">
        <v>0</v>
      </c>
      <c r="BO86" s="20">
        <v>0</v>
      </c>
      <c r="BP86" s="20">
        <v>0</v>
      </c>
      <c r="BQ86" s="20">
        <v>0</v>
      </c>
      <c r="BR86" s="20">
        <v>0</v>
      </c>
      <c r="BS86" s="20">
        <v>0</v>
      </c>
      <c r="BT86" s="20">
        <v>0</v>
      </c>
      <c r="BU86" s="20">
        <v>0</v>
      </c>
      <c r="BV86" s="20">
        <v>0</v>
      </c>
      <c r="BW86" s="20">
        <v>0</v>
      </c>
      <c r="BX86" s="20">
        <v>0</v>
      </c>
      <c r="BY86" s="20">
        <v>0</v>
      </c>
      <c r="BZ86" s="20">
        <v>0</v>
      </c>
      <c r="CA86" s="20">
        <v>0</v>
      </c>
    </row>
    <row r="87" spans="1:79" x14ac:dyDescent="0.3">
      <c r="A87" s="19"/>
      <c r="B87" s="20" t="str">
        <f t="shared" si="0"/>
        <v>12330001</v>
      </c>
      <c r="C87" s="55" t="str">
        <f t="shared" si="1"/>
        <v>2</v>
      </c>
      <c r="D87" s="55">
        <f t="shared" si="2"/>
        <v>3</v>
      </c>
      <c r="E87" s="49">
        <v>1</v>
      </c>
      <c r="F87" s="20">
        <v>1</v>
      </c>
      <c r="G87" s="20">
        <v>3</v>
      </c>
      <c r="H87" s="20" t="str">
        <f t="shared" si="3"/>
        <v>Item_Name_12330001</v>
      </c>
      <c r="I87" s="20" t="s">
        <v>182</v>
      </c>
      <c r="J87" s="20">
        <v>10102001</v>
      </c>
      <c r="K87" s="20">
        <v>3</v>
      </c>
      <c r="L87" s="20">
        <v>0</v>
      </c>
      <c r="M87" s="20">
        <v>0</v>
      </c>
      <c r="N87" s="20">
        <v>15</v>
      </c>
      <c r="O87" s="20">
        <v>100</v>
      </c>
      <c r="P87" s="20">
        <v>1</v>
      </c>
      <c r="Q87" s="20" t="s">
        <v>409</v>
      </c>
      <c r="R87" s="20" t="s">
        <v>257</v>
      </c>
      <c r="S87" s="20" t="s">
        <v>322</v>
      </c>
      <c r="T87" s="20" t="s">
        <v>400</v>
      </c>
      <c r="U87" s="20">
        <v>0</v>
      </c>
      <c r="V87" s="20">
        <v>0</v>
      </c>
      <c r="W87" s="20">
        <v>17</v>
      </c>
      <c r="X87" s="20">
        <v>32</v>
      </c>
      <c r="Y87" s="20">
        <v>1207</v>
      </c>
      <c r="Z87" s="20">
        <v>1103</v>
      </c>
      <c r="AA87" s="20">
        <v>1203</v>
      </c>
      <c r="AB87" s="20">
        <v>0</v>
      </c>
      <c r="AC87" s="20">
        <v>0</v>
      </c>
      <c r="AD87" s="20">
        <v>0</v>
      </c>
      <c r="AE87" s="39">
        <v>0</v>
      </c>
      <c r="AF87" s="31">
        <v>0</v>
      </c>
      <c r="AG87" s="20">
        <v>0</v>
      </c>
      <c r="AH87" s="20">
        <v>0</v>
      </c>
      <c r="AI87" s="20">
        <v>0</v>
      </c>
      <c r="AJ87" s="20">
        <v>0</v>
      </c>
      <c r="AK87" s="20">
        <v>0</v>
      </c>
      <c r="AL87" s="20">
        <v>0</v>
      </c>
      <c r="AM87" s="20">
        <v>0</v>
      </c>
      <c r="AN87" s="20">
        <v>0</v>
      </c>
      <c r="AO87" s="20">
        <v>0</v>
      </c>
      <c r="AP87" s="20">
        <v>0</v>
      </c>
      <c r="AQ87" s="20">
        <v>0</v>
      </c>
      <c r="AR87" s="20">
        <v>0</v>
      </c>
      <c r="AS87" s="20">
        <v>0</v>
      </c>
      <c r="AT87" s="20">
        <v>0</v>
      </c>
      <c r="AU87" s="20">
        <v>0</v>
      </c>
      <c r="AV87" s="20">
        <v>0</v>
      </c>
      <c r="AW87" s="20">
        <v>0</v>
      </c>
      <c r="AX87" s="20">
        <v>0</v>
      </c>
      <c r="AY87" s="20">
        <v>0</v>
      </c>
      <c r="AZ87" s="20">
        <v>0</v>
      </c>
      <c r="BA87" s="20">
        <v>0</v>
      </c>
      <c r="BB87" s="20">
        <v>0</v>
      </c>
      <c r="BC87" s="20">
        <v>0</v>
      </c>
      <c r="BD87" s="20">
        <v>0</v>
      </c>
      <c r="BE87" s="20">
        <v>0</v>
      </c>
      <c r="BF87" s="20">
        <v>0</v>
      </c>
      <c r="BG87" s="20">
        <v>0</v>
      </c>
      <c r="BH87" s="20">
        <v>0</v>
      </c>
      <c r="BI87" s="20">
        <v>0</v>
      </c>
      <c r="BJ87" s="20">
        <v>0</v>
      </c>
      <c r="BK87" s="20">
        <v>0</v>
      </c>
      <c r="BL87" s="20">
        <v>0</v>
      </c>
      <c r="BM87" s="20">
        <v>0</v>
      </c>
      <c r="BN87" s="20">
        <v>0</v>
      </c>
      <c r="BO87" s="20">
        <v>0</v>
      </c>
      <c r="BP87" s="20">
        <v>0</v>
      </c>
      <c r="BQ87" s="20">
        <v>0</v>
      </c>
      <c r="BR87" s="20">
        <v>0</v>
      </c>
      <c r="BS87" s="20">
        <v>0</v>
      </c>
      <c r="BT87" s="20">
        <v>0</v>
      </c>
      <c r="BU87" s="20">
        <v>0</v>
      </c>
      <c r="BV87" s="20">
        <v>0</v>
      </c>
      <c r="BW87" s="20">
        <v>0</v>
      </c>
      <c r="BX87" s="20">
        <v>0</v>
      </c>
      <c r="BY87" s="20">
        <v>0</v>
      </c>
      <c r="BZ87" s="20">
        <v>0</v>
      </c>
      <c r="CA87" s="20">
        <v>0</v>
      </c>
    </row>
    <row r="88" spans="1:79" x14ac:dyDescent="0.3">
      <c r="A88" s="19"/>
      <c r="B88" s="20" t="str">
        <f t="shared" si="0"/>
        <v>12340001</v>
      </c>
      <c r="C88" s="55" t="str">
        <f t="shared" ref="C88" si="30">IF(J88&gt;0,MID(J88,5, 1), 0)</f>
        <v>2</v>
      </c>
      <c r="D88" s="55">
        <f t="shared" ref="D88" si="31">IF(G88&lt;100, G88, G88-100)</f>
        <v>3</v>
      </c>
      <c r="E88" s="49">
        <v>1</v>
      </c>
      <c r="F88" s="57">
        <v>1</v>
      </c>
      <c r="G88" s="57">
        <v>3</v>
      </c>
      <c r="H88" s="57" t="str">
        <f t="shared" si="3"/>
        <v>Item_Name_12340001</v>
      </c>
      <c r="I88" s="57" t="s">
        <v>557</v>
      </c>
      <c r="J88" s="57">
        <v>10102001</v>
      </c>
      <c r="K88" s="57">
        <v>4</v>
      </c>
      <c r="L88" s="57">
        <v>0</v>
      </c>
      <c r="M88" s="57">
        <v>0</v>
      </c>
      <c r="N88" s="57">
        <v>15</v>
      </c>
      <c r="O88" s="57">
        <v>100</v>
      </c>
      <c r="P88" s="57">
        <v>1</v>
      </c>
      <c r="Q88" s="57" t="s">
        <v>730</v>
      </c>
      <c r="R88" s="57" t="s">
        <v>531</v>
      </c>
      <c r="S88" s="57" t="s">
        <v>322</v>
      </c>
      <c r="T88" s="57" t="s">
        <v>400</v>
      </c>
      <c r="U88" s="57">
        <v>0</v>
      </c>
      <c r="V88" s="57">
        <v>0</v>
      </c>
      <c r="W88" s="57">
        <v>17</v>
      </c>
      <c r="X88" s="57">
        <v>68</v>
      </c>
      <c r="Y88" s="57">
        <v>1207</v>
      </c>
      <c r="Z88" s="57">
        <v>1103</v>
      </c>
      <c r="AA88" s="57">
        <v>1203</v>
      </c>
      <c r="AB88" s="57">
        <v>1207</v>
      </c>
      <c r="AC88" s="57">
        <v>0</v>
      </c>
      <c r="AD88" s="57">
        <v>0</v>
      </c>
      <c r="AE88" s="58">
        <v>0</v>
      </c>
      <c r="AF88" s="30">
        <v>0</v>
      </c>
      <c r="AG88" s="57">
        <v>0</v>
      </c>
      <c r="AH88" s="57">
        <v>0</v>
      </c>
      <c r="AI88" s="57">
        <v>0</v>
      </c>
      <c r="AJ88" s="57">
        <v>0</v>
      </c>
      <c r="AK88" s="57">
        <v>0</v>
      </c>
      <c r="AL88" s="57">
        <v>0</v>
      </c>
      <c r="AM88" s="57">
        <v>0</v>
      </c>
      <c r="AN88" s="57">
        <v>0</v>
      </c>
      <c r="AO88" s="57">
        <v>0</v>
      </c>
      <c r="AP88" s="57">
        <v>0</v>
      </c>
      <c r="AQ88" s="57">
        <v>0</v>
      </c>
      <c r="AR88" s="57">
        <v>0</v>
      </c>
      <c r="AS88" s="57">
        <v>0</v>
      </c>
      <c r="AT88" s="57">
        <v>0</v>
      </c>
      <c r="AU88" s="57">
        <v>0</v>
      </c>
      <c r="AV88" s="57">
        <v>0</v>
      </c>
      <c r="AW88" s="57">
        <v>0</v>
      </c>
      <c r="AX88" s="57">
        <v>0</v>
      </c>
      <c r="AY88" s="57">
        <v>0</v>
      </c>
      <c r="AZ88" s="57">
        <v>0</v>
      </c>
      <c r="BA88" s="57">
        <v>0</v>
      </c>
      <c r="BB88" s="57">
        <v>0</v>
      </c>
      <c r="BC88" s="57">
        <v>0</v>
      </c>
      <c r="BD88" s="57">
        <v>0</v>
      </c>
      <c r="BE88" s="57">
        <v>0</v>
      </c>
      <c r="BF88" s="57">
        <v>0</v>
      </c>
      <c r="BG88" s="57">
        <v>0</v>
      </c>
      <c r="BH88" s="57">
        <v>0</v>
      </c>
      <c r="BI88" s="57">
        <v>0</v>
      </c>
      <c r="BJ88" s="57">
        <v>0</v>
      </c>
      <c r="BK88" s="57">
        <v>0</v>
      </c>
      <c r="BL88" s="57">
        <v>0</v>
      </c>
      <c r="BM88" s="57">
        <v>0</v>
      </c>
      <c r="BN88" s="57">
        <v>0</v>
      </c>
      <c r="BO88" s="57">
        <v>0</v>
      </c>
      <c r="BP88" s="57">
        <v>0</v>
      </c>
      <c r="BQ88" s="57">
        <v>0</v>
      </c>
      <c r="BR88" s="57">
        <v>0</v>
      </c>
      <c r="BS88" s="57">
        <v>0</v>
      </c>
      <c r="BT88" s="57">
        <v>0</v>
      </c>
      <c r="BU88" s="57">
        <v>0</v>
      </c>
      <c r="BV88" s="57">
        <v>0</v>
      </c>
      <c r="BW88" s="57">
        <v>0</v>
      </c>
      <c r="BX88" s="57">
        <v>0</v>
      </c>
      <c r="BY88" s="57">
        <v>0</v>
      </c>
      <c r="BZ88" s="57">
        <v>0</v>
      </c>
      <c r="CA88" s="57">
        <v>0</v>
      </c>
    </row>
    <row r="89" spans="1:79" x14ac:dyDescent="0.3">
      <c r="A89" s="19"/>
      <c r="B89" s="20" t="str">
        <f t="shared" si="0"/>
        <v>13310001</v>
      </c>
      <c r="C89" s="55" t="str">
        <f t="shared" si="1"/>
        <v>3</v>
      </c>
      <c r="D89" s="55">
        <f t="shared" si="2"/>
        <v>3</v>
      </c>
      <c r="E89" s="49">
        <v>1</v>
      </c>
      <c r="F89" s="20">
        <v>1</v>
      </c>
      <c r="G89" s="20">
        <v>3</v>
      </c>
      <c r="H89" s="20" t="str">
        <f t="shared" si="3"/>
        <v>Item_Name_13310001</v>
      </c>
      <c r="I89" s="20" t="s">
        <v>696</v>
      </c>
      <c r="J89" s="20">
        <v>10103001</v>
      </c>
      <c r="K89" s="20">
        <v>1</v>
      </c>
      <c r="L89" s="20">
        <v>0</v>
      </c>
      <c r="M89" s="20">
        <v>0</v>
      </c>
      <c r="N89" s="20">
        <v>15</v>
      </c>
      <c r="O89" s="20">
        <v>100</v>
      </c>
      <c r="P89" s="20">
        <v>1</v>
      </c>
      <c r="Q89" s="20" t="s">
        <v>302</v>
      </c>
      <c r="R89" s="20" t="s">
        <v>171</v>
      </c>
      <c r="S89" s="20" t="s">
        <v>322</v>
      </c>
      <c r="T89" s="20" t="s">
        <v>400</v>
      </c>
      <c r="U89" s="20">
        <v>0</v>
      </c>
      <c r="V89" s="20">
        <v>0</v>
      </c>
      <c r="W89" s="20">
        <v>17</v>
      </c>
      <c r="X89" s="20">
        <v>11</v>
      </c>
      <c r="Y89" s="20">
        <v>1006</v>
      </c>
      <c r="Z89" s="20">
        <v>0</v>
      </c>
      <c r="AA89" s="20">
        <v>0</v>
      </c>
      <c r="AB89" s="20">
        <v>0</v>
      </c>
      <c r="AC89" s="20">
        <v>0</v>
      </c>
      <c r="AD89" s="20">
        <v>0</v>
      </c>
      <c r="AE89" s="39">
        <v>0</v>
      </c>
      <c r="AF89" s="31">
        <v>0</v>
      </c>
      <c r="AG89" s="20">
        <v>0</v>
      </c>
      <c r="AH89" s="20">
        <v>0</v>
      </c>
      <c r="AI89" s="20">
        <v>0</v>
      </c>
      <c r="AJ89" s="20">
        <v>0</v>
      </c>
      <c r="AK89" s="20">
        <v>0</v>
      </c>
      <c r="AL89" s="20">
        <v>0</v>
      </c>
      <c r="AM89" s="20">
        <v>0</v>
      </c>
      <c r="AN89" s="20">
        <v>0</v>
      </c>
      <c r="AO89" s="20">
        <v>0</v>
      </c>
      <c r="AP89" s="20">
        <v>0</v>
      </c>
      <c r="AQ89" s="20">
        <v>0</v>
      </c>
      <c r="AR89" s="20">
        <v>0</v>
      </c>
      <c r="AS89" s="20">
        <v>0</v>
      </c>
      <c r="AT89" s="20">
        <v>0</v>
      </c>
      <c r="AU89" s="20">
        <v>0</v>
      </c>
      <c r="AV89" s="20">
        <v>0</v>
      </c>
      <c r="AW89" s="20">
        <v>0</v>
      </c>
      <c r="AX89" s="20">
        <v>0</v>
      </c>
      <c r="AY89" s="20">
        <v>0</v>
      </c>
      <c r="AZ89" s="20">
        <v>0</v>
      </c>
      <c r="BA89" s="20">
        <v>0</v>
      </c>
      <c r="BB89" s="20">
        <v>0</v>
      </c>
      <c r="BC89" s="20">
        <v>0</v>
      </c>
      <c r="BD89" s="20">
        <v>0</v>
      </c>
      <c r="BE89" s="20">
        <v>0</v>
      </c>
      <c r="BF89" s="20">
        <v>0</v>
      </c>
      <c r="BG89" s="20">
        <v>0</v>
      </c>
      <c r="BH89" s="20">
        <v>0</v>
      </c>
      <c r="BI89" s="20">
        <v>0</v>
      </c>
      <c r="BJ89" s="20">
        <v>0</v>
      </c>
      <c r="BK89" s="20">
        <v>0</v>
      </c>
      <c r="BL89" s="20">
        <v>0</v>
      </c>
      <c r="BM89" s="20">
        <v>0</v>
      </c>
      <c r="BN89" s="20">
        <v>0</v>
      </c>
      <c r="BO89" s="20">
        <v>0</v>
      </c>
      <c r="BP89" s="20">
        <v>0</v>
      </c>
      <c r="BQ89" s="20">
        <v>0</v>
      </c>
      <c r="BR89" s="20">
        <v>0</v>
      </c>
      <c r="BS89" s="20">
        <v>0</v>
      </c>
      <c r="BT89" s="20">
        <v>0</v>
      </c>
      <c r="BU89" s="20">
        <v>0</v>
      </c>
      <c r="BV89" s="20">
        <v>0</v>
      </c>
      <c r="BW89" s="20">
        <v>0</v>
      </c>
      <c r="BX89" s="20">
        <v>0</v>
      </c>
      <c r="BY89" s="20">
        <v>0</v>
      </c>
      <c r="BZ89" s="20">
        <v>0</v>
      </c>
      <c r="CA89" s="20">
        <v>0</v>
      </c>
    </row>
    <row r="90" spans="1:79" x14ac:dyDescent="0.3">
      <c r="A90" s="19"/>
      <c r="B90" s="20" t="str">
        <f t="shared" si="0"/>
        <v>13320001</v>
      </c>
      <c r="C90" s="55" t="str">
        <f t="shared" ref="C90:C92" si="32">IF(J90&gt;0,MID(J90,5, 1), 0)</f>
        <v>3</v>
      </c>
      <c r="D90" s="55">
        <f t="shared" ref="D90:D92" si="33">IF(G90&lt;100, G90, G90-100)</f>
        <v>3</v>
      </c>
      <c r="E90" s="49">
        <v>1</v>
      </c>
      <c r="F90" s="57">
        <v>1</v>
      </c>
      <c r="G90" s="57">
        <v>3</v>
      </c>
      <c r="H90" s="57" t="str">
        <f t="shared" si="3"/>
        <v>Item_Name_13320001</v>
      </c>
      <c r="I90" s="57" t="s">
        <v>731</v>
      </c>
      <c r="J90" s="57">
        <v>10103001</v>
      </c>
      <c r="K90" s="57">
        <v>2</v>
      </c>
      <c r="L90" s="57">
        <v>0</v>
      </c>
      <c r="M90" s="57">
        <v>0</v>
      </c>
      <c r="N90" s="57">
        <v>15</v>
      </c>
      <c r="O90" s="57">
        <v>100</v>
      </c>
      <c r="P90" s="57">
        <v>1</v>
      </c>
      <c r="Q90" s="57" t="s">
        <v>734</v>
      </c>
      <c r="R90" s="57" t="s">
        <v>256</v>
      </c>
      <c r="S90" s="57" t="s">
        <v>322</v>
      </c>
      <c r="T90" s="57" t="s">
        <v>400</v>
      </c>
      <c r="U90" s="57">
        <v>0</v>
      </c>
      <c r="V90" s="57">
        <v>0</v>
      </c>
      <c r="W90" s="57">
        <v>17</v>
      </c>
      <c r="X90" s="57">
        <v>11</v>
      </c>
      <c r="Y90" s="57">
        <v>1006</v>
      </c>
      <c r="Z90" s="57">
        <v>1102</v>
      </c>
      <c r="AA90" s="57">
        <v>0</v>
      </c>
      <c r="AB90" s="57">
        <v>0</v>
      </c>
      <c r="AC90" s="57">
        <v>0</v>
      </c>
      <c r="AD90" s="57">
        <v>0</v>
      </c>
      <c r="AE90" s="58">
        <v>0</v>
      </c>
      <c r="AF90" s="30">
        <v>0</v>
      </c>
      <c r="AG90" s="57">
        <v>0</v>
      </c>
      <c r="AH90" s="57">
        <v>0</v>
      </c>
      <c r="AI90" s="57">
        <v>0</v>
      </c>
      <c r="AJ90" s="57">
        <v>0</v>
      </c>
      <c r="AK90" s="57">
        <v>0</v>
      </c>
      <c r="AL90" s="57">
        <v>0</v>
      </c>
      <c r="AM90" s="57">
        <v>0</v>
      </c>
      <c r="AN90" s="57">
        <v>0</v>
      </c>
      <c r="AO90" s="57">
        <v>0</v>
      </c>
      <c r="AP90" s="57">
        <v>0</v>
      </c>
      <c r="AQ90" s="57">
        <v>0</v>
      </c>
      <c r="AR90" s="57">
        <v>0</v>
      </c>
      <c r="AS90" s="57">
        <v>0</v>
      </c>
      <c r="AT90" s="57">
        <v>0</v>
      </c>
      <c r="AU90" s="57">
        <v>0</v>
      </c>
      <c r="AV90" s="57">
        <v>0</v>
      </c>
      <c r="AW90" s="57">
        <v>0</v>
      </c>
      <c r="AX90" s="57">
        <v>0</v>
      </c>
      <c r="AY90" s="57">
        <v>0</v>
      </c>
      <c r="AZ90" s="57">
        <v>0</v>
      </c>
      <c r="BA90" s="57">
        <v>0</v>
      </c>
      <c r="BB90" s="57">
        <v>0</v>
      </c>
      <c r="BC90" s="57">
        <v>0</v>
      </c>
      <c r="BD90" s="57">
        <v>0</v>
      </c>
      <c r="BE90" s="57">
        <v>0</v>
      </c>
      <c r="BF90" s="57">
        <v>0</v>
      </c>
      <c r="BG90" s="57">
        <v>0</v>
      </c>
      <c r="BH90" s="57">
        <v>0</v>
      </c>
      <c r="BI90" s="57">
        <v>0</v>
      </c>
      <c r="BJ90" s="57">
        <v>0</v>
      </c>
      <c r="BK90" s="57">
        <v>0</v>
      </c>
      <c r="BL90" s="57">
        <v>0</v>
      </c>
      <c r="BM90" s="57">
        <v>0</v>
      </c>
      <c r="BN90" s="57">
        <v>0</v>
      </c>
      <c r="BO90" s="57">
        <v>0</v>
      </c>
      <c r="BP90" s="57">
        <v>0</v>
      </c>
      <c r="BQ90" s="57">
        <v>0</v>
      </c>
      <c r="BR90" s="57">
        <v>0</v>
      </c>
      <c r="BS90" s="57">
        <v>0</v>
      </c>
      <c r="BT90" s="57">
        <v>0</v>
      </c>
      <c r="BU90" s="57">
        <v>0</v>
      </c>
      <c r="BV90" s="57">
        <v>0</v>
      </c>
      <c r="BW90" s="57">
        <v>0</v>
      </c>
      <c r="BX90" s="57">
        <v>0</v>
      </c>
      <c r="BY90" s="57">
        <v>0</v>
      </c>
      <c r="BZ90" s="57">
        <v>0</v>
      </c>
      <c r="CA90" s="57">
        <v>0</v>
      </c>
    </row>
    <row r="91" spans="1:79" x14ac:dyDescent="0.3">
      <c r="A91" s="19"/>
      <c r="B91" s="20" t="str">
        <f t="shared" si="0"/>
        <v>13330001</v>
      </c>
      <c r="C91" s="55" t="str">
        <f t="shared" si="32"/>
        <v>3</v>
      </c>
      <c r="D91" s="55">
        <f t="shared" si="33"/>
        <v>3</v>
      </c>
      <c r="E91" s="49">
        <v>1</v>
      </c>
      <c r="F91" s="57">
        <v>1</v>
      </c>
      <c r="G91" s="57">
        <v>3</v>
      </c>
      <c r="H91" s="57" t="str">
        <f t="shared" si="3"/>
        <v>Item_Name_13330001</v>
      </c>
      <c r="I91" s="57" t="s">
        <v>732</v>
      </c>
      <c r="J91" s="57">
        <v>10103001</v>
      </c>
      <c r="K91" s="57">
        <v>3</v>
      </c>
      <c r="L91" s="57">
        <v>0</v>
      </c>
      <c r="M91" s="57">
        <v>0</v>
      </c>
      <c r="N91" s="57">
        <v>15</v>
      </c>
      <c r="O91" s="57">
        <v>100</v>
      </c>
      <c r="P91" s="57">
        <v>1</v>
      </c>
      <c r="Q91" s="57" t="s">
        <v>735</v>
      </c>
      <c r="R91" s="57" t="s">
        <v>257</v>
      </c>
      <c r="S91" s="57" t="s">
        <v>322</v>
      </c>
      <c r="T91" s="57" t="s">
        <v>400</v>
      </c>
      <c r="U91" s="57">
        <v>0</v>
      </c>
      <c r="V91" s="57">
        <v>0</v>
      </c>
      <c r="W91" s="57">
        <v>17</v>
      </c>
      <c r="X91" s="57">
        <v>11</v>
      </c>
      <c r="Y91" s="57">
        <v>1006</v>
      </c>
      <c r="Z91" s="57">
        <v>1102</v>
      </c>
      <c r="AA91" s="57">
        <v>1202</v>
      </c>
      <c r="AB91" s="57">
        <v>0</v>
      </c>
      <c r="AC91" s="57">
        <v>0</v>
      </c>
      <c r="AD91" s="57">
        <v>0</v>
      </c>
      <c r="AE91" s="58">
        <v>0</v>
      </c>
      <c r="AF91" s="30">
        <v>0</v>
      </c>
      <c r="AG91" s="57">
        <v>0</v>
      </c>
      <c r="AH91" s="57">
        <v>0</v>
      </c>
      <c r="AI91" s="57">
        <v>0</v>
      </c>
      <c r="AJ91" s="57">
        <v>0</v>
      </c>
      <c r="AK91" s="57">
        <v>0</v>
      </c>
      <c r="AL91" s="57">
        <v>0</v>
      </c>
      <c r="AM91" s="57">
        <v>0</v>
      </c>
      <c r="AN91" s="57">
        <v>0</v>
      </c>
      <c r="AO91" s="57">
        <v>0</v>
      </c>
      <c r="AP91" s="57">
        <v>0</v>
      </c>
      <c r="AQ91" s="57">
        <v>0</v>
      </c>
      <c r="AR91" s="57">
        <v>0</v>
      </c>
      <c r="AS91" s="57">
        <v>0</v>
      </c>
      <c r="AT91" s="57">
        <v>0</v>
      </c>
      <c r="AU91" s="57">
        <v>0</v>
      </c>
      <c r="AV91" s="57">
        <v>0</v>
      </c>
      <c r="AW91" s="57">
        <v>0</v>
      </c>
      <c r="AX91" s="57">
        <v>0</v>
      </c>
      <c r="AY91" s="57">
        <v>0</v>
      </c>
      <c r="AZ91" s="57">
        <v>0</v>
      </c>
      <c r="BA91" s="57">
        <v>0</v>
      </c>
      <c r="BB91" s="57">
        <v>0</v>
      </c>
      <c r="BC91" s="57">
        <v>0</v>
      </c>
      <c r="BD91" s="57">
        <v>0</v>
      </c>
      <c r="BE91" s="57">
        <v>0</v>
      </c>
      <c r="BF91" s="57">
        <v>0</v>
      </c>
      <c r="BG91" s="57">
        <v>0</v>
      </c>
      <c r="BH91" s="57">
        <v>0</v>
      </c>
      <c r="BI91" s="57">
        <v>0</v>
      </c>
      <c r="BJ91" s="57">
        <v>0</v>
      </c>
      <c r="BK91" s="57">
        <v>0</v>
      </c>
      <c r="BL91" s="57">
        <v>0</v>
      </c>
      <c r="BM91" s="57">
        <v>0</v>
      </c>
      <c r="BN91" s="57">
        <v>0</v>
      </c>
      <c r="BO91" s="57">
        <v>0</v>
      </c>
      <c r="BP91" s="57">
        <v>0</v>
      </c>
      <c r="BQ91" s="57">
        <v>0</v>
      </c>
      <c r="BR91" s="57">
        <v>0</v>
      </c>
      <c r="BS91" s="57">
        <v>0</v>
      </c>
      <c r="BT91" s="57">
        <v>0</v>
      </c>
      <c r="BU91" s="57">
        <v>0</v>
      </c>
      <c r="BV91" s="57">
        <v>0</v>
      </c>
      <c r="BW91" s="57">
        <v>0</v>
      </c>
      <c r="BX91" s="57">
        <v>0</v>
      </c>
      <c r="BY91" s="57">
        <v>0</v>
      </c>
      <c r="BZ91" s="57">
        <v>0</v>
      </c>
      <c r="CA91" s="57">
        <v>0</v>
      </c>
    </row>
    <row r="92" spans="1:79" x14ac:dyDescent="0.3">
      <c r="A92" s="19"/>
      <c r="B92" s="20" t="str">
        <f t="shared" si="0"/>
        <v>13340001</v>
      </c>
      <c r="C92" s="55" t="str">
        <f t="shared" si="32"/>
        <v>3</v>
      </c>
      <c r="D92" s="55">
        <f t="shared" si="33"/>
        <v>3</v>
      </c>
      <c r="E92" s="49">
        <v>1</v>
      </c>
      <c r="F92" s="57">
        <v>1</v>
      </c>
      <c r="G92" s="57">
        <v>3</v>
      </c>
      <c r="H92" s="57" t="str">
        <f t="shared" si="3"/>
        <v>Item_Name_13340001</v>
      </c>
      <c r="I92" s="57" t="s">
        <v>733</v>
      </c>
      <c r="J92" s="57">
        <v>10103001</v>
      </c>
      <c r="K92" s="57">
        <v>4</v>
      </c>
      <c r="L92" s="57">
        <v>0</v>
      </c>
      <c r="M92" s="57">
        <v>0</v>
      </c>
      <c r="N92" s="57">
        <v>15</v>
      </c>
      <c r="O92" s="57">
        <v>100</v>
      </c>
      <c r="P92" s="57">
        <v>1</v>
      </c>
      <c r="Q92" s="57" t="s">
        <v>736</v>
      </c>
      <c r="R92" s="57" t="s">
        <v>530</v>
      </c>
      <c r="S92" s="57" t="s">
        <v>322</v>
      </c>
      <c r="T92" s="57" t="s">
        <v>400</v>
      </c>
      <c r="U92" s="57">
        <v>0</v>
      </c>
      <c r="V92" s="57">
        <v>0</v>
      </c>
      <c r="W92" s="57">
        <v>17</v>
      </c>
      <c r="X92" s="57">
        <v>11</v>
      </c>
      <c r="Y92" s="57">
        <v>1006</v>
      </c>
      <c r="Z92" s="57">
        <v>1102</v>
      </c>
      <c r="AA92" s="57">
        <v>1202</v>
      </c>
      <c r="AB92" s="57">
        <v>1206</v>
      </c>
      <c r="AC92" s="57">
        <v>0</v>
      </c>
      <c r="AD92" s="57">
        <v>0</v>
      </c>
      <c r="AE92" s="58">
        <v>0</v>
      </c>
      <c r="AF92" s="30">
        <v>0</v>
      </c>
      <c r="AG92" s="57">
        <v>0</v>
      </c>
      <c r="AH92" s="57">
        <v>0</v>
      </c>
      <c r="AI92" s="57">
        <v>0</v>
      </c>
      <c r="AJ92" s="57">
        <v>0</v>
      </c>
      <c r="AK92" s="57">
        <v>0</v>
      </c>
      <c r="AL92" s="57">
        <v>0</v>
      </c>
      <c r="AM92" s="57">
        <v>0</v>
      </c>
      <c r="AN92" s="57">
        <v>0</v>
      </c>
      <c r="AO92" s="57">
        <v>0</v>
      </c>
      <c r="AP92" s="57">
        <v>0</v>
      </c>
      <c r="AQ92" s="57">
        <v>0</v>
      </c>
      <c r="AR92" s="57">
        <v>0</v>
      </c>
      <c r="AS92" s="57">
        <v>0</v>
      </c>
      <c r="AT92" s="57">
        <v>0</v>
      </c>
      <c r="AU92" s="57">
        <v>0</v>
      </c>
      <c r="AV92" s="57">
        <v>0</v>
      </c>
      <c r="AW92" s="57">
        <v>0</v>
      </c>
      <c r="AX92" s="57">
        <v>0</v>
      </c>
      <c r="AY92" s="57">
        <v>0</v>
      </c>
      <c r="AZ92" s="57">
        <v>0</v>
      </c>
      <c r="BA92" s="57">
        <v>0</v>
      </c>
      <c r="BB92" s="57">
        <v>0</v>
      </c>
      <c r="BC92" s="57">
        <v>0</v>
      </c>
      <c r="BD92" s="57">
        <v>0</v>
      </c>
      <c r="BE92" s="57">
        <v>0</v>
      </c>
      <c r="BF92" s="57">
        <v>0</v>
      </c>
      <c r="BG92" s="57">
        <v>0</v>
      </c>
      <c r="BH92" s="57">
        <v>0</v>
      </c>
      <c r="BI92" s="57">
        <v>0</v>
      </c>
      <c r="BJ92" s="57">
        <v>0</v>
      </c>
      <c r="BK92" s="57">
        <v>0</v>
      </c>
      <c r="BL92" s="57">
        <v>0</v>
      </c>
      <c r="BM92" s="57">
        <v>0</v>
      </c>
      <c r="BN92" s="57">
        <v>0</v>
      </c>
      <c r="BO92" s="57">
        <v>0</v>
      </c>
      <c r="BP92" s="57">
        <v>0</v>
      </c>
      <c r="BQ92" s="57">
        <v>0</v>
      </c>
      <c r="BR92" s="57">
        <v>0</v>
      </c>
      <c r="BS92" s="57">
        <v>0</v>
      </c>
      <c r="BT92" s="57">
        <v>0</v>
      </c>
      <c r="BU92" s="57">
        <v>0</v>
      </c>
      <c r="BV92" s="57">
        <v>0</v>
      </c>
      <c r="BW92" s="57">
        <v>0</v>
      </c>
      <c r="BX92" s="57">
        <v>0</v>
      </c>
      <c r="BY92" s="57">
        <v>0</v>
      </c>
      <c r="BZ92" s="57">
        <v>0</v>
      </c>
      <c r="CA92" s="57">
        <v>0</v>
      </c>
    </row>
    <row r="93" spans="1:79" x14ac:dyDescent="0.3">
      <c r="A93" s="19"/>
      <c r="B93" s="20" t="str">
        <f t="shared" si="0"/>
        <v>14310001</v>
      </c>
      <c r="C93" s="55" t="str">
        <f t="shared" si="1"/>
        <v>4</v>
      </c>
      <c r="D93" s="55">
        <f t="shared" si="2"/>
        <v>3</v>
      </c>
      <c r="E93" s="49">
        <v>1</v>
      </c>
      <c r="F93" s="20">
        <v>1</v>
      </c>
      <c r="G93" s="20">
        <v>3</v>
      </c>
      <c r="H93" s="20" t="str">
        <f t="shared" si="3"/>
        <v>Item_Name_14310001</v>
      </c>
      <c r="I93" s="20" t="s">
        <v>558</v>
      </c>
      <c r="J93" s="20">
        <v>10104001</v>
      </c>
      <c r="K93" s="20">
        <v>1</v>
      </c>
      <c r="L93" s="20">
        <v>0</v>
      </c>
      <c r="M93" s="20">
        <v>0</v>
      </c>
      <c r="N93" s="20">
        <v>15</v>
      </c>
      <c r="O93" s="20">
        <v>100</v>
      </c>
      <c r="P93" s="20">
        <v>1</v>
      </c>
      <c r="Q93" s="20" t="s">
        <v>309</v>
      </c>
      <c r="R93" s="20" t="s">
        <v>171</v>
      </c>
      <c r="S93" s="20" t="s">
        <v>322</v>
      </c>
      <c r="T93" s="20" t="s">
        <v>400</v>
      </c>
      <c r="U93" s="20">
        <v>0</v>
      </c>
      <c r="V93" s="20">
        <v>0</v>
      </c>
      <c r="W93" s="20">
        <v>17</v>
      </c>
      <c r="X93" s="20">
        <v>8</v>
      </c>
      <c r="Y93" s="20">
        <v>1006</v>
      </c>
      <c r="Z93" s="20">
        <v>0</v>
      </c>
      <c r="AA93" s="20">
        <v>0</v>
      </c>
      <c r="AB93" s="20">
        <v>0</v>
      </c>
      <c r="AC93" s="20">
        <v>0</v>
      </c>
      <c r="AD93" s="20">
        <v>0</v>
      </c>
      <c r="AE93" s="39">
        <v>0</v>
      </c>
      <c r="AF93" s="31">
        <v>0</v>
      </c>
      <c r="AG93" s="20">
        <v>0</v>
      </c>
      <c r="AH93" s="20">
        <v>0</v>
      </c>
      <c r="AI93" s="20">
        <v>0</v>
      </c>
      <c r="AJ93" s="20">
        <v>0</v>
      </c>
      <c r="AK93" s="20">
        <v>0</v>
      </c>
      <c r="AL93" s="20">
        <v>0</v>
      </c>
      <c r="AM93" s="20">
        <v>0</v>
      </c>
      <c r="AN93" s="20">
        <v>0</v>
      </c>
      <c r="AO93" s="20">
        <v>0</v>
      </c>
      <c r="AP93" s="20">
        <v>0</v>
      </c>
      <c r="AQ93" s="20">
        <v>0</v>
      </c>
      <c r="AR93" s="20">
        <v>0</v>
      </c>
      <c r="AS93" s="20">
        <v>0</v>
      </c>
      <c r="AT93" s="20">
        <v>0</v>
      </c>
      <c r="AU93" s="20">
        <v>0</v>
      </c>
      <c r="AV93" s="20">
        <v>0</v>
      </c>
      <c r="AW93" s="20">
        <v>0</v>
      </c>
      <c r="AX93" s="20">
        <v>0</v>
      </c>
      <c r="AY93" s="20">
        <v>0</v>
      </c>
      <c r="AZ93" s="20">
        <v>0</v>
      </c>
      <c r="BA93" s="20">
        <v>0</v>
      </c>
      <c r="BB93" s="20">
        <v>0</v>
      </c>
      <c r="BC93" s="20">
        <v>0</v>
      </c>
      <c r="BD93" s="20">
        <v>0</v>
      </c>
      <c r="BE93" s="20">
        <v>0</v>
      </c>
      <c r="BF93" s="20">
        <v>0</v>
      </c>
      <c r="BG93" s="20">
        <v>0</v>
      </c>
      <c r="BH93" s="20">
        <v>0</v>
      </c>
      <c r="BI93" s="20">
        <v>0</v>
      </c>
      <c r="BJ93" s="20">
        <v>0</v>
      </c>
      <c r="BK93" s="20">
        <v>0</v>
      </c>
      <c r="BL93" s="20">
        <v>0</v>
      </c>
      <c r="BM93" s="20">
        <v>0</v>
      </c>
      <c r="BN93" s="20">
        <v>0</v>
      </c>
      <c r="BO93" s="20">
        <v>0</v>
      </c>
      <c r="BP93" s="20">
        <v>0</v>
      </c>
      <c r="BQ93" s="20">
        <v>0</v>
      </c>
      <c r="BR93" s="20">
        <v>0</v>
      </c>
      <c r="BS93" s="20">
        <v>0</v>
      </c>
      <c r="BT93" s="20">
        <v>0</v>
      </c>
      <c r="BU93" s="20">
        <v>0</v>
      </c>
      <c r="BV93" s="20">
        <v>0</v>
      </c>
      <c r="BW93" s="20">
        <v>0</v>
      </c>
      <c r="BX93" s="20">
        <v>0</v>
      </c>
      <c r="BY93" s="20">
        <v>0</v>
      </c>
      <c r="BZ93" s="20">
        <v>0</v>
      </c>
      <c r="CA93" s="20">
        <v>0</v>
      </c>
    </row>
    <row r="94" spans="1:79" x14ac:dyDescent="0.3">
      <c r="A94" s="19"/>
      <c r="B94" s="20" t="str">
        <f t="shared" si="0"/>
        <v>14320001</v>
      </c>
      <c r="C94" s="55" t="str">
        <f t="shared" ref="C94:C96" si="34">IF(J94&gt;0,MID(J94,5, 1), 0)</f>
        <v>4</v>
      </c>
      <c r="D94" s="55">
        <f t="shared" ref="D94:D96" si="35">IF(G94&lt;100, G94, G94-100)</f>
        <v>3</v>
      </c>
      <c r="E94" s="49">
        <v>1</v>
      </c>
      <c r="F94" s="57">
        <v>1</v>
      </c>
      <c r="G94" s="57">
        <v>3</v>
      </c>
      <c r="H94" s="57" t="str">
        <f t="shared" si="3"/>
        <v>Item_Name_14320001</v>
      </c>
      <c r="I94" s="57" t="s">
        <v>559</v>
      </c>
      <c r="J94" s="57">
        <v>10104001</v>
      </c>
      <c r="K94" s="57">
        <v>2</v>
      </c>
      <c r="L94" s="57">
        <v>0</v>
      </c>
      <c r="M94" s="57">
        <v>0</v>
      </c>
      <c r="N94" s="57">
        <v>15</v>
      </c>
      <c r="O94" s="57">
        <v>100</v>
      </c>
      <c r="P94" s="57">
        <v>1</v>
      </c>
      <c r="Q94" s="57" t="s">
        <v>737</v>
      </c>
      <c r="R94" s="57" t="s">
        <v>256</v>
      </c>
      <c r="S94" s="57" t="s">
        <v>322</v>
      </c>
      <c r="T94" s="57" t="s">
        <v>400</v>
      </c>
      <c r="U94" s="57">
        <v>0</v>
      </c>
      <c r="V94" s="57">
        <v>0</v>
      </c>
      <c r="W94" s="57">
        <v>17</v>
      </c>
      <c r="X94" s="57">
        <v>11</v>
      </c>
      <c r="Y94" s="57">
        <v>1006</v>
      </c>
      <c r="Z94" s="57">
        <v>1102</v>
      </c>
      <c r="AA94" s="57">
        <v>0</v>
      </c>
      <c r="AB94" s="57">
        <v>0</v>
      </c>
      <c r="AC94" s="57">
        <v>0</v>
      </c>
      <c r="AD94" s="57">
        <v>0</v>
      </c>
      <c r="AE94" s="58">
        <v>0</v>
      </c>
      <c r="AF94" s="30">
        <v>0</v>
      </c>
      <c r="AG94" s="57">
        <v>0</v>
      </c>
      <c r="AH94" s="57">
        <v>0</v>
      </c>
      <c r="AI94" s="57">
        <v>0</v>
      </c>
      <c r="AJ94" s="57">
        <v>0</v>
      </c>
      <c r="AK94" s="57">
        <v>0</v>
      </c>
      <c r="AL94" s="57">
        <v>0</v>
      </c>
      <c r="AM94" s="57">
        <v>0</v>
      </c>
      <c r="AN94" s="57">
        <v>0</v>
      </c>
      <c r="AO94" s="57">
        <v>0</v>
      </c>
      <c r="AP94" s="57">
        <v>0</v>
      </c>
      <c r="AQ94" s="57">
        <v>0</v>
      </c>
      <c r="AR94" s="57">
        <v>0</v>
      </c>
      <c r="AS94" s="57">
        <v>0</v>
      </c>
      <c r="AT94" s="57">
        <v>0</v>
      </c>
      <c r="AU94" s="57">
        <v>0</v>
      </c>
      <c r="AV94" s="57">
        <v>0</v>
      </c>
      <c r="AW94" s="57">
        <v>0</v>
      </c>
      <c r="AX94" s="57">
        <v>0</v>
      </c>
      <c r="AY94" s="57">
        <v>0</v>
      </c>
      <c r="AZ94" s="57">
        <v>0</v>
      </c>
      <c r="BA94" s="57">
        <v>0</v>
      </c>
      <c r="BB94" s="57">
        <v>0</v>
      </c>
      <c r="BC94" s="57">
        <v>0</v>
      </c>
      <c r="BD94" s="57">
        <v>0</v>
      </c>
      <c r="BE94" s="57">
        <v>0</v>
      </c>
      <c r="BF94" s="57">
        <v>0</v>
      </c>
      <c r="BG94" s="57">
        <v>0</v>
      </c>
      <c r="BH94" s="57">
        <v>0</v>
      </c>
      <c r="BI94" s="57">
        <v>0</v>
      </c>
      <c r="BJ94" s="57">
        <v>0</v>
      </c>
      <c r="BK94" s="57">
        <v>0</v>
      </c>
      <c r="BL94" s="57">
        <v>0</v>
      </c>
      <c r="BM94" s="57">
        <v>0</v>
      </c>
      <c r="BN94" s="57">
        <v>0</v>
      </c>
      <c r="BO94" s="57">
        <v>0</v>
      </c>
      <c r="BP94" s="57">
        <v>0</v>
      </c>
      <c r="BQ94" s="57">
        <v>0</v>
      </c>
      <c r="BR94" s="57">
        <v>0</v>
      </c>
      <c r="BS94" s="57">
        <v>0</v>
      </c>
      <c r="BT94" s="57">
        <v>0</v>
      </c>
      <c r="BU94" s="57">
        <v>0</v>
      </c>
      <c r="BV94" s="57">
        <v>0</v>
      </c>
      <c r="BW94" s="57">
        <v>0</v>
      </c>
      <c r="BX94" s="57">
        <v>0</v>
      </c>
      <c r="BY94" s="57">
        <v>0</v>
      </c>
      <c r="BZ94" s="57">
        <v>0</v>
      </c>
      <c r="CA94" s="57">
        <v>0</v>
      </c>
    </row>
    <row r="95" spans="1:79" x14ac:dyDescent="0.3">
      <c r="A95" s="19"/>
      <c r="B95" s="20" t="str">
        <f t="shared" si="0"/>
        <v>14330001</v>
      </c>
      <c r="C95" s="55" t="str">
        <f t="shared" si="34"/>
        <v>4</v>
      </c>
      <c r="D95" s="55">
        <f t="shared" si="35"/>
        <v>3</v>
      </c>
      <c r="E95" s="49">
        <v>1</v>
      </c>
      <c r="F95" s="57">
        <v>1</v>
      </c>
      <c r="G95" s="57">
        <v>3</v>
      </c>
      <c r="H95" s="57" t="str">
        <f t="shared" si="3"/>
        <v>Item_Name_14330001</v>
      </c>
      <c r="I95" s="57" t="s">
        <v>560</v>
      </c>
      <c r="J95" s="57">
        <v>10104001</v>
      </c>
      <c r="K95" s="57">
        <v>3</v>
      </c>
      <c r="L95" s="57">
        <v>0</v>
      </c>
      <c r="M95" s="57">
        <v>0</v>
      </c>
      <c r="N95" s="57">
        <v>15</v>
      </c>
      <c r="O95" s="57">
        <v>100</v>
      </c>
      <c r="P95" s="57">
        <v>1</v>
      </c>
      <c r="Q95" s="57" t="s">
        <v>738</v>
      </c>
      <c r="R95" s="57" t="s">
        <v>257</v>
      </c>
      <c r="S95" s="57" t="s">
        <v>322</v>
      </c>
      <c r="T95" s="57" t="s">
        <v>400</v>
      </c>
      <c r="U95" s="57">
        <v>0</v>
      </c>
      <c r="V95" s="57">
        <v>0</v>
      </c>
      <c r="W95" s="57">
        <v>17</v>
      </c>
      <c r="X95" s="57">
        <v>17</v>
      </c>
      <c r="Y95" s="57">
        <v>1006</v>
      </c>
      <c r="Z95" s="57">
        <v>1102</v>
      </c>
      <c r="AA95" s="57">
        <v>1202</v>
      </c>
      <c r="AB95" s="57">
        <v>0</v>
      </c>
      <c r="AC95" s="57">
        <v>0</v>
      </c>
      <c r="AD95" s="57">
        <v>0</v>
      </c>
      <c r="AE95" s="58">
        <v>0</v>
      </c>
      <c r="AF95" s="30">
        <v>0</v>
      </c>
      <c r="AG95" s="57">
        <v>0</v>
      </c>
      <c r="AH95" s="57">
        <v>0</v>
      </c>
      <c r="AI95" s="57">
        <v>0</v>
      </c>
      <c r="AJ95" s="57">
        <v>0</v>
      </c>
      <c r="AK95" s="57">
        <v>0</v>
      </c>
      <c r="AL95" s="57">
        <v>0</v>
      </c>
      <c r="AM95" s="57">
        <v>0</v>
      </c>
      <c r="AN95" s="57">
        <v>0</v>
      </c>
      <c r="AO95" s="57">
        <v>0</v>
      </c>
      <c r="AP95" s="57">
        <v>0</v>
      </c>
      <c r="AQ95" s="57">
        <v>0</v>
      </c>
      <c r="AR95" s="57">
        <v>0</v>
      </c>
      <c r="AS95" s="57">
        <v>0</v>
      </c>
      <c r="AT95" s="57">
        <v>0</v>
      </c>
      <c r="AU95" s="57">
        <v>0</v>
      </c>
      <c r="AV95" s="57">
        <v>0</v>
      </c>
      <c r="AW95" s="57">
        <v>0</v>
      </c>
      <c r="AX95" s="57">
        <v>0</v>
      </c>
      <c r="AY95" s="57">
        <v>0</v>
      </c>
      <c r="AZ95" s="57">
        <v>0</v>
      </c>
      <c r="BA95" s="57">
        <v>0</v>
      </c>
      <c r="BB95" s="57">
        <v>0</v>
      </c>
      <c r="BC95" s="57">
        <v>0</v>
      </c>
      <c r="BD95" s="57">
        <v>0</v>
      </c>
      <c r="BE95" s="57">
        <v>0</v>
      </c>
      <c r="BF95" s="57">
        <v>0</v>
      </c>
      <c r="BG95" s="57">
        <v>0</v>
      </c>
      <c r="BH95" s="57">
        <v>0</v>
      </c>
      <c r="BI95" s="57">
        <v>0</v>
      </c>
      <c r="BJ95" s="57">
        <v>0</v>
      </c>
      <c r="BK95" s="57">
        <v>0</v>
      </c>
      <c r="BL95" s="57">
        <v>0</v>
      </c>
      <c r="BM95" s="57">
        <v>0</v>
      </c>
      <c r="BN95" s="57">
        <v>0</v>
      </c>
      <c r="BO95" s="57">
        <v>0</v>
      </c>
      <c r="BP95" s="57">
        <v>0</v>
      </c>
      <c r="BQ95" s="57">
        <v>0</v>
      </c>
      <c r="BR95" s="57">
        <v>0</v>
      </c>
      <c r="BS95" s="57">
        <v>0</v>
      </c>
      <c r="BT95" s="57">
        <v>0</v>
      </c>
      <c r="BU95" s="57">
        <v>0</v>
      </c>
      <c r="BV95" s="57">
        <v>0</v>
      </c>
      <c r="BW95" s="57">
        <v>0</v>
      </c>
      <c r="BX95" s="57">
        <v>0</v>
      </c>
      <c r="BY95" s="57">
        <v>0</v>
      </c>
      <c r="BZ95" s="57">
        <v>0</v>
      </c>
      <c r="CA95" s="57">
        <v>0</v>
      </c>
    </row>
    <row r="96" spans="1:79" x14ac:dyDescent="0.3">
      <c r="A96" s="19"/>
      <c r="B96" s="20" t="str">
        <f t="shared" si="0"/>
        <v>14340001</v>
      </c>
      <c r="C96" s="55" t="str">
        <f t="shared" si="34"/>
        <v>4</v>
      </c>
      <c r="D96" s="55">
        <f t="shared" si="35"/>
        <v>3</v>
      </c>
      <c r="E96" s="49">
        <v>1</v>
      </c>
      <c r="F96" s="57">
        <v>1</v>
      </c>
      <c r="G96" s="57">
        <v>3</v>
      </c>
      <c r="H96" s="57" t="str">
        <f t="shared" si="3"/>
        <v>Item_Name_14340001</v>
      </c>
      <c r="I96" s="57" t="s">
        <v>561</v>
      </c>
      <c r="J96" s="57">
        <v>10104001</v>
      </c>
      <c r="K96" s="57">
        <v>4</v>
      </c>
      <c r="L96" s="57">
        <v>0</v>
      </c>
      <c r="M96" s="57">
        <v>0</v>
      </c>
      <c r="N96" s="57">
        <v>15</v>
      </c>
      <c r="O96" s="57">
        <v>100</v>
      </c>
      <c r="P96" s="57">
        <v>1</v>
      </c>
      <c r="Q96" s="57" t="s">
        <v>739</v>
      </c>
      <c r="R96" s="57" t="s">
        <v>530</v>
      </c>
      <c r="S96" s="57" t="s">
        <v>322</v>
      </c>
      <c r="T96" s="57" t="s">
        <v>400</v>
      </c>
      <c r="U96" s="57">
        <v>0</v>
      </c>
      <c r="V96" s="57">
        <v>0</v>
      </c>
      <c r="W96" s="57">
        <v>17</v>
      </c>
      <c r="X96" s="57">
        <v>35</v>
      </c>
      <c r="Y96" s="57">
        <v>1006</v>
      </c>
      <c r="Z96" s="57">
        <v>1102</v>
      </c>
      <c r="AA96" s="57">
        <v>1202</v>
      </c>
      <c r="AB96" s="57">
        <v>1206</v>
      </c>
      <c r="AC96" s="57">
        <v>0</v>
      </c>
      <c r="AD96" s="57">
        <v>0</v>
      </c>
      <c r="AE96" s="58">
        <v>0</v>
      </c>
      <c r="AF96" s="30">
        <v>0</v>
      </c>
      <c r="AG96" s="57">
        <v>0</v>
      </c>
      <c r="AH96" s="57">
        <v>0</v>
      </c>
      <c r="AI96" s="57">
        <v>0</v>
      </c>
      <c r="AJ96" s="57">
        <v>0</v>
      </c>
      <c r="AK96" s="57">
        <v>0</v>
      </c>
      <c r="AL96" s="57">
        <v>0</v>
      </c>
      <c r="AM96" s="57">
        <v>0</v>
      </c>
      <c r="AN96" s="57">
        <v>0</v>
      </c>
      <c r="AO96" s="57">
        <v>0</v>
      </c>
      <c r="AP96" s="57">
        <v>0</v>
      </c>
      <c r="AQ96" s="57">
        <v>0</v>
      </c>
      <c r="AR96" s="57">
        <v>0</v>
      </c>
      <c r="AS96" s="57">
        <v>0</v>
      </c>
      <c r="AT96" s="57">
        <v>0</v>
      </c>
      <c r="AU96" s="57">
        <v>0</v>
      </c>
      <c r="AV96" s="57">
        <v>0</v>
      </c>
      <c r="AW96" s="57">
        <v>0</v>
      </c>
      <c r="AX96" s="57">
        <v>0</v>
      </c>
      <c r="AY96" s="57">
        <v>0</v>
      </c>
      <c r="AZ96" s="57">
        <v>0</v>
      </c>
      <c r="BA96" s="57">
        <v>0</v>
      </c>
      <c r="BB96" s="57">
        <v>0</v>
      </c>
      <c r="BC96" s="57">
        <v>0</v>
      </c>
      <c r="BD96" s="57">
        <v>0</v>
      </c>
      <c r="BE96" s="57">
        <v>0</v>
      </c>
      <c r="BF96" s="57">
        <v>0</v>
      </c>
      <c r="BG96" s="57">
        <v>0</v>
      </c>
      <c r="BH96" s="57">
        <v>0</v>
      </c>
      <c r="BI96" s="57">
        <v>0</v>
      </c>
      <c r="BJ96" s="57">
        <v>0</v>
      </c>
      <c r="BK96" s="57">
        <v>0</v>
      </c>
      <c r="BL96" s="57">
        <v>0</v>
      </c>
      <c r="BM96" s="57">
        <v>0</v>
      </c>
      <c r="BN96" s="57">
        <v>0</v>
      </c>
      <c r="BO96" s="57">
        <v>0</v>
      </c>
      <c r="BP96" s="57">
        <v>0</v>
      </c>
      <c r="BQ96" s="57">
        <v>0</v>
      </c>
      <c r="BR96" s="57">
        <v>0</v>
      </c>
      <c r="BS96" s="57">
        <v>0</v>
      </c>
      <c r="BT96" s="57">
        <v>0</v>
      </c>
      <c r="BU96" s="57">
        <v>0</v>
      </c>
      <c r="BV96" s="57">
        <v>0</v>
      </c>
      <c r="BW96" s="57">
        <v>0</v>
      </c>
      <c r="BX96" s="57">
        <v>0</v>
      </c>
      <c r="BY96" s="57">
        <v>0</v>
      </c>
      <c r="BZ96" s="57">
        <v>0</v>
      </c>
      <c r="CA96" s="57">
        <v>0</v>
      </c>
    </row>
    <row r="97" spans="1:79" x14ac:dyDescent="0.3">
      <c r="A97" s="19"/>
      <c r="B97" s="20" t="str">
        <f t="shared" si="0"/>
        <v>11410001</v>
      </c>
      <c r="C97" s="55" t="str">
        <f t="shared" si="1"/>
        <v>1</v>
      </c>
      <c r="D97" s="55">
        <f t="shared" si="2"/>
        <v>4</v>
      </c>
      <c r="E97" s="49">
        <v>1</v>
      </c>
      <c r="F97" s="20">
        <v>1</v>
      </c>
      <c r="G97" s="20">
        <v>4</v>
      </c>
      <c r="H97" s="20" t="str">
        <f t="shared" si="3"/>
        <v>Item_Name_11410001</v>
      </c>
      <c r="I97" s="20" t="s">
        <v>410</v>
      </c>
      <c r="J97" s="20">
        <v>10101001</v>
      </c>
      <c r="K97" s="20">
        <v>1</v>
      </c>
      <c r="L97" s="20">
        <v>0</v>
      </c>
      <c r="M97" s="20">
        <v>0</v>
      </c>
      <c r="N97" s="20">
        <v>15</v>
      </c>
      <c r="O97" s="20">
        <v>100</v>
      </c>
      <c r="P97" s="20">
        <v>1</v>
      </c>
      <c r="Q97" s="20" t="s">
        <v>235</v>
      </c>
      <c r="R97" s="20" t="s">
        <v>171</v>
      </c>
      <c r="S97" s="20" t="s">
        <v>323</v>
      </c>
      <c r="T97" s="20" t="s">
        <v>331</v>
      </c>
      <c r="U97" s="20">
        <v>0</v>
      </c>
      <c r="V97" s="20">
        <v>0</v>
      </c>
      <c r="W97" s="20">
        <v>17</v>
      </c>
      <c r="X97" s="20">
        <v>16</v>
      </c>
      <c r="Y97" s="20">
        <v>1004</v>
      </c>
      <c r="Z97" s="20">
        <v>0</v>
      </c>
      <c r="AA97" s="20">
        <v>0</v>
      </c>
      <c r="AB97" s="20">
        <v>0</v>
      </c>
      <c r="AC97" s="20">
        <v>0</v>
      </c>
      <c r="AD97" s="20">
        <v>0</v>
      </c>
      <c r="AE97" s="39">
        <v>0</v>
      </c>
      <c r="AF97" s="31">
        <v>0</v>
      </c>
      <c r="AG97" s="20">
        <v>0</v>
      </c>
      <c r="AH97" s="20">
        <v>0</v>
      </c>
      <c r="AI97" s="20">
        <v>0</v>
      </c>
      <c r="AJ97" s="20">
        <v>0</v>
      </c>
      <c r="AK97" s="20">
        <v>0</v>
      </c>
      <c r="AL97" s="20">
        <v>0</v>
      </c>
      <c r="AM97" s="20">
        <v>0</v>
      </c>
      <c r="AN97" s="20">
        <v>0</v>
      </c>
      <c r="AO97" s="20">
        <v>0</v>
      </c>
      <c r="AP97" s="20">
        <v>0</v>
      </c>
      <c r="AQ97" s="20">
        <v>0</v>
      </c>
      <c r="AR97" s="20">
        <v>0</v>
      </c>
      <c r="AS97" s="20">
        <v>0</v>
      </c>
      <c r="AT97" s="20">
        <v>0</v>
      </c>
      <c r="AU97" s="20">
        <v>0</v>
      </c>
      <c r="AV97" s="20">
        <v>0</v>
      </c>
      <c r="AW97" s="20">
        <v>0</v>
      </c>
      <c r="AX97" s="20">
        <v>0</v>
      </c>
      <c r="AY97" s="20">
        <v>0</v>
      </c>
      <c r="AZ97" s="20">
        <v>0</v>
      </c>
      <c r="BA97" s="20">
        <v>0</v>
      </c>
      <c r="BB97" s="20">
        <v>0</v>
      </c>
      <c r="BC97" s="20">
        <v>0</v>
      </c>
      <c r="BD97" s="20">
        <v>0</v>
      </c>
      <c r="BE97" s="20">
        <v>0</v>
      </c>
      <c r="BF97" s="20">
        <v>0</v>
      </c>
      <c r="BG97" s="20">
        <v>0</v>
      </c>
      <c r="BH97" s="20">
        <v>0</v>
      </c>
      <c r="BI97" s="20">
        <v>0</v>
      </c>
      <c r="BJ97" s="20">
        <v>0</v>
      </c>
      <c r="BK97" s="20">
        <v>0</v>
      </c>
      <c r="BL97" s="20">
        <v>0</v>
      </c>
      <c r="BM97" s="20">
        <v>0</v>
      </c>
      <c r="BN97" s="20">
        <v>0</v>
      </c>
      <c r="BO97" s="20">
        <v>0</v>
      </c>
      <c r="BP97" s="20">
        <v>0</v>
      </c>
      <c r="BQ97" s="20">
        <v>0</v>
      </c>
      <c r="BR97" s="20">
        <v>0</v>
      </c>
      <c r="BS97" s="20">
        <v>0</v>
      </c>
      <c r="BT97" s="20">
        <v>0</v>
      </c>
      <c r="BU97" s="20">
        <v>0</v>
      </c>
      <c r="BV97" s="20">
        <v>0</v>
      </c>
      <c r="BW97" s="20">
        <v>0</v>
      </c>
      <c r="BX97" s="20">
        <v>0</v>
      </c>
      <c r="BY97" s="20">
        <v>0</v>
      </c>
      <c r="BZ97" s="20">
        <v>0</v>
      </c>
      <c r="CA97" s="20">
        <v>0</v>
      </c>
    </row>
    <row r="98" spans="1:79" x14ac:dyDescent="0.3">
      <c r="A98" s="19"/>
      <c r="B98" s="20" t="str">
        <f t="shared" si="0"/>
        <v>11420001</v>
      </c>
      <c r="C98" s="55" t="str">
        <f t="shared" si="1"/>
        <v>1</v>
      </c>
      <c r="D98" s="55">
        <f t="shared" si="2"/>
        <v>4</v>
      </c>
      <c r="E98" s="49">
        <v>1</v>
      </c>
      <c r="F98" s="20">
        <v>1</v>
      </c>
      <c r="G98" s="20">
        <v>4</v>
      </c>
      <c r="H98" s="20" t="str">
        <f t="shared" si="3"/>
        <v>Item_Name_11420001</v>
      </c>
      <c r="I98" s="20" t="s">
        <v>194</v>
      </c>
      <c r="J98" s="20">
        <v>10101001</v>
      </c>
      <c r="K98" s="20">
        <v>2</v>
      </c>
      <c r="L98" s="20">
        <v>0</v>
      </c>
      <c r="M98" s="20">
        <v>0</v>
      </c>
      <c r="N98" s="20">
        <v>15</v>
      </c>
      <c r="O98" s="20">
        <v>100</v>
      </c>
      <c r="P98" s="20">
        <v>1</v>
      </c>
      <c r="Q98" s="20" t="s">
        <v>411</v>
      </c>
      <c r="R98" s="20" t="s">
        <v>256</v>
      </c>
      <c r="S98" s="20" t="s">
        <v>323</v>
      </c>
      <c r="T98" s="20" t="s">
        <v>331</v>
      </c>
      <c r="U98" s="20">
        <v>0</v>
      </c>
      <c r="V98" s="20">
        <v>0</v>
      </c>
      <c r="W98" s="20">
        <v>17</v>
      </c>
      <c r="X98" s="20">
        <v>22</v>
      </c>
      <c r="Y98" s="20">
        <v>1004</v>
      </c>
      <c r="Z98" s="20">
        <v>1004</v>
      </c>
      <c r="AA98" s="20">
        <v>0</v>
      </c>
      <c r="AB98" s="20">
        <v>0</v>
      </c>
      <c r="AC98" s="20">
        <v>0</v>
      </c>
      <c r="AD98" s="20">
        <v>0</v>
      </c>
      <c r="AE98" s="39">
        <v>0</v>
      </c>
      <c r="AF98" s="31">
        <v>0</v>
      </c>
      <c r="AG98" s="20">
        <v>0</v>
      </c>
      <c r="AH98" s="20">
        <v>0</v>
      </c>
      <c r="AI98" s="20">
        <v>0</v>
      </c>
      <c r="AJ98" s="20">
        <v>0</v>
      </c>
      <c r="AK98" s="20">
        <v>0</v>
      </c>
      <c r="AL98" s="20">
        <v>0</v>
      </c>
      <c r="AM98" s="20">
        <v>0</v>
      </c>
      <c r="AN98" s="20">
        <v>0</v>
      </c>
      <c r="AO98" s="20">
        <v>0</v>
      </c>
      <c r="AP98" s="20">
        <v>0</v>
      </c>
      <c r="AQ98" s="20">
        <v>0</v>
      </c>
      <c r="AR98" s="20">
        <v>0</v>
      </c>
      <c r="AS98" s="20">
        <v>0</v>
      </c>
      <c r="AT98" s="20">
        <v>0</v>
      </c>
      <c r="AU98" s="20">
        <v>0</v>
      </c>
      <c r="AV98" s="20">
        <v>0</v>
      </c>
      <c r="AW98" s="20">
        <v>0</v>
      </c>
      <c r="AX98" s="20">
        <v>0</v>
      </c>
      <c r="AY98" s="20">
        <v>0</v>
      </c>
      <c r="AZ98" s="20">
        <v>0</v>
      </c>
      <c r="BA98" s="20">
        <v>0</v>
      </c>
      <c r="BB98" s="20">
        <v>0</v>
      </c>
      <c r="BC98" s="20">
        <v>0</v>
      </c>
      <c r="BD98" s="20">
        <v>0</v>
      </c>
      <c r="BE98" s="20">
        <v>0</v>
      </c>
      <c r="BF98" s="20">
        <v>0</v>
      </c>
      <c r="BG98" s="20">
        <v>0</v>
      </c>
      <c r="BH98" s="20">
        <v>0</v>
      </c>
      <c r="BI98" s="20">
        <v>0</v>
      </c>
      <c r="BJ98" s="20">
        <v>0</v>
      </c>
      <c r="BK98" s="20">
        <v>0</v>
      </c>
      <c r="BL98" s="20">
        <v>0</v>
      </c>
      <c r="BM98" s="20">
        <v>0</v>
      </c>
      <c r="BN98" s="20">
        <v>0</v>
      </c>
      <c r="BO98" s="20">
        <v>0</v>
      </c>
      <c r="BP98" s="20">
        <v>0</v>
      </c>
      <c r="BQ98" s="20">
        <v>0</v>
      </c>
      <c r="BR98" s="20">
        <v>0</v>
      </c>
      <c r="BS98" s="20">
        <v>0</v>
      </c>
      <c r="BT98" s="20">
        <v>0</v>
      </c>
      <c r="BU98" s="20">
        <v>0</v>
      </c>
      <c r="BV98" s="20">
        <v>0</v>
      </c>
      <c r="BW98" s="20">
        <v>0</v>
      </c>
      <c r="BX98" s="20">
        <v>0</v>
      </c>
      <c r="BY98" s="20">
        <v>0</v>
      </c>
      <c r="BZ98" s="20">
        <v>0</v>
      </c>
      <c r="CA98" s="20">
        <v>0</v>
      </c>
    </row>
    <row r="99" spans="1:79" x14ac:dyDescent="0.3">
      <c r="A99" s="19"/>
      <c r="B99" s="20" t="str">
        <f t="shared" si="0"/>
        <v>11430001</v>
      </c>
      <c r="C99" s="55" t="str">
        <f t="shared" si="1"/>
        <v>1</v>
      </c>
      <c r="D99" s="55">
        <f t="shared" si="2"/>
        <v>4</v>
      </c>
      <c r="E99" s="49">
        <v>1</v>
      </c>
      <c r="F99" s="20">
        <v>1</v>
      </c>
      <c r="G99" s="20">
        <v>4</v>
      </c>
      <c r="H99" s="20" t="str">
        <f t="shared" si="3"/>
        <v>Item_Name_11430001</v>
      </c>
      <c r="I99" s="20" t="s">
        <v>195</v>
      </c>
      <c r="J99" s="20">
        <v>10101001</v>
      </c>
      <c r="K99" s="20">
        <v>3</v>
      </c>
      <c r="L99" s="20">
        <v>0</v>
      </c>
      <c r="M99" s="20">
        <v>0</v>
      </c>
      <c r="N99" s="20">
        <v>15</v>
      </c>
      <c r="O99" s="20">
        <v>100</v>
      </c>
      <c r="P99" s="20">
        <v>1</v>
      </c>
      <c r="Q99" s="20" t="s">
        <v>412</v>
      </c>
      <c r="R99" s="20" t="s">
        <v>257</v>
      </c>
      <c r="S99" s="20" t="s">
        <v>323</v>
      </c>
      <c r="T99" s="20" t="s">
        <v>331</v>
      </c>
      <c r="U99" s="20">
        <v>0</v>
      </c>
      <c r="V99" s="20">
        <v>0</v>
      </c>
      <c r="W99" s="20">
        <v>17</v>
      </c>
      <c r="X99" s="20">
        <v>30</v>
      </c>
      <c r="Y99" s="20">
        <v>1004</v>
      </c>
      <c r="Z99" s="20">
        <v>1004</v>
      </c>
      <c r="AA99" s="20">
        <v>1004</v>
      </c>
      <c r="AB99" s="20">
        <v>0</v>
      </c>
      <c r="AC99" s="20">
        <v>0</v>
      </c>
      <c r="AD99" s="20">
        <v>0</v>
      </c>
      <c r="AE99" s="39">
        <v>0</v>
      </c>
      <c r="AF99" s="31">
        <v>0</v>
      </c>
      <c r="AG99" s="20">
        <v>0</v>
      </c>
      <c r="AH99" s="20">
        <v>0</v>
      </c>
      <c r="AI99" s="20">
        <v>0</v>
      </c>
      <c r="AJ99" s="20">
        <v>0</v>
      </c>
      <c r="AK99" s="20">
        <v>0</v>
      </c>
      <c r="AL99" s="20">
        <v>0</v>
      </c>
      <c r="AM99" s="20">
        <v>0</v>
      </c>
      <c r="AN99" s="20">
        <v>0</v>
      </c>
      <c r="AO99" s="20">
        <v>0</v>
      </c>
      <c r="AP99" s="20">
        <v>0</v>
      </c>
      <c r="AQ99" s="20">
        <v>0</v>
      </c>
      <c r="AR99" s="20">
        <v>0</v>
      </c>
      <c r="AS99" s="20">
        <v>0</v>
      </c>
      <c r="AT99" s="20">
        <v>0</v>
      </c>
      <c r="AU99" s="20">
        <v>0</v>
      </c>
      <c r="AV99" s="20">
        <v>0</v>
      </c>
      <c r="AW99" s="20">
        <v>0</v>
      </c>
      <c r="AX99" s="20">
        <v>0</v>
      </c>
      <c r="AY99" s="20">
        <v>0</v>
      </c>
      <c r="AZ99" s="20">
        <v>0</v>
      </c>
      <c r="BA99" s="20">
        <v>0</v>
      </c>
      <c r="BB99" s="20">
        <v>0</v>
      </c>
      <c r="BC99" s="20">
        <v>0</v>
      </c>
      <c r="BD99" s="20">
        <v>0</v>
      </c>
      <c r="BE99" s="20">
        <v>0</v>
      </c>
      <c r="BF99" s="20">
        <v>0</v>
      </c>
      <c r="BG99" s="20">
        <v>0</v>
      </c>
      <c r="BH99" s="20">
        <v>0</v>
      </c>
      <c r="BI99" s="20">
        <v>0</v>
      </c>
      <c r="BJ99" s="20">
        <v>0</v>
      </c>
      <c r="BK99" s="20">
        <v>0</v>
      </c>
      <c r="BL99" s="20">
        <v>0</v>
      </c>
      <c r="BM99" s="20">
        <v>0</v>
      </c>
      <c r="BN99" s="20">
        <v>0</v>
      </c>
      <c r="BO99" s="20">
        <v>0</v>
      </c>
      <c r="BP99" s="20">
        <v>0</v>
      </c>
      <c r="BQ99" s="20">
        <v>0</v>
      </c>
      <c r="BR99" s="20">
        <v>0</v>
      </c>
      <c r="BS99" s="20">
        <v>0</v>
      </c>
      <c r="BT99" s="20">
        <v>0</v>
      </c>
      <c r="BU99" s="20">
        <v>0</v>
      </c>
      <c r="BV99" s="20">
        <v>0</v>
      </c>
      <c r="BW99" s="20">
        <v>0</v>
      </c>
      <c r="BX99" s="20">
        <v>0</v>
      </c>
      <c r="BY99" s="20">
        <v>0</v>
      </c>
      <c r="BZ99" s="20">
        <v>0</v>
      </c>
      <c r="CA99" s="20">
        <v>0</v>
      </c>
    </row>
    <row r="100" spans="1:79" x14ac:dyDescent="0.3">
      <c r="A100" s="19"/>
      <c r="B100" s="20" t="str">
        <f t="shared" si="0"/>
        <v>11440001</v>
      </c>
      <c r="C100" s="55" t="str">
        <f t="shared" ref="C100" si="36">IF(J100&gt;0,MID(J100,5, 1), 0)</f>
        <v>1</v>
      </c>
      <c r="D100" s="55">
        <f t="shared" ref="D100" si="37">IF(G100&lt;100, G100, G100-100)</f>
        <v>4</v>
      </c>
      <c r="E100" s="49">
        <v>1</v>
      </c>
      <c r="F100" s="57">
        <v>1</v>
      </c>
      <c r="G100" s="57">
        <v>4</v>
      </c>
      <c r="H100" s="57" t="str">
        <f t="shared" si="3"/>
        <v>Item_Name_11440001</v>
      </c>
      <c r="I100" s="57" t="s">
        <v>562</v>
      </c>
      <c r="J100" s="57">
        <v>10101001</v>
      </c>
      <c r="K100" s="57">
        <v>4</v>
      </c>
      <c r="L100" s="57">
        <v>0</v>
      </c>
      <c r="M100" s="57">
        <v>0</v>
      </c>
      <c r="N100" s="57">
        <v>15</v>
      </c>
      <c r="O100" s="57">
        <v>100</v>
      </c>
      <c r="P100" s="57">
        <v>1</v>
      </c>
      <c r="Q100" s="57" t="s">
        <v>740</v>
      </c>
      <c r="R100" s="57" t="s">
        <v>531</v>
      </c>
      <c r="S100" s="57" t="s">
        <v>323</v>
      </c>
      <c r="T100" s="57" t="s">
        <v>331</v>
      </c>
      <c r="U100" s="57">
        <v>0</v>
      </c>
      <c r="V100" s="57">
        <v>0</v>
      </c>
      <c r="W100" s="57">
        <v>17</v>
      </c>
      <c r="X100" s="57">
        <v>63</v>
      </c>
      <c r="Y100" s="57">
        <v>1004</v>
      </c>
      <c r="Z100" s="57">
        <v>1004</v>
      </c>
      <c r="AA100" s="57">
        <v>1104</v>
      </c>
      <c r="AB100" s="57">
        <v>1204</v>
      </c>
      <c r="AC100" s="57">
        <v>0</v>
      </c>
      <c r="AD100" s="57">
        <v>0</v>
      </c>
      <c r="AE100" s="58">
        <v>0</v>
      </c>
      <c r="AF100" s="30">
        <v>0</v>
      </c>
      <c r="AG100" s="57">
        <v>0</v>
      </c>
      <c r="AH100" s="57">
        <v>0</v>
      </c>
      <c r="AI100" s="57">
        <v>0</v>
      </c>
      <c r="AJ100" s="57">
        <v>0</v>
      </c>
      <c r="AK100" s="57">
        <v>0</v>
      </c>
      <c r="AL100" s="57">
        <v>0</v>
      </c>
      <c r="AM100" s="57">
        <v>0</v>
      </c>
      <c r="AN100" s="57">
        <v>0</v>
      </c>
      <c r="AO100" s="57">
        <v>0</v>
      </c>
      <c r="AP100" s="57">
        <v>0</v>
      </c>
      <c r="AQ100" s="57">
        <v>0</v>
      </c>
      <c r="AR100" s="57">
        <v>0</v>
      </c>
      <c r="AS100" s="57">
        <v>0</v>
      </c>
      <c r="AT100" s="57">
        <v>0</v>
      </c>
      <c r="AU100" s="57">
        <v>0</v>
      </c>
      <c r="AV100" s="57">
        <v>0</v>
      </c>
      <c r="AW100" s="57">
        <v>0</v>
      </c>
      <c r="AX100" s="57">
        <v>0</v>
      </c>
      <c r="AY100" s="57">
        <v>0</v>
      </c>
      <c r="AZ100" s="57">
        <v>0</v>
      </c>
      <c r="BA100" s="57">
        <v>0</v>
      </c>
      <c r="BB100" s="57">
        <v>0</v>
      </c>
      <c r="BC100" s="57">
        <v>0</v>
      </c>
      <c r="BD100" s="57">
        <v>0</v>
      </c>
      <c r="BE100" s="57">
        <v>0</v>
      </c>
      <c r="BF100" s="57">
        <v>0</v>
      </c>
      <c r="BG100" s="57">
        <v>0</v>
      </c>
      <c r="BH100" s="57">
        <v>0</v>
      </c>
      <c r="BI100" s="57">
        <v>0</v>
      </c>
      <c r="BJ100" s="57">
        <v>0</v>
      </c>
      <c r="BK100" s="57">
        <v>0</v>
      </c>
      <c r="BL100" s="57">
        <v>0</v>
      </c>
      <c r="BM100" s="57">
        <v>0</v>
      </c>
      <c r="BN100" s="57">
        <v>0</v>
      </c>
      <c r="BO100" s="57">
        <v>0</v>
      </c>
      <c r="BP100" s="57">
        <v>0</v>
      </c>
      <c r="BQ100" s="57">
        <v>0</v>
      </c>
      <c r="BR100" s="57">
        <v>0</v>
      </c>
      <c r="BS100" s="57">
        <v>0</v>
      </c>
      <c r="BT100" s="57">
        <v>0</v>
      </c>
      <c r="BU100" s="57">
        <v>0</v>
      </c>
      <c r="BV100" s="57">
        <v>0</v>
      </c>
      <c r="BW100" s="57">
        <v>0</v>
      </c>
      <c r="BX100" s="57">
        <v>0</v>
      </c>
      <c r="BY100" s="57">
        <v>0</v>
      </c>
      <c r="BZ100" s="57">
        <v>0</v>
      </c>
      <c r="CA100" s="57">
        <v>0</v>
      </c>
    </row>
    <row r="101" spans="1:79" x14ac:dyDescent="0.3">
      <c r="A101" s="19"/>
      <c r="B101" s="20" t="str">
        <f t="shared" si="0"/>
        <v>12410001</v>
      </c>
      <c r="C101" s="55" t="str">
        <f t="shared" si="1"/>
        <v>2</v>
      </c>
      <c r="D101" s="55">
        <f t="shared" si="2"/>
        <v>4</v>
      </c>
      <c r="E101" s="49">
        <v>1</v>
      </c>
      <c r="F101" s="20">
        <v>1</v>
      </c>
      <c r="G101" s="20">
        <v>4</v>
      </c>
      <c r="H101" s="20" t="str">
        <f t="shared" si="3"/>
        <v>Item_Name_12410001</v>
      </c>
      <c r="I101" s="20" t="s">
        <v>413</v>
      </c>
      <c r="J101" s="20">
        <v>10102001</v>
      </c>
      <c r="K101" s="20">
        <v>1</v>
      </c>
      <c r="L101" s="20">
        <v>0</v>
      </c>
      <c r="M101" s="20">
        <v>0</v>
      </c>
      <c r="N101" s="20">
        <v>15</v>
      </c>
      <c r="O101" s="20">
        <v>100</v>
      </c>
      <c r="P101" s="20">
        <v>1</v>
      </c>
      <c r="Q101" s="20" t="s">
        <v>236</v>
      </c>
      <c r="R101" s="20" t="s">
        <v>171</v>
      </c>
      <c r="S101" s="20" t="s">
        <v>324</v>
      </c>
      <c r="T101" s="20" t="s">
        <v>331</v>
      </c>
      <c r="U101" s="20">
        <v>0</v>
      </c>
      <c r="V101" s="20">
        <v>0</v>
      </c>
      <c r="W101" s="20">
        <v>17</v>
      </c>
      <c r="X101" s="20">
        <v>11</v>
      </c>
      <c r="Y101" s="20">
        <v>1004</v>
      </c>
      <c r="Z101" s="20">
        <v>0</v>
      </c>
      <c r="AA101" s="20">
        <v>0</v>
      </c>
      <c r="AB101" s="20">
        <v>0</v>
      </c>
      <c r="AC101" s="20">
        <v>0</v>
      </c>
      <c r="AD101" s="20">
        <v>0</v>
      </c>
      <c r="AE101" s="39">
        <v>0</v>
      </c>
      <c r="AF101" s="31">
        <v>0</v>
      </c>
      <c r="AG101" s="20">
        <v>0</v>
      </c>
      <c r="AH101" s="20">
        <v>0</v>
      </c>
      <c r="AI101" s="20">
        <v>0</v>
      </c>
      <c r="AJ101" s="20">
        <v>0</v>
      </c>
      <c r="AK101" s="20">
        <v>0</v>
      </c>
      <c r="AL101" s="20">
        <v>0</v>
      </c>
      <c r="AM101" s="20">
        <v>0</v>
      </c>
      <c r="AN101" s="20">
        <v>0</v>
      </c>
      <c r="AO101" s="20">
        <v>0</v>
      </c>
      <c r="AP101" s="20">
        <v>0</v>
      </c>
      <c r="AQ101" s="20">
        <v>0</v>
      </c>
      <c r="AR101" s="20">
        <v>0</v>
      </c>
      <c r="AS101" s="20">
        <v>0</v>
      </c>
      <c r="AT101" s="20">
        <v>0</v>
      </c>
      <c r="AU101" s="20">
        <v>0</v>
      </c>
      <c r="AV101" s="20">
        <v>0</v>
      </c>
      <c r="AW101" s="20">
        <v>0</v>
      </c>
      <c r="AX101" s="20">
        <v>0</v>
      </c>
      <c r="AY101" s="20">
        <v>0</v>
      </c>
      <c r="AZ101" s="20">
        <v>0</v>
      </c>
      <c r="BA101" s="20">
        <v>0</v>
      </c>
      <c r="BB101" s="20">
        <v>0</v>
      </c>
      <c r="BC101" s="20">
        <v>0</v>
      </c>
      <c r="BD101" s="20">
        <v>0</v>
      </c>
      <c r="BE101" s="20">
        <v>0</v>
      </c>
      <c r="BF101" s="20">
        <v>0</v>
      </c>
      <c r="BG101" s="20">
        <v>0</v>
      </c>
      <c r="BH101" s="20">
        <v>0</v>
      </c>
      <c r="BI101" s="20">
        <v>0</v>
      </c>
      <c r="BJ101" s="20">
        <v>0</v>
      </c>
      <c r="BK101" s="20">
        <v>0</v>
      </c>
      <c r="BL101" s="20">
        <v>0</v>
      </c>
      <c r="BM101" s="20">
        <v>0</v>
      </c>
      <c r="BN101" s="20">
        <v>0</v>
      </c>
      <c r="BO101" s="20">
        <v>0</v>
      </c>
      <c r="BP101" s="20">
        <v>0</v>
      </c>
      <c r="BQ101" s="20">
        <v>0</v>
      </c>
      <c r="BR101" s="20">
        <v>0</v>
      </c>
      <c r="BS101" s="20">
        <v>0</v>
      </c>
      <c r="BT101" s="20">
        <v>0</v>
      </c>
      <c r="BU101" s="20">
        <v>0</v>
      </c>
      <c r="BV101" s="20">
        <v>0</v>
      </c>
      <c r="BW101" s="20">
        <v>0</v>
      </c>
      <c r="BX101" s="20">
        <v>0</v>
      </c>
      <c r="BY101" s="20">
        <v>0</v>
      </c>
      <c r="BZ101" s="20">
        <v>0</v>
      </c>
      <c r="CA101" s="20">
        <v>0</v>
      </c>
    </row>
    <row r="102" spans="1:79" x14ac:dyDescent="0.3">
      <c r="A102" s="19"/>
      <c r="B102" s="20" t="str">
        <f t="shared" si="0"/>
        <v>12420001</v>
      </c>
      <c r="C102" s="55" t="str">
        <f t="shared" si="1"/>
        <v>2</v>
      </c>
      <c r="D102" s="55">
        <f t="shared" si="2"/>
        <v>4</v>
      </c>
      <c r="E102" s="49">
        <v>1</v>
      </c>
      <c r="F102" s="20">
        <v>1</v>
      </c>
      <c r="G102" s="20">
        <v>4</v>
      </c>
      <c r="H102" s="20" t="str">
        <f t="shared" si="3"/>
        <v>Item_Name_12420001</v>
      </c>
      <c r="I102" s="20" t="s">
        <v>196</v>
      </c>
      <c r="J102" s="20">
        <v>10102001</v>
      </c>
      <c r="K102" s="20">
        <v>2</v>
      </c>
      <c r="L102" s="20">
        <v>0</v>
      </c>
      <c r="M102" s="20">
        <v>0</v>
      </c>
      <c r="N102" s="20">
        <v>15</v>
      </c>
      <c r="O102" s="20">
        <v>100</v>
      </c>
      <c r="P102" s="20">
        <v>1</v>
      </c>
      <c r="Q102" s="20" t="s">
        <v>414</v>
      </c>
      <c r="R102" s="20" t="s">
        <v>256</v>
      </c>
      <c r="S102" s="20" t="s">
        <v>324</v>
      </c>
      <c r="T102" s="20" t="s">
        <v>331</v>
      </c>
      <c r="U102" s="20">
        <v>0</v>
      </c>
      <c r="V102" s="20">
        <v>0</v>
      </c>
      <c r="W102" s="20">
        <v>17</v>
      </c>
      <c r="X102" s="20">
        <v>14</v>
      </c>
      <c r="Y102" s="20">
        <v>1004</v>
      </c>
      <c r="Z102" s="20">
        <v>1004</v>
      </c>
      <c r="AA102" s="20">
        <v>0</v>
      </c>
      <c r="AB102" s="20">
        <v>0</v>
      </c>
      <c r="AC102" s="20">
        <v>0</v>
      </c>
      <c r="AD102" s="20">
        <v>0</v>
      </c>
      <c r="AE102" s="39">
        <v>0</v>
      </c>
      <c r="AF102" s="31">
        <v>0</v>
      </c>
      <c r="AG102" s="20">
        <v>0</v>
      </c>
      <c r="AH102" s="20">
        <v>0</v>
      </c>
      <c r="AI102" s="20">
        <v>0</v>
      </c>
      <c r="AJ102" s="20">
        <v>0</v>
      </c>
      <c r="AK102" s="20">
        <v>0</v>
      </c>
      <c r="AL102" s="20">
        <v>0</v>
      </c>
      <c r="AM102" s="20">
        <v>0</v>
      </c>
      <c r="AN102" s="20">
        <v>0</v>
      </c>
      <c r="AO102" s="20">
        <v>0</v>
      </c>
      <c r="AP102" s="20">
        <v>0</v>
      </c>
      <c r="AQ102" s="20">
        <v>0</v>
      </c>
      <c r="AR102" s="20">
        <v>0</v>
      </c>
      <c r="AS102" s="20">
        <v>0</v>
      </c>
      <c r="AT102" s="20">
        <v>0</v>
      </c>
      <c r="AU102" s="20">
        <v>0</v>
      </c>
      <c r="AV102" s="20">
        <v>0</v>
      </c>
      <c r="AW102" s="20">
        <v>0</v>
      </c>
      <c r="AX102" s="20">
        <v>0</v>
      </c>
      <c r="AY102" s="20">
        <v>0</v>
      </c>
      <c r="AZ102" s="20">
        <v>0</v>
      </c>
      <c r="BA102" s="20">
        <v>0</v>
      </c>
      <c r="BB102" s="20">
        <v>0</v>
      </c>
      <c r="BC102" s="20">
        <v>0</v>
      </c>
      <c r="BD102" s="20">
        <v>0</v>
      </c>
      <c r="BE102" s="20">
        <v>0</v>
      </c>
      <c r="BF102" s="20">
        <v>0</v>
      </c>
      <c r="BG102" s="20">
        <v>0</v>
      </c>
      <c r="BH102" s="20">
        <v>0</v>
      </c>
      <c r="BI102" s="20">
        <v>0</v>
      </c>
      <c r="BJ102" s="20">
        <v>0</v>
      </c>
      <c r="BK102" s="20">
        <v>0</v>
      </c>
      <c r="BL102" s="20">
        <v>0</v>
      </c>
      <c r="BM102" s="20">
        <v>0</v>
      </c>
      <c r="BN102" s="20">
        <v>0</v>
      </c>
      <c r="BO102" s="20">
        <v>0</v>
      </c>
      <c r="BP102" s="20">
        <v>0</v>
      </c>
      <c r="BQ102" s="20">
        <v>0</v>
      </c>
      <c r="BR102" s="20">
        <v>0</v>
      </c>
      <c r="BS102" s="20">
        <v>0</v>
      </c>
      <c r="BT102" s="20">
        <v>0</v>
      </c>
      <c r="BU102" s="20">
        <v>0</v>
      </c>
      <c r="BV102" s="20">
        <v>0</v>
      </c>
      <c r="BW102" s="20">
        <v>0</v>
      </c>
      <c r="BX102" s="20">
        <v>0</v>
      </c>
      <c r="BY102" s="20">
        <v>0</v>
      </c>
      <c r="BZ102" s="20">
        <v>0</v>
      </c>
      <c r="CA102" s="20">
        <v>0</v>
      </c>
    </row>
    <row r="103" spans="1:79" x14ac:dyDescent="0.3">
      <c r="A103" s="19"/>
      <c r="B103" s="20" t="str">
        <f t="shared" ref="B103:B254" si="38">1&amp;$C103&amp;$D103&amp;IF($K103=99,9,$K103)&amp;REPT("0",4-LEN($E103))&amp;$E103</f>
        <v>12430001</v>
      </c>
      <c r="C103" s="55" t="str">
        <f t="shared" ref="C103:C250" si="39">IF(J103&gt;0,MID(J103,5, 1), 0)</f>
        <v>2</v>
      </c>
      <c r="D103" s="55">
        <f t="shared" ref="D103:D250" si="40">IF(G103&lt;100, G103, G103-100)</f>
        <v>4</v>
      </c>
      <c r="E103" s="49">
        <v>1</v>
      </c>
      <c r="F103" s="20">
        <v>1</v>
      </c>
      <c r="G103" s="20">
        <v>4</v>
      </c>
      <c r="H103" s="20" t="str">
        <f t="shared" ref="H103:H254" si="41">"Item_Name_"&amp;$B103</f>
        <v>Item_Name_12430001</v>
      </c>
      <c r="I103" s="20" t="s">
        <v>197</v>
      </c>
      <c r="J103" s="20">
        <v>10102001</v>
      </c>
      <c r="K103" s="20">
        <v>3</v>
      </c>
      <c r="L103" s="20">
        <v>0</v>
      </c>
      <c r="M103" s="20">
        <v>0</v>
      </c>
      <c r="N103" s="20">
        <v>15</v>
      </c>
      <c r="O103" s="20">
        <v>100</v>
      </c>
      <c r="P103" s="20">
        <v>1</v>
      </c>
      <c r="Q103" s="20" t="s">
        <v>415</v>
      </c>
      <c r="R103" s="20" t="s">
        <v>257</v>
      </c>
      <c r="S103" s="20" t="s">
        <v>324</v>
      </c>
      <c r="T103" s="20" t="s">
        <v>331</v>
      </c>
      <c r="U103" s="20">
        <v>0</v>
      </c>
      <c r="V103" s="20">
        <v>0</v>
      </c>
      <c r="W103" s="20">
        <v>17</v>
      </c>
      <c r="X103" s="20">
        <v>20</v>
      </c>
      <c r="Y103" s="20">
        <v>1004</v>
      </c>
      <c r="Z103" s="20">
        <v>1004</v>
      </c>
      <c r="AA103" s="20">
        <v>1004</v>
      </c>
      <c r="AB103" s="20">
        <v>0</v>
      </c>
      <c r="AC103" s="20">
        <v>0</v>
      </c>
      <c r="AD103" s="20">
        <v>0</v>
      </c>
      <c r="AE103" s="39">
        <v>0</v>
      </c>
      <c r="AF103" s="31">
        <v>0</v>
      </c>
      <c r="AG103" s="20">
        <v>0</v>
      </c>
      <c r="AH103" s="20">
        <v>0</v>
      </c>
      <c r="AI103" s="20">
        <v>0</v>
      </c>
      <c r="AJ103" s="20">
        <v>0</v>
      </c>
      <c r="AK103" s="20">
        <v>0</v>
      </c>
      <c r="AL103" s="20">
        <v>0</v>
      </c>
      <c r="AM103" s="20">
        <v>0</v>
      </c>
      <c r="AN103" s="20">
        <v>0</v>
      </c>
      <c r="AO103" s="20">
        <v>0</v>
      </c>
      <c r="AP103" s="20">
        <v>0</v>
      </c>
      <c r="AQ103" s="20">
        <v>0</v>
      </c>
      <c r="AR103" s="20">
        <v>0</v>
      </c>
      <c r="AS103" s="20">
        <v>0</v>
      </c>
      <c r="AT103" s="20">
        <v>0</v>
      </c>
      <c r="AU103" s="20">
        <v>0</v>
      </c>
      <c r="AV103" s="20">
        <v>0</v>
      </c>
      <c r="AW103" s="20">
        <v>0</v>
      </c>
      <c r="AX103" s="20">
        <v>0</v>
      </c>
      <c r="AY103" s="20">
        <v>0</v>
      </c>
      <c r="AZ103" s="20">
        <v>0</v>
      </c>
      <c r="BA103" s="20">
        <v>0</v>
      </c>
      <c r="BB103" s="20">
        <v>0</v>
      </c>
      <c r="BC103" s="20">
        <v>0</v>
      </c>
      <c r="BD103" s="20">
        <v>0</v>
      </c>
      <c r="BE103" s="20">
        <v>0</v>
      </c>
      <c r="BF103" s="20">
        <v>0</v>
      </c>
      <c r="BG103" s="20">
        <v>0</v>
      </c>
      <c r="BH103" s="20">
        <v>0</v>
      </c>
      <c r="BI103" s="20">
        <v>0</v>
      </c>
      <c r="BJ103" s="20">
        <v>0</v>
      </c>
      <c r="BK103" s="20">
        <v>0</v>
      </c>
      <c r="BL103" s="20">
        <v>0</v>
      </c>
      <c r="BM103" s="20">
        <v>0</v>
      </c>
      <c r="BN103" s="20">
        <v>0</v>
      </c>
      <c r="BO103" s="20">
        <v>0</v>
      </c>
      <c r="BP103" s="20">
        <v>0</v>
      </c>
      <c r="BQ103" s="20">
        <v>0</v>
      </c>
      <c r="BR103" s="20">
        <v>0</v>
      </c>
      <c r="BS103" s="20">
        <v>0</v>
      </c>
      <c r="BT103" s="20">
        <v>0</v>
      </c>
      <c r="BU103" s="20">
        <v>0</v>
      </c>
      <c r="BV103" s="20">
        <v>0</v>
      </c>
      <c r="BW103" s="20">
        <v>0</v>
      </c>
      <c r="BX103" s="20">
        <v>0</v>
      </c>
      <c r="BY103" s="20">
        <v>0</v>
      </c>
      <c r="BZ103" s="20">
        <v>0</v>
      </c>
      <c r="CA103" s="20">
        <v>0</v>
      </c>
    </row>
    <row r="104" spans="1:79" x14ac:dyDescent="0.3">
      <c r="A104" s="19"/>
      <c r="B104" s="20" t="str">
        <f t="shared" si="38"/>
        <v>12440001</v>
      </c>
      <c r="C104" s="55" t="str">
        <f t="shared" ref="C104" si="42">IF(J104&gt;0,MID(J104,5, 1), 0)</f>
        <v>2</v>
      </c>
      <c r="D104" s="55">
        <f t="shared" ref="D104" si="43">IF(G104&lt;100, G104, G104-100)</f>
        <v>4</v>
      </c>
      <c r="E104" s="49">
        <v>1</v>
      </c>
      <c r="F104" s="57">
        <v>1</v>
      </c>
      <c r="G104" s="57">
        <v>4</v>
      </c>
      <c r="H104" s="57" t="str">
        <f t="shared" si="41"/>
        <v>Item_Name_12440001</v>
      </c>
      <c r="I104" s="57" t="s">
        <v>563</v>
      </c>
      <c r="J104" s="57">
        <v>10102001</v>
      </c>
      <c r="K104" s="57">
        <v>4</v>
      </c>
      <c r="L104" s="57">
        <v>0</v>
      </c>
      <c r="M104" s="57">
        <v>0</v>
      </c>
      <c r="N104" s="57">
        <v>15</v>
      </c>
      <c r="O104" s="57">
        <v>100</v>
      </c>
      <c r="P104" s="57">
        <v>1</v>
      </c>
      <c r="Q104" s="57" t="s">
        <v>741</v>
      </c>
      <c r="R104" s="57" t="s">
        <v>531</v>
      </c>
      <c r="S104" s="57" t="s">
        <v>324</v>
      </c>
      <c r="T104" s="57" t="s">
        <v>331</v>
      </c>
      <c r="U104" s="57">
        <v>0</v>
      </c>
      <c r="V104" s="57">
        <v>0</v>
      </c>
      <c r="W104" s="57">
        <v>17</v>
      </c>
      <c r="X104" s="57">
        <v>31</v>
      </c>
      <c r="Y104" s="57">
        <v>1004</v>
      </c>
      <c r="Z104" s="57">
        <v>1004</v>
      </c>
      <c r="AA104" s="57">
        <v>1104</v>
      </c>
      <c r="AB104" s="57">
        <v>1204</v>
      </c>
      <c r="AC104" s="57">
        <v>0</v>
      </c>
      <c r="AD104" s="57">
        <v>0</v>
      </c>
      <c r="AE104" s="58">
        <v>0</v>
      </c>
      <c r="AF104" s="30">
        <v>0</v>
      </c>
      <c r="AG104" s="57">
        <v>0</v>
      </c>
      <c r="AH104" s="57">
        <v>0</v>
      </c>
      <c r="AI104" s="57">
        <v>0</v>
      </c>
      <c r="AJ104" s="57">
        <v>0</v>
      </c>
      <c r="AK104" s="57">
        <v>0</v>
      </c>
      <c r="AL104" s="57">
        <v>0</v>
      </c>
      <c r="AM104" s="57">
        <v>0</v>
      </c>
      <c r="AN104" s="57">
        <v>0</v>
      </c>
      <c r="AO104" s="57">
        <v>0</v>
      </c>
      <c r="AP104" s="57">
        <v>0</v>
      </c>
      <c r="AQ104" s="57">
        <v>0</v>
      </c>
      <c r="AR104" s="57">
        <v>0</v>
      </c>
      <c r="AS104" s="57">
        <v>0</v>
      </c>
      <c r="AT104" s="57">
        <v>0</v>
      </c>
      <c r="AU104" s="57">
        <v>0</v>
      </c>
      <c r="AV104" s="57">
        <v>0</v>
      </c>
      <c r="AW104" s="57">
        <v>0</v>
      </c>
      <c r="AX104" s="57">
        <v>0</v>
      </c>
      <c r="AY104" s="57">
        <v>0</v>
      </c>
      <c r="AZ104" s="57">
        <v>0</v>
      </c>
      <c r="BA104" s="57">
        <v>0</v>
      </c>
      <c r="BB104" s="57">
        <v>0</v>
      </c>
      <c r="BC104" s="57">
        <v>0</v>
      </c>
      <c r="BD104" s="57">
        <v>0</v>
      </c>
      <c r="BE104" s="57">
        <v>0</v>
      </c>
      <c r="BF104" s="57">
        <v>0</v>
      </c>
      <c r="BG104" s="57">
        <v>0</v>
      </c>
      <c r="BH104" s="57">
        <v>0</v>
      </c>
      <c r="BI104" s="57">
        <v>0</v>
      </c>
      <c r="BJ104" s="57">
        <v>0</v>
      </c>
      <c r="BK104" s="57">
        <v>0</v>
      </c>
      <c r="BL104" s="57">
        <v>0</v>
      </c>
      <c r="BM104" s="57">
        <v>0</v>
      </c>
      <c r="BN104" s="57">
        <v>0</v>
      </c>
      <c r="BO104" s="57">
        <v>0</v>
      </c>
      <c r="BP104" s="57">
        <v>0</v>
      </c>
      <c r="BQ104" s="57">
        <v>0</v>
      </c>
      <c r="BR104" s="57">
        <v>0</v>
      </c>
      <c r="BS104" s="57">
        <v>0</v>
      </c>
      <c r="BT104" s="57">
        <v>0</v>
      </c>
      <c r="BU104" s="57">
        <v>0</v>
      </c>
      <c r="BV104" s="57">
        <v>0</v>
      </c>
      <c r="BW104" s="57">
        <v>0</v>
      </c>
      <c r="BX104" s="57">
        <v>0</v>
      </c>
      <c r="BY104" s="57">
        <v>0</v>
      </c>
      <c r="BZ104" s="57">
        <v>0</v>
      </c>
      <c r="CA104" s="57">
        <v>0</v>
      </c>
    </row>
    <row r="105" spans="1:79" x14ac:dyDescent="0.3">
      <c r="A105" s="19"/>
      <c r="B105" s="20" t="str">
        <f t="shared" si="38"/>
        <v>13410001</v>
      </c>
      <c r="C105" s="55" t="str">
        <f t="shared" si="39"/>
        <v>3</v>
      </c>
      <c r="D105" s="55">
        <f t="shared" si="40"/>
        <v>4</v>
      </c>
      <c r="E105" s="49">
        <v>1</v>
      </c>
      <c r="F105" s="20">
        <v>1</v>
      </c>
      <c r="G105" s="20">
        <v>4</v>
      </c>
      <c r="H105" s="20" t="str">
        <f t="shared" si="41"/>
        <v>Item_Name_13410001</v>
      </c>
      <c r="I105" s="20" t="s">
        <v>697</v>
      </c>
      <c r="J105" s="20">
        <v>10103001</v>
      </c>
      <c r="K105" s="20">
        <v>1</v>
      </c>
      <c r="L105" s="20">
        <v>0</v>
      </c>
      <c r="M105" s="20">
        <v>0</v>
      </c>
      <c r="N105" s="20">
        <v>15</v>
      </c>
      <c r="O105" s="20">
        <v>100</v>
      </c>
      <c r="P105" s="20">
        <v>1</v>
      </c>
      <c r="Q105" s="20" t="s">
        <v>303</v>
      </c>
      <c r="R105" s="20" t="s">
        <v>171</v>
      </c>
      <c r="S105" s="20" t="s">
        <v>527</v>
      </c>
      <c r="T105" s="20" t="s">
        <v>331</v>
      </c>
      <c r="U105" s="20">
        <v>0</v>
      </c>
      <c r="V105" s="20">
        <v>0</v>
      </c>
      <c r="W105" s="20">
        <v>17</v>
      </c>
      <c r="X105" s="20">
        <v>10</v>
      </c>
      <c r="Y105" s="20">
        <v>1004</v>
      </c>
      <c r="Z105" s="20">
        <v>0</v>
      </c>
      <c r="AA105" s="20">
        <v>0</v>
      </c>
      <c r="AB105" s="20">
        <v>0</v>
      </c>
      <c r="AC105" s="20">
        <v>0</v>
      </c>
      <c r="AD105" s="20">
        <v>0</v>
      </c>
      <c r="AE105" s="39">
        <v>0</v>
      </c>
      <c r="AF105" s="31">
        <v>0</v>
      </c>
      <c r="AG105" s="20">
        <v>0</v>
      </c>
      <c r="AH105" s="20">
        <v>0</v>
      </c>
      <c r="AI105" s="20">
        <v>0</v>
      </c>
      <c r="AJ105" s="20">
        <v>0</v>
      </c>
      <c r="AK105" s="20">
        <v>0</v>
      </c>
      <c r="AL105" s="20">
        <v>0</v>
      </c>
      <c r="AM105" s="20">
        <v>0</v>
      </c>
      <c r="AN105" s="20">
        <v>0</v>
      </c>
      <c r="AO105" s="20">
        <v>0</v>
      </c>
      <c r="AP105" s="20">
        <v>0</v>
      </c>
      <c r="AQ105" s="20">
        <v>0</v>
      </c>
      <c r="AR105" s="20">
        <v>0</v>
      </c>
      <c r="AS105" s="20">
        <v>0</v>
      </c>
      <c r="AT105" s="20">
        <v>0</v>
      </c>
      <c r="AU105" s="20">
        <v>0</v>
      </c>
      <c r="AV105" s="20">
        <v>0</v>
      </c>
      <c r="AW105" s="20">
        <v>0</v>
      </c>
      <c r="AX105" s="20">
        <v>0</v>
      </c>
      <c r="AY105" s="20">
        <v>0</v>
      </c>
      <c r="AZ105" s="20">
        <v>0</v>
      </c>
      <c r="BA105" s="20">
        <v>0</v>
      </c>
      <c r="BB105" s="20">
        <v>0</v>
      </c>
      <c r="BC105" s="20">
        <v>0</v>
      </c>
      <c r="BD105" s="20">
        <v>0</v>
      </c>
      <c r="BE105" s="20">
        <v>0</v>
      </c>
      <c r="BF105" s="20">
        <v>0</v>
      </c>
      <c r="BG105" s="20">
        <v>0</v>
      </c>
      <c r="BH105" s="20">
        <v>0</v>
      </c>
      <c r="BI105" s="20">
        <v>0</v>
      </c>
      <c r="BJ105" s="20">
        <v>0</v>
      </c>
      <c r="BK105" s="20">
        <v>0</v>
      </c>
      <c r="BL105" s="20">
        <v>0</v>
      </c>
      <c r="BM105" s="20">
        <v>0</v>
      </c>
      <c r="BN105" s="20">
        <v>0</v>
      </c>
      <c r="BO105" s="20">
        <v>0</v>
      </c>
      <c r="BP105" s="20">
        <v>0</v>
      </c>
      <c r="BQ105" s="20">
        <v>0</v>
      </c>
      <c r="BR105" s="20">
        <v>0</v>
      </c>
      <c r="BS105" s="20">
        <v>0</v>
      </c>
      <c r="BT105" s="20">
        <v>0</v>
      </c>
      <c r="BU105" s="20">
        <v>0</v>
      </c>
      <c r="BV105" s="20">
        <v>0</v>
      </c>
      <c r="BW105" s="20">
        <v>0</v>
      </c>
      <c r="BX105" s="20">
        <v>0</v>
      </c>
      <c r="BY105" s="20">
        <v>0</v>
      </c>
      <c r="BZ105" s="20">
        <v>0</v>
      </c>
      <c r="CA105" s="20">
        <v>0</v>
      </c>
    </row>
    <row r="106" spans="1:79" x14ac:dyDescent="0.3">
      <c r="A106" s="19"/>
      <c r="B106" s="20" t="str">
        <f t="shared" si="38"/>
        <v>13420001</v>
      </c>
      <c r="C106" s="55" t="str">
        <f t="shared" ref="C106:C108" si="44">IF(J106&gt;0,MID(J106,5, 1), 0)</f>
        <v>3</v>
      </c>
      <c r="D106" s="55">
        <f t="shared" ref="D106:D108" si="45">IF(G106&lt;100, G106, G106-100)</f>
        <v>4</v>
      </c>
      <c r="E106" s="49">
        <v>1</v>
      </c>
      <c r="F106" s="57">
        <v>1</v>
      </c>
      <c r="G106" s="57">
        <v>4</v>
      </c>
      <c r="H106" s="57" t="str">
        <f t="shared" si="41"/>
        <v>Item_Name_13420001</v>
      </c>
      <c r="I106" s="57" t="s">
        <v>742</v>
      </c>
      <c r="J106" s="57">
        <v>10103001</v>
      </c>
      <c r="K106" s="57">
        <v>2</v>
      </c>
      <c r="L106" s="57">
        <v>0</v>
      </c>
      <c r="M106" s="57">
        <v>0</v>
      </c>
      <c r="N106" s="57">
        <v>15</v>
      </c>
      <c r="O106" s="57">
        <v>100</v>
      </c>
      <c r="P106" s="57">
        <v>1</v>
      </c>
      <c r="Q106" s="57" t="s">
        <v>878</v>
      </c>
      <c r="R106" s="57" t="s">
        <v>542</v>
      </c>
      <c r="S106" s="57" t="s">
        <v>527</v>
      </c>
      <c r="T106" s="57" t="s">
        <v>331</v>
      </c>
      <c r="U106" s="57">
        <v>0</v>
      </c>
      <c r="V106" s="57">
        <v>0</v>
      </c>
      <c r="W106" s="57">
        <v>17</v>
      </c>
      <c r="X106" s="57">
        <v>10</v>
      </c>
      <c r="Y106" s="57">
        <v>1004</v>
      </c>
      <c r="Z106" s="57">
        <v>1004</v>
      </c>
      <c r="AA106" s="57">
        <v>0</v>
      </c>
      <c r="AB106" s="57">
        <v>0</v>
      </c>
      <c r="AC106" s="57">
        <v>0</v>
      </c>
      <c r="AD106" s="57">
        <v>0</v>
      </c>
      <c r="AE106" s="58">
        <v>0</v>
      </c>
      <c r="AF106" s="30">
        <v>0</v>
      </c>
      <c r="AG106" s="57">
        <v>0</v>
      </c>
      <c r="AH106" s="57">
        <v>0</v>
      </c>
      <c r="AI106" s="57">
        <v>0</v>
      </c>
      <c r="AJ106" s="57">
        <v>0</v>
      </c>
      <c r="AK106" s="57">
        <v>0</v>
      </c>
      <c r="AL106" s="57">
        <v>0</v>
      </c>
      <c r="AM106" s="57">
        <v>0</v>
      </c>
      <c r="AN106" s="57">
        <v>0</v>
      </c>
      <c r="AO106" s="57">
        <v>0</v>
      </c>
      <c r="AP106" s="57">
        <v>0</v>
      </c>
      <c r="AQ106" s="57">
        <v>0</v>
      </c>
      <c r="AR106" s="57">
        <v>0</v>
      </c>
      <c r="AS106" s="57">
        <v>0</v>
      </c>
      <c r="AT106" s="57">
        <v>0</v>
      </c>
      <c r="AU106" s="57">
        <v>0</v>
      </c>
      <c r="AV106" s="57">
        <v>0</v>
      </c>
      <c r="AW106" s="57">
        <v>0</v>
      </c>
      <c r="AX106" s="57">
        <v>0</v>
      </c>
      <c r="AY106" s="57">
        <v>0</v>
      </c>
      <c r="AZ106" s="57">
        <v>0</v>
      </c>
      <c r="BA106" s="57">
        <v>0</v>
      </c>
      <c r="BB106" s="57">
        <v>0</v>
      </c>
      <c r="BC106" s="57">
        <v>0</v>
      </c>
      <c r="BD106" s="57">
        <v>0</v>
      </c>
      <c r="BE106" s="57">
        <v>0</v>
      </c>
      <c r="BF106" s="57">
        <v>0</v>
      </c>
      <c r="BG106" s="57">
        <v>0</v>
      </c>
      <c r="BH106" s="57">
        <v>0</v>
      </c>
      <c r="BI106" s="57">
        <v>0</v>
      </c>
      <c r="BJ106" s="57">
        <v>0</v>
      </c>
      <c r="BK106" s="57">
        <v>0</v>
      </c>
      <c r="BL106" s="57">
        <v>0</v>
      </c>
      <c r="BM106" s="57">
        <v>0</v>
      </c>
      <c r="BN106" s="57">
        <v>0</v>
      </c>
      <c r="BO106" s="57">
        <v>0</v>
      </c>
      <c r="BP106" s="57">
        <v>0</v>
      </c>
      <c r="BQ106" s="57">
        <v>0</v>
      </c>
      <c r="BR106" s="57">
        <v>0</v>
      </c>
      <c r="BS106" s="57">
        <v>0</v>
      </c>
      <c r="BT106" s="57">
        <v>0</v>
      </c>
      <c r="BU106" s="57">
        <v>0</v>
      </c>
      <c r="BV106" s="57">
        <v>0</v>
      </c>
      <c r="BW106" s="57">
        <v>0</v>
      </c>
      <c r="BX106" s="57">
        <v>0</v>
      </c>
      <c r="BY106" s="57">
        <v>0</v>
      </c>
      <c r="BZ106" s="57">
        <v>0</v>
      </c>
      <c r="CA106" s="57">
        <v>0</v>
      </c>
    </row>
    <row r="107" spans="1:79" x14ac:dyDescent="0.3">
      <c r="A107" s="19"/>
      <c r="B107" s="20" t="str">
        <f t="shared" si="38"/>
        <v>13430001</v>
      </c>
      <c r="C107" s="55" t="str">
        <f t="shared" si="44"/>
        <v>3</v>
      </c>
      <c r="D107" s="55">
        <f t="shared" si="45"/>
        <v>4</v>
      </c>
      <c r="E107" s="49">
        <v>1</v>
      </c>
      <c r="F107" s="57">
        <v>1</v>
      </c>
      <c r="G107" s="57">
        <v>4</v>
      </c>
      <c r="H107" s="57" t="str">
        <f t="shared" si="41"/>
        <v>Item_Name_13430001</v>
      </c>
      <c r="I107" s="57" t="s">
        <v>743</v>
      </c>
      <c r="J107" s="57">
        <v>10103001</v>
      </c>
      <c r="K107" s="57">
        <v>3</v>
      </c>
      <c r="L107" s="57">
        <v>0</v>
      </c>
      <c r="M107" s="57">
        <v>0</v>
      </c>
      <c r="N107" s="57">
        <v>15</v>
      </c>
      <c r="O107" s="57">
        <v>100</v>
      </c>
      <c r="P107" s="57">
        <v>1</v>
      </c>
      <c r="Q107" s="57" t="s">
        <v>879</v>
      </c>
      <c r="R107" s="57" t="s">
        <v>543</v>
      </c>
      <c r="S107" s="57" t="s">
        <v>527</v>
      </c>
      <c r="T107" s="57" t="s">
        <v>331</v>
      </c>
      <c r="U107" s="57">
        <v>0</v>
      </c>
      <c r="V107" s="57">
        <v>0</v>
      </c>
      <c r="W107" s="57">
        <v>17</v>
      </c>
      <c r="X107" s="57">
        <v>10</v>
      </c>
      <c r="Y107" s="57">
        <v>1004</v>
      </c>
      <c r="Z107" s="57">
        <v>1004</v>
      </c>
      <c r="AA107" s="57">
        <v>1004</v>
      </c>
      <c r="AB107" s="57">
        <v>0</v>
      </c>
      <c r="AC107" s="57">
        <v>0</v>
      </c>
      <c r="AD107" s="57">
        <v>0</v>
      </c>
      <c r="AE107" s="58">
        <v>0</v>
      </c>
      <c r="AF107" s="30">
        <v>0</v>
      </c>
      <c r="AG107" s="57">
        <v>0</v>
      </c>
      <c r="AH107" s="57">
        <v>0</v>
      </c>
      <c r="AI107" s="57">
        <v>0</v>
      </c>
      <c r="AJ107" s="57">
        <v>0</v>
      </c>
      <c r="AK107" s="57">
        <v>0</v>
      </c>
      <c r="AL107" s="57">
        <v>0</v>
      </c>
      <c r="AM107" s="57">
        <v>0</v>
      </c>
      <c r="AN107" s="57">
        <v>0</v>
      </c>
      <c r="AO107" s="57">
        <v>0</v>
      </c>
      <c r="AP107" s="57">
        <v>0</v>
      </c>
      <c r="AQ107" s="57">
        <v>0</v>
      </c>
      <c r="AR107" s="57">
        <v>0</v>
      </c>
      <c r="AS107" s="57">
        <v>0</v>
      </c>
      <c r="AT107" s="57">
        <v>0</v>
      </c>
      <c r="AU107" s="57">
        <v>0</v>
      </c>
      <c r="AV107" s="57">
        <v>0</v>
      </c>
      <c r="AW107" s="57">
        <v>0</v>
      </c>
      <c r="AX107" s="57">
        <v>0</v>
      </c>
      <c r="AY107" s="57">
        <v>0</v>
      </c>
      <c r="AZ107" s="57">
        <v>0</v>
      </c>
      <c r="BA107" s="57">
        <v>0</v>
      </c>
      <c r="BB107" s="57">
        <v>0</v>
      </c>
      <c r="BC107" s="57">
        <v>0</v>
      </c>
      <c r="BD107" s="57">
        <v>0</v>
      </c>
      <c r="BE107" s="57">
        <v>0</v>
      </c>
      <c r="BF107" s="57">
        <v>0</v>
      </c>
      <c r="BG107" s="57">
        <v>0</v>
      </c>
      <c r="BH107" s="57">
        <v>0</v>
      </c>
      <c r="BI107" s="57">
        <v>0</v>
      </c>
      <c r="BJ107" s="57">
        <v>0</v>
      </c>
      <c r="BK107" s="57">
        <v>0</v>
      </c>
      <c r="BL107" s="57">
        <v>0</v>
      </c>
      <c r="BM107" s="57">
        <v>0</v>
      </c>
      <c r="BN107" s="57">
        <v>0</v>
      </c>
      <c r="BO107" s="57">
        <v>0</v>
      </c>
      <c r="BP107" s="57">
        <v>0</v>
      </c>
      <c r="BQ107" s="57">
        <v>0</v>
      </c>
      <c r="BR107" s="57">
        <v>0</v>
      </c>
      <c r="BS107" s="57">
        <v>0</v>
      </c>
      <c r="BT107" s="57">
        <v>0</v>
      </c>
      <c r="BU107" s="57">
        <v>0</v>
      </c>
      <c r="BV107" s="57">
        <v>0</v>
      </c>
      <c r="BW107" s="57">
        <v>0</v>
      </c>
      <c r="BX107" s="57">
        <v>0</v>
      </c>
      <c r="BY107" s="57">
        <v>0</v>
      </c>
      <c r="BZ107" s="57">
        <v>0</v>
      </c>
      <c r="CA107" s="57">
        <v>0</v>
      </c>
    </row>
    <row r="108" spans="1:79" x14ac:dyDescent="0.3">
      <c r="A108" s="19"/>
      <c r="B108" s="20" t="str">
        <f t="shared" si="38"/>
        <v>13440001</v>
      </c>
      <c r="C108" s="55" t="str">
        <f t="shared" si="44"/>
        <v>3</v>
      </c>
      <c r="D108" s="55">
        <f t="shared" si="45"/>
        <v>4</v>
      </c>
      <c r="E108" s="49">
        <v>1</v>
      </c>
      <c r="F108" s="57">
        <v>1</v>
      </c>
      <c r="G108" s="57">
        <v>4</v>
      </c>
      <c r="H108" s="57" t="str">
        <f t="shared" si="41"/>
        <v>Item_Name_13440001</v>
      </c>
      <c r="I108" s="57" t="s">
        <v>744</v>
      </c>
      <c r="J108" s="57">
        <v>10103001</v>
      </c>
      <c r="K108" s="57">
        <v>4</v>
      </c>
      <c r="L108" s="57">
        <v>0</v>
      </c>
      <c r="M108" s="57">
        <v>0</v>
      </c>
      <c r="N108" s="57">
        <v>15</v>
      </c>
      <c r="O108" s="57">
        <v>100</v>
      </c>
      <c r="P108" s="57">
        <v>1</v>
      </c>
      <c r="Q108" s="57" t="s">
        <v>880</v>
      </c>
      <c r="R108" s="57" t="s">
        <v>531</v>
      </c>
      <c r="S108" s="57" t="s">
        <v>527</v>
      </c>
      <c r="T108" s="57" t="s">
        <v>331</v>
      </c>
      <c r="U108" s="57">
        <v>0</v>
      </c>
      <c r="V108" s="57">
        <v>0</v>
      </c>
      <c r="W108" s="57">
        <v>17</v>
      </c>
      <c r="X108" s="57">
        <v>10</v>
      </c>
      <c r="Y108" s="57">
        <v>1004</v>
      </c>
      <c r="Z108" s="57">
        <v>1004</v>
      </c>
      <c r="AA108" s="57">
        <v>1104</v>
      </c>
      <c r="AB108" s="57">
        <v>1204</v>
      </c>
      <c r="AC108" s="57">
        <v>0</v>
      </c>
      <c r="AD108" s="57">
        <v>0</v>
      </c>
      <c r="AE108" s="58">
        <v>0</v>
      </c>
      <c r="AF108" s="30">
        <v>0</v>
      </c>
      <c r="AG108" s="57">
        <v>0</v>
      </c>
      <c r="AH108" s="57">
        <v>0</v>
      </c>
      <c r="AI108" s="57">
        <v>0</v>
      </c>
      <c r="AJ108" s="57">
        <v>0</v>
      </c>
      <c r="AK108" s="57">
        <v>0</v>
      </c>
      <c r="AL108" s="57">
        <v>0</v>
      </c>
      <c r="AM108" s="57">
        <v>0</v>
      </c>
      <c r="AN108" s="57">
        <v>0</v>
      </c>
      <c r="AO108" s="57">
        <v>0</v>
      </c>
      <c r="AP108" s="57">
        <v>0</v>
      </c>
      <c r="AQ108" s="57">
        <v>0</v>
      </c>
      <c r="AR108" s="57">
        <v>0</v>
      </c>
      <c r="AS108" s="57">
        <v>0</v>
      </c>
      <c r="AT108" s="57">
        <v>0</v>
      </c>
      <c r="AU108" s="57">
        <v>0</v>
      </c>
      <c r="AV108" s="57">
        <v>0</v>
      </c>
      <c r="AW108" s="57">
        <v>0</v>
      </c>
      <c r="AX108" s="57">
        <v>0</v>
      </c>
      <c r="AY108" s="57">
        <v>0</v>
      </c>
      <c r="AZ108" s="57">
        <v>0</v>
      </c>
      <c r="BA108" s="57">
        <v>0</v>
      </c>
      <c r="BB108" s="57">
        <v>0</v>
      </c>
      <c r="BC108" s="57">
        <v>0</v>
      </c>
      <c r="BD108" s="57">
        <v>0</v>
      </c>
      <c r="BE108" s="57">
        <v>0</v>
      </c>
      <c r="BF108" s="57">
        <v>0</v>
      </c>
      <c r="BG108" s="57">
        <v>0</v>
      </c>
      <c r="BH108" s="57">
        <v>0</v>
      </c>
      <c r="BI108" s="57">
        <v>0</v>
      </c>
      <c r="BJ108" s="57">
        <v>0</v>
      </c>
      <c r="BK108" s="57">
        <v>0</v>
      </c>
      <c r="BL108" s="57">
        <v>0</v>
      </c>
      <c r="BM108" s="57">
        <v>0</v>
      </c>
      <c r="BN108" s="57">
        <v>0</v>
      </c>
      <c r="BO108" s="57">
        <v>0</v>
      </c>
      <c r="BP108" s="57">
        <v>0</v>
      </c>
      <c r="BQ108" s="57">
        <v>0</v>
      </c>
      <c r="BR108" s="57">
        <v>0</v>
      </c>
      <c r="BS108" s="57">
        <v>0</v>
      </c>
      <c r="BT108" s="57">
        <v>0</v>
      </c>
      <c r="BU108" s="57">
        <v>0</v>
      </c>
      <c r="BV108" s="57">
        <v>0</v>
      </c>
      <c r="BW108" s="57">
        <v>0</v>
      </c>
      <c r="BX108" s="57">
        <v>0</v>
      </c>
      <c r="BY108" s="57">
        <v>0</v>
      </c>
      <c r="BZ108" s="57">
        <v>0</v>
      </c>
      <c r="CA108" s="57">
        <v>0</v>
      </c>
    </row>
    <row r="109" spans="1:79" x14ac:dyDescent="0.3">
      <c r="A109" s="19"/>
      <c r="B109" s="20" t="str">
        <f t="shared" si="38"/>
        <v>14410001</v>
      </c>
      <c r="C109" s="55" t="str">
        <f t="shared" si="39"/>
        <v>4</v>
      </c>
      <c r="D109" s="55">
        <f t="shared" si="40"/>
        <v>4</v>
      </c>
      <c r="E109" s="49">
        <v>1</v>
      </c>
      <c r="F109" s="20">
        <v>1</v>
      </c>
      <c r="G109" s="20">
        <v>4</v>
      </c>
      <c r="H109" s="20" t="str">
        <f t="shared" si="41"/>
        <v>Item_Name_14410001</v>
      </c>
      <c r="I109" s="20" t="s">
        <v>564</v>
      </c>
      <c r="J109" s="20">
        <v>10104001</v>
      </c>
      <c r="K109" s="20">
        <v>1</v>
      </c>
      <c r="L109" s="20">
        <v>0</v>
      </c>
      <c r="M109" s="20">
        <v>0</v>
      </c>
      <c r="N109" s="20">
        <v>15</v>
      </c>
      <c r="O109" s="20">
        <v>100</v>
      </c>
      <c r="P109" s="20">
        <v>1</v>
      </c>
      <c r="Q109" s="20" t="s">
        <v>310</v>
      </c>
      <c r="R109" s="20" t="s">
        <v>171</v>
      </c>
      <c r="S109" s="20" t="s">
        <v>528</v>
      </c>
      <c r="T109" s="20" t="s">
        <v>331</v>
      </c>
      <c r="U109" s="20">
        <v>0</v>
      </c>
      <c r="V109" s="20">
        <v>0</v>
      </c>
      <c r="W109" s="20">
        <v>17</v>
      </c>
      <c r="X109" s="20">
        <v>8</v>
      </c>
      <c r="Y109" s="20">
        <v>1004</v>
      </c>
      <c r="Z109" s="20">
        <v>0</v>
      </c>
      <c r="AA109" s="20">
        <v>0</v>
      </c>
      <c r="AB109" s="20">
        <v>0</v>
      </c>
      <c r="AC109" s="20">
        <v>0</v>
      </c>
      <c r="AD109" s="20">
        <v>0</v>
      </c>
      <c r="AE109" s="39">
        <v>0</v>
      </c>
      <c r="AF109" s="31">
        <v>0</v>
      </c>
      <c r="AG109" s="20">
        <v>0</v>
      </c>
      <c r="AH109" s="20">
        <v>0</v>
      </c>
      <c r="AI109" s="20">
        <v>0</v>
      </c>
      <c r="AJ109" s="20">
        <v>0</v>
      </c>
      <c r="AK109" s="20">
        <v>0</v>
      </c>
      <c r="AL109" s="20">
        <v>0</v>
      </c>
      <c r="AM109" s="20">
        <v>0</v>
      </c>
      <c r="AN109" s="20">
        <v>0</v>
      </c>
      <c r="AO109" s="20">
        <v>0</v>
      </c>
      <c r="AP109" s="20">
        <v>0</v>
      </c>
      <c r="AQ109" s="20">
        <v>0</v>
      </c>
      <c r="AR109" s="20">
        <v>0</v>
      </c>
      <c r="AS109" s="20">
        <v>0</v>
      </c>
      <c r="AT109" s="20">
        <v>0</v>
      </c>
      <c r="AU109" s="20">
        <v>0</v>
      </c>
      <c r="AV109" s="20">
        <v>0</v>
      </c>
      <c r="AW109" s="20">
        <v>0</v>
      </c>
      <c r="AX109" s="20">
        <v>0</v>
      </c>
      <c r="AY109" s="20">
        <v>0</v>
      </c>
      <c r="AZ109" s="20">
        <v>0</v>
      </c>
      <c r="BA109" s="20">
        <v>0</v>
      </c>
      <c r="BB109" s="20">
        <v>0</v>
      </c>
      <c r="BC109" s="20">
        <v>0</v>
      </c>
      <c r="BD109" s="20">
        <v>0</v>
      </c>
      <c r="BE109" s="20">
        <v>0</v>
      </c>
      <c r="BF109" s="20">
        <v>0</v>
      </c>
      <c r="BG109" s="20">
        <v>0</v>
      </c>
      <c r="BH109" s="20">
        <v>0</v>
      </c>
      <c r="BI109" s="20">
        <v>0</v>
      </c>
      <c r="BJ109" s="20">
        <v>0</v>
      </c>
      <c r="BK109" s="20">
        <v>0</v>
      </c>
      <c r="BL109" s="20">
        <v>0</v>
      </c>
      <c r="BM109" s="20">
        <v>0</v>
      </c>
      <c r="BN109" s="20">
        <v>0</v>
      </c>
      <c r="BO109" s="20">
        <v>0</v>
      </c>
      <c r="BP109" s="20">
        <v>0</v>
      </c>
      <c r="BQ109" s="20">
        <v>0</v>
      </c>
      <c r="BR109" s="20">
        <v>0</v>
      </c>
      <c r="BS109" s="20">
        <v>0</v>
      </c>
      <c r="BT109" s="20">
        <v>0</v>
      </c>
      <c r="BU109" s="20">
        <v>0</v>
      </c>
      <c r="BV109" s="20">
        <v>0</v>
      </c>
      <c r="BW109" s="20">
        <v>0</v>
      </c>
      <c r="BX109" s="20">
        <v>0</v>
      </c>
      <c r="BY109" s="20">
        <v>0</v>
      </c>
      <c r="BZ109" s="20">
        <v>0</v>
      </c>
      <c r="CA109" s="20">
        <v>0</v>
      </c>
    </row>
    <row r="110" spans="1:79" x14ac:dyDescent="0.3">
      <c r="A110" s="19"/>
      <c r="B110" s="20" t="str">
        <f t="shared" si="38"/>
        <v>14420001</v>
      </c>
      <c r="C110" s="55" t="str">
        <f t="shared" ref="C110:C112" si="46">IF(J110&gt;0,MID(J110,5, 1), 0)</f>
        <v>4</v>
      </c>
      <c r="D110" s="55">
        <f t="shared" ref="D110:D112" si="47">IF(G110&lt;100, G110, G110-100)</f>
        <v>4</v>
      </c>
      <c r="E110" s="49">
        <v>1</v>
      </c>
      <c r="F110" s="57">
        <v>1</v>
      </c>
      <c r="G110" s="57">
        <v>4</v>
      </c>
      <c r="H110" s="57" t="str">
        <f t="shared" si="41"/>
        <v>Item_Name_14420001</v>
      </c>
      <c r="I110" s="57" t="s">
        <v>565</v>
      </c>
      <c r="J110" s="57">
        <v>10104001</v>
      </c>
      <c r="K110" s="57">
        <v>2</v>
      </c>
      <c r="L110" s="57">
        <v>0</v>
      </c>
      <c r="M110" s="57">
        <v>0</v>
      </c>
      <c r="N110" s="57">
        <v>15</v>
      </c>
      <c r="O110" s="57">
        <v>100</v>
      </c>
      <c r="P110" s="57">
        <v>1</v>
      </c>
      <c r="Q110" s="57" t="s">
        <v>881</v>
      </c>
      <c r="R110" s="57" t="s">
        <v>542</v>
      </c>
      <c r="S110" s="57" t="s">
        <v>528</v>
      </c>
      <c r="T110" s="57" t="s">
        <v>331</v>
      </c>
      <c r="U110" s="57">
        <v>0</v>
      </c>
      <c r="V110" s="57">
        <v>0</v>
      </c>
      <c r="W110" s="57">
        <v>17</v>
      </c>
      <c r="X110" s="57">
        <v>11</v>
      </c>
      <c r="Y110" s="57">
        <v>1004</v>
      </c>
      <c r="Z110" s="57">
        <v>1004</v>
      </c>
      <c r="AA110" s="57">
        <v>0</v>
      </c>
      <c r="AB110" s="57">
        <v>0</v>
      </c>
      <c r="AC110" s="57">
        <v>0</v>
      </c>
      <c r="AD110" s="57">
        <v>0</v>
      </c>
      <c r="AE110" s="58">
        <v>0</v>
      </c>
      <c r="AF110" s="30">
        <v>0</v>
      </c>
      <c r="AG110" s="57">
        <v>0</v>
      </c>
      <c r="AH110" s="57">
        <v>0</v>
      </c>
      <c r="AI110" s="57">
        <v>0</v>
      </c>
      <c r="AJ110" s="57">
        <v>0</v>
      </c>
      <c r="AK110" s="57">
        <v>0</v>
      </c>
      <c r="AL110" s="57">
        <v>0</v>
      </c>
      <c r="AM110" s="57">
        <v>0</v>
      </c>
      <c r="AN110" s="57">
        <v>0</v>
      </c>
      <c r="AO110" s="57">
        <v>0</v>
      </c>
      <c r="AP110" s="57">
        <v>0</v>
      </c>
      <c r="AQ110" s="57">
        <v>0</v>
      </c>
      <c r="AR110" s="57">
        <v>0</v>
      </c>
      <c r="AS110" s="57">
        <v>0</v>
      </c>
      <c r="AT110" s="57">
        <v>0</v>
      </c>
      <c r="AU110" s="57">
        <v>0</v>
      </c>
      <c r="AV110" s="57">
        <v>0</v>
      </c>
      <c r="AW110" s="57">
        <v>0</v>
      </c>
      <c r="AX110" s="57">
        <v>0</v>
      </c>
      <c r="AY110" s="57">
        <v>0</v>
      </c>
      <c r="AZ110" s="57">
        <v>0</v>
      </c>
      <c r="BA110" s="57">
        <v>0</v>
      </c>
      <c r="BB110" s="57">
        <v>0</v>
      </c>
      <c r="BC110" s="57">
        <v>0</v>
      </c>
      <c r="BD110" s="57">
        <v>0</v>
      </c>
      <c r="BE110" s="57">
        <v>0</v>
      </c>
      <c r="BF110" s="57">
        <v>0</v>
      </c>
      <c r="BG110" s="57">
        <v>0</v>
      </c>
      <c r="BH110" s="57">
        <v>0</v>
      </c>
      <c r="BI110" s="57">
        <v>0</v>
      </c>
      <c r="BJ110" s="57">
        <v>0</v>
      </c>
      <c r="BK110" s="57">
        <v>0</v>
      </c>
      <c r="BL110" s="57">
        <v>0</v>
      </c>
      <c r="BM110" s="57">
        <v>0</v>
      </c>
      <c r="BN110" s="57">
        <v>0</v>
      </c>
      <c r="BO110" s="57">
        <v>0</v>
      </c>
      <c r="BP110" s="57">
        <v>0</v>
      </c>
      <c r="BQ110" s="57">
        <v>0</v>
      </c>
      <c r="BR110" s="57">
        <v>0</v>
      </c>
      <c r="BS110" s="57">
        <v>0</v>
      </c>
      <c r="BT110" s="57">
        <v>0</v>
      </c>
      <c r="BU110" s="57">
        <v>0</v>
      </c>
      <c r="BV110" s="57">
        <v>0</v>
      </c>
      <c r="BW110" s="57">
        <v>0</v>
      </c>
      <c r="BX110" s="57">
        <v>0</v>
      </c>
      <c r="BY110" s="57">
        <v>0</v>
      </c>
      <c r="BZ110" s="57">
        <v>0</v>
      </c>
      <c r="CA110" s="57">
        <v>0</v>
      </c>
    </row>
    <row r="111" spans="1:79" x14ac:dyDescent="0.3">
      <c r="A111" s="19"/>
      <c r="B111" s="20" t="str">
        <f t="shared" si="38"/>
        <v>14430001</v>
      </c>
      <c r="C111" s="55" t="str">
        <f t="shared" si="46"/>
        <v>4</v>
      </c>
      <c r="D111" s="55">
        <f t="shared" si="47"/>
        <v>4</v>
      </c>
      <c r="E111" s="49">
        <v>1</v>
      </c>
      <c r="F111" s="57">
        <v>1</v>
      </c>
      <c r="G111" s="57">
        <v>4</v>
      </c>
      <c r="H111" s="57" t="str">
        <f t="shared" si="41"/>
        <v>Item_Name_14430001</v>
      </c>
      <c r="I111" s="57" t="s">
        <v>566</v>
      </c>
      <c r="J111" s="57">
        <v>10104001</v>
      </c>
      <c r="K111" s="57">
        <v>3</v>
      </c>
      <c r="L111" s="57">
        <v>0</v>
      </c>
      <c r="M111" s="57">
        <v>0</v>
      </c>
      <c r="N111" s="57">
        <v>15</v>
      </c>
      <c r="O111" s="57">
        <v>100</v>
      </c>
      <c r="P111" s="57">
        <v>1</v>
      </c>
      <c r="Q111" s="57" t="s">
        <v>882</v>
      </c>
      <c r="R111" s="57" t="s">
        <v>543</v>
      </c>
      <c r="S111" s="57" t="s">
        <v>528</v>
      </c>
      <c r="T111" s="57" t="s">
        <v>331</v>
      </c>
      <c r="U111" s="57">
        <v>0</v>
      </c>
      <c r="V111" s="57">
        <v>0</v>
      </c>
      <c r="W111" s="57">
        <v>17</v>
      </c>
      <c r="X111" s="57">
        <v>19</v>
      </c>
      <c r="Y111" s="57">
        <v>1004</v>
      </c>
      <c r="Z111" s="57">
        <v>1004</v>
      </c>
      <c r="AA111" s="57">
        <v>1004</v>
      </c>
      <c r="AB111" s="57">
        <v>0</v>
      </c>
      <c r="AC111" s="57">
        <v>0</v>
      </c>
      <c r="AD111" s="57">
        <v>0</v>
      </c>
      <c r="AE111" s="58">
        <v>0</v>
      </c>
      <c r="AF111" s="30">
        <v>0</v>
      </c>
      <c r="AG111" s="57">
        <v>0</v>
      </c>
      <c r="AH111" s="57">
        <v>0</v>
      </c>
      <c r="AI111" s="57">
        <v>0</v>
      </c>
      <c r="AJ111" s="57">
        <v>0</v>
      </c>
      <c r="AK111" s="57">
        <v>0</v>
      </c>
      <c r="AL111" s="57">
        <v>0</v>
      </c>
      <c r="AM111" s="57">
        <v>0</v>
      </c>
      <c r="AN111" s="57">
        <v>0</v>
      </c>
      <c r="AO111" s="57">
        <v>0</v>
      </c>
      <c r="AP111" s="57">
        <v>0</v>
      </c>
      <c r="AQ111" s="57">
        <v>0</v>
      </c>
      <c r="AR111" s="57">
        <v>0</v>
      </c>
      <c r="AS111" s="57">
        <v>0</v>
      </c>
      <c r="AT111" s="57">
        <v>0</v>
      </c>
      <c r="AU111" s="57">
        <v>0</v>
      </c>
      <c r="AV111" s="57">
        <v>0</v>
      </c>
      <c r="AW111" s="57">
        <v>0</v>
      </c>
      <c r="AX111" s="57">
        <v>0</v>
      </c>
      <c r="AY111" s="57">
        <v>0</v>
      </c>
      <c r="AZ111" s="57">
        <v>0</v>
      </c>
      <c r="BA111" s="57">
        <v>0</v>
      </c>
      <c r="BB111" s="57">
        <v>0</v>
      </c>
      <c r="BC111" s="57">
        <v>0</v>
      </c>
      <c r="BD111" s="57">
        <v>0</v>
      </c>
      <c r="BE111" s="57">
        <v>0</v>
      </c>
      <c r="BF111" s="57">
        <v>0</v>
      </c>
      <c r="BG111" s="57">
        <v>0</v>
      </c>
      <c r="BH111" s="57">
        <v>0</v>
      </c>
      <c r="BI111" s="57">
        <v>0</v>
      </c>
      <c r="BJ111" s="57">
        <v>0</v>
      </c>
      <c r="BK111" s="57">
        <v>0</v>
      </c>
      <c r="BL111" s="57">
        <v>0</v>
      </c>
      <c r="BM111" s="57">
        <v>0</v>
      </c>
      <c r="BN111" s="57">
        <v>0</v>
      </c>
      <c r="BO111" s="57">
        <v>0</v>
      </c>
      <c r="BP111" s="57">
        <v>0</v>
      </c>
      <c r="BQ111" s="57">
        <v>0</v>
      </c>
      <c r="BR111" s="57">
        <v>0</v>
      </c>
      <c r="BS111" s="57">
        <v>0</v>
      </c>
      <c r="BT111" s="57">
        <v>0</v>
      </c>
      <c r="BU111" s="57">
        <v>0</v>
      </c>
      <c r="BV111" s="57">
        <v>0</v>
      </c>
      <c r="BW111" s="57">
        <v>0</v>
      </c>
      <c r="BX111" s="57">
        <v>0</v>
      </c>
      <c r="BY111" s="57">
        <v>0</v>
      </c>
      <c r="BZ111" s="57">
        <v>0</v>
      </c>
      <c r="CA111" s="57">
        <v>0</v>
      </c>
    </row>
    <row r="112" spans="1:79" x14ac:dyDescent="0.3">
      <c r="A112" s="19"/>
      <c r="B112" s="20" t="str">
        <f t="shared" si="38"/>
        <v>14440001</v>
      </c>
      <c r="C112" s="55" t="str">
        <f t="shared" si="46"/>
        <v>4</v>
      </c>
      <c r="D112" s="55">
        <f t="shared" si="47"/>
        <v>4</v>
      </c>
      <c r="E112" s="49">
        <v>1</v>
      </c>
      <c r="F112" s="57">
        <v>1</v>
      </c>
      <c r="G112" s="57">
        <v>4</v>
      </c>
      <c r="H112" s="57" t="str">
        <f t="shared" si="41"/>
        <v>Item_Name_14440001</v>
      </c>
      <c r="I112" s="57" t="s">
        <v>567</v>
      </c>
      <c r="J112" s="57">
        <v>10104001</v>
      </c>
      <c r="K112" s="57">
        <v>4</v>
      </c>
      <c r="L112" s="57">
        <v>0</v>
      </c>
      <c r="M112" s="57">
        <v>0</v>
      </c>
      <c r="N112" s="57">
        <v>15</v>
      </c>
      <c r="O112" s="57">
        <v>100</v>
      </c>
      <c r="P112" s="57">
        <v>1</v>
      </c>
      <c r="Q112" s="57" t="s">
        <v>883</v>
      </c>
      <c r="R112" s="57" t="s">
        <v>531</v>
      </c>
      <c r="S112" s="57" t="s">
        <v>528</v>
      </c>
      <c r="T112" s="57" t="s">
        <v>331</v>
      </c>
      <c r="U112" s="57">
        <v>0</v>
      </c>
      <c r="V112" s="57">
        <v>0</v>
      </c>
      <c r="W112" s="57">
        <v>17</v>
      </c>
      <c r="X112" s="57">
        <v>27</v>
      </c>
      <c r="Y112" s="57">
        <v>1004</v>
      </c>
      <c r="Z112" s="57">
        <v>1004</v>
      </c>
      <c r="AA112" s="57">
        <v>1104</v>
      </c>
      <c r="AB112" s="57">
        <v>1204</v>
      </c>
      <c r="AC112" s="57">
        <v>0</v>
      </c>
      <c r="AD112" s="57">
        <v>0</v>
      </c>
      <c r="AE112" s="58">
        <v>0</v>
      </c>
      <c r="AF112" s="30">
        <v>0</v>
      </c>
      <c r="AG112" s="57">
        <v>0</v>
      </c>
      <c r="AH112" s="57">
        <v>0</v>
      </c>
      <c r="AI112" s="57">
        <v>0</v>
      </c>
      <c r="AJ112" s="57">
        <v>0</v>
      </c>
      <c r="AK112" s="57">
        <v>0</v>
      </c>
      <c r="AL112" s="57">
        <v>0</v>
      </c>
      <c r="AM112" s="57">
        <v>0</v>
      </c>
      <c r="AN112" s="57">
        <v>0</v>
      </c>
      <c r="AO112" s="57">
        <v>0</v>
      </c>
      <c r="AP112" s="57">
        <v>0</v>
      </c>
      <c r="AQ112" s="57">
        <v>0</v>
      </c>
      <c r="AR112" s="57">
        <v>0</v>
      </c>
      <c r="AS112" s="57">
        <v>0</v>
      </c>
      <c r="AT112" s="57">
        <v>0</v>
      </c>
      <c r="AU112" s="57">
        <v>0</v>
      </c>
      <c r="AV112" s="57">
        <v>0</v>
      </c>
      <c r="AW112" s="57">
        <v>0</v>
      </c>
      <c r="AX112" s="57">
        <v>0</v>
      </c>
      <c r="AY112" s="57">
        <v>0</v>
      </c>
      <c r="AZ112" s="57">
        <v>0</v>
      </c>
      <c r="BA112" s="57">
        <v>0</v>
      </c>
      <c r="BB112" s="57">
        <v>0</v>
      </c>
      <c r="BC112" s="57">
        <v>0</v>
      </c>
      <c r="BD112" s="57">
        <v>0</v>
      </c>
      <c r="BE112" s="57">
        <v>0</v>
      </c>
      <c r="BF112" s="57">
        <v>0</v>
      </c>
      <c r="BG112" s="57">
        <v>0</v>
      </c>
      <c r="BH112" s="57">
        <v>0</v>
      </c>
      <c r="BI112" s="57">
        <v>0</v>
      </c>
      <c r="BJ112" s="57">
        <v>0</v>
      </c>
      <c r="BK112" s="57">
        <v>0</v>
      </c>
      <c r="BL112" s="57">
        <v>0</v>
      </c>
      <c r="BM112" s="57">
        <v>0</v>
      </c>
      <c r="BN112" s="57">
        <v>0</v>
      </c>
      <c r="BO112" s="57">
        <v>0</v>
      </c>
      <c r="BP112" s="57">
        <v>0</v>
      </c>
      <c r="BQ112" s="57">
        <v>0</v>
      </c>
      <c r="BR112" s="57">
        <v>0</v>
      </c>
      <c r="BS112" s="57">
        <v>0</v>
      </c>
      <c r="BT112" s="57">
        <v>0</v>
      </c>
      <c r="BU112" s="57">
        <v>0</v>
      </c>
      <c r="BV112" s="57">
        <v>0</v>
      </c>
      <c r="BW112" s="57">
        <v>0</v>
      </c>
      <c r="BX112" s="57">
        <v>0</v>
      </c>
      <c r="BY112" s="57">
        <v>0</v>
      </c>
      <c r="BZ112" s="57">
        <v>0</v>
      </c>
      <c r="CA112" s="57">
        <v>0</v>
      </c>
    </row>
    <row r="113" spans="1:79" x14ac:dyDescent="0.3">
      <c r="A113" s="19"/>
      <c r="B113" s="20" t="str">
        <f t="shared" si="38"/>
        <v>11510001</v>
      </c>
      <c r="C113" s="55" t="str">
        <f t="shared" si="39"/>
        <v>1</v>
      </c>
      <c r="D113" s="55">
        <f t="shared" si="40"/>
        <v>5</v>
      </c>
      <c r="E113" s="49">
        <v>1</v>
      </c>
      <c r="F113" s="20">
        <v>1</v>
      </c>
      <c r="G113" s="20">
        <v>5</v>
      </c>
      <c r="H113" s="20" t="str">
        <f t="shared" si="41"/>
        <v>Item_Name_11510001</v>
      </c>
      <c r="I113" s="20" t="s">
        <v>416</v>
      </c>
      <c r="J113" s="20">
        <v>10101001</v>
      </c>
      <c r="K113" s="20">
        <v>1</v>
      </c>
      <c r="L113" s="20">
        <v>0</v>
      </c>
      <c r="M113" s="20">
        <v>0</v>
      </c>
      <c r="N113" s="20">
        <v>15</v>
      </c>
      <c r="O113" s="20">
        <v>100</v>
      </c>
      <c r="P113" s="20">
        <v>1</v>
      </c>
      <c r="Q113" s="20" t="s">
        <v>380</v>
      </c>
      <c r="R113" s="20" t="s">
        <v>171</v>
      </c>
      <c r="S113" s="20" t="s">
        <v>325</v>
      </c>
      <c r="T113" s="20" t="s">
        <v>400</v>
      </c>
      <c r="U113" s="20">
        <v>0</v>
      </c>
      <c r="V113" s="20">
        <v>0</v>
      </c>
      <c r="W113" s="20">
        <v>17</v>
      </c>
      <c r="X113" s="20">
        <v>37</v>
      </c>
      <c r="Y113" s="20">
        <v>1004</v>
      </c>
      <c r="Z113" s="20">
        <v>0</v>
      </c>
      <c r="AA113" s="20">
        <v>0</v>
      </c>
      <c r="AB113" s="20">
        <v>0</v>
      </c>
      <c r="AC113" s="20">
        <v>0</v>
      </c>
      <c r="AD113" s="20">
        <v>0</v>
      </c>
      <c r="AE113" s="39">
        <v>0</v>
      </c>
      <c r="AF113" s="31">
        <v>0</v>
      </c>
      <c r="AG113" s="20">
        <v>0</v>
      </c>
      <c r="AH113" s="20">
        <v>0</v>
      </c>
      <c r="AI113" s="20">
        <v>0</v>
      </c>
      <c r="AJ113" s="20">
        <v>0</v>
      </c>
      <c r="AK113" s="20">
        <v>0</v>
      </c>
      <c r="AL113" s="20">
        <v>0</v>
      </c>
      <c r="AM113" s="20">
        <v>0</v>
      </c>
      <c r="AN113" s="20">
        <v>0</v>
      </c>
      <c r="AO113" s="20">
        <v>0</v>
      </c>
      <c r="AP113" s="20">
        <v>0</v>
      </c>
      <c r="AQ113" s="20">
        <v>0</v>
      </c>
      <c r="AR113" s="20">
        <v>0</v>
      </c>
      <c r="AS113" s="20">
        <v>0</v>
      </c>
      <c r="AT113" s="20">
        <v>0</v>
      </c>
      <c r="AU113" s="20">
        <v>0</v>
      </c>
      <c r="AV113" s="20">
        <v>0</v>
      </c>
      <c r="AW113" s="20">
        <v>0</v>
      </c>
      <c r="AX113" s="20">
        <v>0</v>
      </c>
      <c r="AY113" s="20">
        <v>0</v>
      </c>
      <c r="AZ113" s="20">
        <v>0</v>
      </c>
      <c r="BA113" s="20">
        <v>0</v>
      </c>
      <c r="BB113" s="20">
        <v>0</v>
      </c>
      <c r="BC113" s="20">
        <v>0</v>
      </c>
      <c r="BD113" s="20">
        <v>0</v>
      </c>
      <c r="BE113" s="20">
        <v>0</v>
      </c>
      <c r="BF113" s="20">
        <v>0</v>
      </c>
      <c r="BG113" s="20">
        <v>0</v>
      </c>
      <c r="BH113" s="20">
        <v>0</v>
      </c>
      <c r="BI113" s="20">
        <v>0</v>
      </c>
      <c r="BJ113" s="20">
        <v>0</v>
      </c>
      <c r="BK113" s="20">
        <v>0</v>
      </c>
      <c r="BL113" s="20">
        <v>0</v>
      </c>
      <c r="BM113" s="20">
        <v>0</v>
      </c>
      <c r="BN113" s="20">
        <v>0</v>
      </c>
      <c r="BO113" s="20">
        <v>0</v>
      </c>
      <c r="BP113" s="20">
        <v>0</v>
      </c>
      <c r="BQ113" s="20">
        <v>0</v>
      </c>
      <c r="BR113" s="20">
        <v>0</v>
      </c>
      <c r="BS113" s="20">
        <v>0</v>
      </c>
      <c r="BT113" s="20">
        <v>0</v>
      </c>
      <c r="BU113" s="20">
        <v>0</v>
      </c>
      <c r="BV113" s="20">
        <v>0</v>
      </c>
      <c r="BW113" s="20">
        <v>0</v>
      </c>
      <c r="BX113" s="20">
        <v>0</v>
      </c>
      <c r="BY113" s="20">
        <v>0</v>
      </c>
      <c r="BZ113" s="20">
        <v>0</v>
      </c>
      <c r="CA113" s="20">
        <v>0</v>
      </c>
    </row>
    <row r="114" spans="1:79" x14ac:dyDescent="0.3">
      <c r="A114" s="19"/>
      <c r="B114" s="20" t="str">
        <f t="shared" si="38"/>
        <v>11520001</v>
      </c>
      <c r="C114" s="55" t="str">
        <f t="shared" si="39"/>
        <v>1</v>
      </c>
      <c r="D114" s="55">
        <f t="shared" si="40"/>
        <v>5</v>
      </c>
      <c r="E114" s="49">
        <v>1</v>
      </c>
      <c r="F114" s="20">
        <v>1</v>
      </c>
      <c r="G114" s="20">
        <v>5</v>
      </c>
      <c r="H114" s="20" t="str">
        <f t="shared" si="41"/>
        <v>Item_Name_11520001</v>
      </c>
      <c r="I114" s="20" t="s">
        <v>186</v>
      </c>
      <c r="J114" s="20">
        <v>10101001</v>
      </c>
      <c r="K114" s="20">
        <v>2</v>
      </c>
      <c r="L114" s="20">
        <v>0</v>
      </c>
      <c r="M114" s="20">
        <v>0</v>
      </c>
      <c r="N114" s="20">
        <v>15</v>
      </c>
      <c r="O114" s="20">
        <v>100</v>
      </c>
      <c r="P114" s="20">
        <v>1</v>
      </c>
      <c r="Q114" s="20" t="s">
        <v>417</v>
      </c>
      <c r="R114" s="20" t="s">
        <v>256</v>
      </c>
      <c r="S114" s="20" t="s">
        <v>325</v>
      </c>
      <c r="T114" s="20" t="s">
        <v>400</v>
      </c>
      <c r="U114" s="20">
        <v>0</v>
      </c>
      <c r="V114" s="20">
        <v>0</v>
      </c>
      <c r="W114" s="20">
        <v>17</v>
      </c>
      <c r="X114" s="20">
        <v>39</v>
      </c>
      <c r="Y114" s="20">
        <v>1004</v>
      </c>
      <c r="Z114" s="20">
        <v>1005</v>
      </c>
      <c r="AA114" s="20">
        <v>0</v>
      </c>
      <c r="AB114" s="20">
        <v>0</v>
      </c>
      <c r="AC114" s="20">
        <v>0</v>
      </c>
      <c r="AD114" s="20">
        <v>0</v>
      </c>
      <c r="AE114" s="39">
        <v>0</v>
      </c>
      <c r="AF114" s="31">
        <v>0</v>
      </c>
      <c r="AG114" s="20">
        <v>0</v>
      </c>
      <c r="AH114" s="20">
        <v>0</v>
      </c>
      <c r="AI114" s="20">
        <v>0</v>
      </c>
      <c r="AJ114" s="20">
        <v>0</v>
      </c>
      <c r="AK114" s="20">
        <v>0</v>
      </c>
      <c r="AL114" s="20">
        <v>0</v>
      </c>
      <c r="AM114" s="20">
        <v>0</v>
      </c>
      <c r="AN114" s="20">
        <v>0</v>
      </c>
      <c r="AO114" s="20">
        <v>0</v>
      </c>
      <c r="AP114" s="20">
        <v>0</v>
      </c>
      <c r="AQ114" s="20">
        <v>0</v>
      </c>
      <c r="AR114" s="20">
        <v>0</v>
      </c>
      <c r="AS114" s="20">
        <v>0</v>
      </c>
      <c r="AT114" s="20">
        <v>0</v>
      </c>
      <c r="AU114" s="20">
        <v>0</v>
      </c>
      <c r="AV114" s="20">
        <v>0</v>
      </c>
      <c r="AW114" s="20">
        <v>0</v>
      </c>
      <c r="AX114" s="20">
        <v>0</v>
      </c>
      <c r="AY114" s="20">
        <v>0</v>
      </c>
      <c r="AZ114" s="20">
        <v>0</v>
      </c>
      <c r="BA114" s="20">
        <v>0</v>
      </c>
      <c r="BB114" s="20">
        <v>0</v>
      </c>
      <c r="BC114" s="20">
        <v>0</v>
      </c>
      <c r="BD114" s="20">
        <v>0</v>
      </c>
      <c r="BE114" s="20">
        <v>0</v>
      </c>
      <c r="BF114" s="20">
        <v>0</v>
      </c>
      <c r="BG114" s="20">
        <v>0</v>
      </c>
      <c r="BH114" s="20">
        <v>0</v>
      </c>
      <c r="BI114" s="20">
        <v>0</v>
      </c>
      <c r="BJ114" s="20">
        <v>0</v>
      </c>
      <c r="BK114" s="20">
        <v>0</v>
      </c>
      <c r="BL114" s="20">
        <v>0</v>
      </c>
      <c r="BM114" s="20">
        <v>0</v>
      </c>
      <c r="BN114" s="20">
        <v>0</v>
      </c>
      <c r="BO114" s="20">
        <v>0</v>
      </c>
      <c r="BP114" s="20">
        <v>0</v>
      </c>
      <c r="BQ114" s="20">
        <v>0</v>
      </c>
      <c r="BR114" s="20">
        <v>0</v>
      </c>
      <c r="BS114" s="20">
        <v>0</v>
      </c>
      <c r="BT114" s="20">
        <v>0</v>
      </c>
      <c r="BU114" s="20">
        <v>0</v>
      </c>
      <c r="BV114" s="20">
        <v>0</v>
      </c>
      <c r="BW114" s="20">
        <v>0</v>
      </c>
      <c r="BX114" s="20">
        <v>0</v>
      </c>
      <c r="BY114" s="20">
        <v>0</v>
      </c>
      <c r="BZ114" s="20">
        <v>0</v>
      </c>
      <c r="CA114" s="20">
        <v>0</v>
      </c>
    </row>
    <row r="115" spans="1:79" x14ac:dyDescent="0.3">
      <c r="A115" s="19"/>
      <c r="B115" s="20" t="str">
        <f t="shared" si="38"/>
        <v>11530001</v>
      </c>
      <c r="C115" s="55" t="str">
        <f t="shared" si="39"/>
        <v>1</v>
      </c>
      <c r="D115" s="55">
        <f t="shared" si="40"/>
        <v>5</v>
      </c>
      <c r="E115" s="49">
        <v>1</v>
      </c>
      <c r="F115" s="20">
        <v>1</v>
      </c>
      <c r="G115" s="20">
        <v>5</v>
      </c>
      <c r="H115" s="20" t="str">
        <f t="shared" si="41"/>
        <v>Item_Name_11530001</v>
      </c>
      <c r="I115" s="20" t="s">
        <v>187</v>
      </c>
      <c r="J115" s="20">
        <v>10101001</v>
      </c>
      <c r="K115" s="20">
        <v>3</v>
      </c>
      <c r="L115" s="20">
        <v>0</v>
      </c>
      <c r="M115" s="20">
        <v>0</v>
      </c>
      <c r="N115" s="20">
        <v>15</v>
      </c>
      <c r="O115" s="20">
        <v>100</v>
      </c>
      <c r="P115" s="20">
        <v>1</v>
      </c>
      <c r="Q115" s="20" t="s">
        <v>418</v>
      </c>
      <c r="R115" s="20" t="s">
        <v>257</v>
      </c>
      <c r="S115" s="20" t="s">
        <v>325</v>
      </c>
      <c r="T115" s="20" t="s">
        <v>400</v>
      </c>
      <c r="U115" s="20">
        <v>0</v>
      </c>
      <c r="V115" s="20">
        <v>0</v>
      </c>
      <c r="W115" s="20">
        <v>17</v>
      </c>
      <c r="X115" s="20">
        <v>43</v>
      </c>
      <c r="Y115" s="20">
        <v>1004</v>
      </c>
      <c r="Z115" s="20">
        <v>1005</v>
      </c>
      <c r="AA115" s="20">
        <v>1105</v>
      </c>
      <c r="AB115" s="20">
        <v>0</v>
      </c>
      <c r="AC115" s="20">
        <v>0</v>
      </c>
      <c r="AD115" s="20">
        <v>0</v>
      </c>
      <c r="AE115" s="39">
        <v>0</v>
      </c>
      <c r="AF115" s="31">
        <v>0</v>
      </c>
      <c r="AG115" s="20">
        <v>0</v>
      </c>
      <c r="AH115" s="20">
        <v>0</v>
      </c>
      <c r="AI115" s="20">
        <v>0</v>
      </c>
      <c r="AJ115" s="20">
        <v>0</v>
      </c>
      <c r="AK115" s="20">
        <v>0</v>
      </c>
      <c r="AL115" s="20">
        <v>0</v>
      </c>
      <c r="AM115" s="20">
        <v>0</v>
      </c>
      <c r="AN115" s="20">
        <v>0</v>
      </c>
      <c r="AO115" s="20">
        <v>0</v>
      </c>
      <c r="AP115" s="20">
        <v>0</v>
      </c>
      <c r="AQ115" s="20">
        <v>0</v>
      </c>
      <c r="AR115" s="20">
        <v>0</v>
      </c>
      <c r="AS115" s="20">
        <v>0</v>
      </c>
      <c r="AT115" s="20">
        <v>0</v>
      </c>
      <c r="AU115" s="20">
        <v>0</v>
      </c>
      <c r="AV115" s="20">
        <v>0</v>
      </c>
      <c r="AW115" s="20">
        <v>0</v>
      </c>
      <c r="AX115" s="20">
        <v>0</v>
      </c>
      <c r="AY115" s="20">
        <v>0</v>
      </c>
      <c r="AZ115" s="20">
        <v>0</v>
      </c>
      <c r="BA115" s="20">
        <v>0</v>
      </c>
      <c r="BB115" s="20">
        <v>0</v>
      </c>
      <c r="BC115" s="20">
        <v>0</v>
      </c>
      <c r="BD115" s="20">
        <v>0</v>
      </c>
      <c r="BE115" s="20">
        <v>0</v>
      </c>
      <c r="BF115" s="20">
        <v>0</v>
      </c>
      <c r="BG115" s="20">
        <v>0</v>
      </c>
      <c r="BH115" s="20">
        <v>0</v>
      </c>
      <c r="BI115" s="20">
        <v>0</v>
      </c>
      <c r="BJ115" s="20">
        <v>0</v>
      </c>
      <c r="BK115" s="20">
        <v>0</v>
      </c>
      <c r="BL115" s="20">
        <v>0</v>
      </c>
      <c r="BM115" s="20">
        <v>0</v>
      </c>
      <c r="BN115" s="20">
        <v>0</v>
      </c>
      <c r="BO115" s="20">
        <v>0</v>
      </c>
      <c r="BP115" s="20">
        <v>0</v>
      </c>
      <c r="BQ115" s="20">
        <v>0</v>
      </c>
      <c r="BR115" s="20">
        <v>0</v>
      </c>
      <c r="BS115" s="20">
        <v>0</v>
      </c>
      <c r="BT115" s="20">
        <v>0</v>
      </c>
      <c r="BU115" s="20">
        <v>0</v>
      </c>
      <c r="BV115" s="20">
        <v>0</v>
      </c>
      <c r="BW115" s="20">
        <v>0</v>
      </c>
      <c r="BX115" s="20">
        <v>0</v>
      </c>
      <c r="BY115" s="20">
        <v>0</v>
      </c>
      <c r="BZ115" s="20">
        <v>0</v>
      </c>
      <c r="CA115" s="20">
        <v>0</v>
      </c>
    </row>
    <row r="116" spans="1:79" x14ac:dyDescent="0.3">
      <c r="A116" s="19"/>
      <c r="B116" s="20" t="str">
        <f t="shared" si="38"/>
        <v>11540001</v>
      </c>
      <c r="C116" s="55" t="str">
        <f t="shared" ref="C116" si="48">IF(J116&gt;0,MID(J116,5, 1), 0)</f>
        <v>1</v>
      </c>
      <c r="D116" s="55">
        <f t="shared" ref="D116" si="49">IF(G116&lt;100, G116, G116-100)</f>
        <v>5</v>
      </c>
      <c r="E116" s="49">
        <v>1</v>
      </c>
      <c r="F116" s="57">
        <v>1</v>
      </c>
      <c r="G116" s="57">
        <v>5</v>
      </c>
      <c r="H116" s="57" t="str">
        <f t="shared" si="41"/>
        <v>Item_Name_11540001</v>
      </c>
      <c r="I116" s="57" t="s">
        <v>568</v>
      </c>
      <c r="J116" s="57">
        <v>10101001</v>
      </c>
      <c r="K116" s="57">
        <v>4</v>
      </c>
      <c r="L116" s="57">
        <v>0</v>
      </c>
      <c r="M116" s="57">
        <v>0</v>
      </c>
      <c r="N116" s="57">
        <v>15</v>
      </c>
      <c r="O116" s="57">
        <v>100</v>
      </c>
      <c r="P116" s="57">
        <v>1</v>
      </c>
      <c r="Q116" s="57" t="s">
        <v>653</v>
      </c>
      <c r="R116" s="57" t="s">
        <v>531</v>
      </c>
      <c r="S116" s="57" t="s">
        <v>325</v>
      </c>
      <c r="T116" s="57" t="s">
        <v>400</v>
      </c>
      <c r="U116" s="57">
        <v>0</v>
      </c>
      <c r="V116" s="57">
        <v>0</v>
      </c>
      <c r="W116" s="57">
        <v>17</v>
      </c>
      <c r="X116" s="57">
        <v>51</v>
      </c>
      <c r="Y116" s="57">
        <v>1004</v>
      </c>
      <c r="Z116" s="57">
        <v>1005</v>
      </c>
      <c r="AA116" s="57">
        <v>1105</v>
      </c>
      <c r="AB116" s="57">
        <v>1205</v>
      </c>
      <c r="AC116" s="57">
        <v>0</v>
      </c>
      <c r="AD116" s="57">
        <v>0</v>
      </c>
      <c r="AE116" s="58">
        <v>0</v>
      </c>
      <c r="AF116" s="30">
        <v>0</v>
      </c>
      <c r="AG116" s="57">
        <v>0</v>
      </c>
      <c r="AH116" s="57">
        <v>0</v>
      </c>
      <c r="AI116" s="57">
        <v>0</v>
      </c>
      <c r="AJ116" s="57">
        <v>0</v>
      </c>
      <c r="AK116" s="57">
        <v>0</v>
      </c>
      <c r="AL116" s="57">
        <v>0</v>
      </c>
      <c r="AM116" s="57">
        <v>0</v>
      </c>
      <c r="AN116" s="57">
        <v>0</v>
      </c>
      <c r="AO116" s="57">
        <v>0</v>
      </c>
      <c r="AP116" s="57">
        <v>0</v>
      </c>
      <c r="AQ116" s="57">
        <v>0</v>
      </c>
      <c r="AR116" s="57">
        <v>0</v>
      </c>
      <c r="AS116" s="57">
        <v>0</v>
      </c>
      <c r="AT116" s="57">
        <v>0</v>
      </c>
      <c r="AU116" s="57">
        <v>0</v>
      </c>
      <c r="AV116" s="57">
        <v>0</v>
      </c>
      <c r="AW116" s="57">
        <v>0</v>
      </c>
      <c r="AX116" s="57">
        <v>0</v>
      </c>
      <c r="AY116" s="57">
        <v>0</v>
      </c>
      <c r="AZ116" s="57">
        <v>0</v>
      </c>
      <c r="BA116" s="57">
        <v>0</v>
      </c>
      <c r="BB116" s="57">
        <v>0</v>
      </c>
      <c r="BC116" s="57">
        <v>0</v>
      </c>
      <c r="BD116" s="57">
        <v>0</v>
      </c>
      <c r="BE116" s="57">
        <v>0</v>
      </c>
      <c r="BF116" s="57">
        <v>0</v>
      </c>
      <c r="BG116" s="57">
        <v>0</v>
      </c>
      <c r="BH116" s="57">
        <v>0</v>
      </c>
      <c r="BI116" s="57">
        <v>0</v>
      </c>
      <c r="BJ116" s="57">
        <v>0</v>
      </c>
      <c r="BK116" s="57">
        <v>0</v>
      </c>
      <c r="BL116" s="57">
        <v>0</v>
      </c>
      <c r="BM116" s="57">
        <v>0</v>
      </c>
      <c r="BN116" s="57">
        <v>0</v>
      </c>
      <c r="BO116" s="57">
        <v>0</v>
      </c>
      <c r="BP116" s="57">
        <v>0</v>
      </c>
      <c r="BQ116" s="57">
        <v>0</v>
      </c>
      <c r="BR116" s="57">
        <v>0</v>
      </c>
      <c r="BS116" s="57">
        <v>0</v>
      </c>
      <c r="BT116" s="57">
        <v>0</v>
      </c>
      <c r="BU116" s="57">
        <v>0</v>
      </c>
      <c r="BV116" s="57">
        <v>0</v>
      </c>
      <c r="BW116" s="57">
        <v>0</v>
      </c>
      <c r="BX116" s="57">
        <v>0</v>
      </c>
      <c r="BY116" s="57">
        <v>0</v>
      </c>
      <c r="BZ116" s="57">
        <v>0</v>
      </c>
      <c r="CA116" s="57">
        <v>0</v>
      </c>
    </row>
    <row r="117" spans="1:79" x14ac:dyDescent="0.3">
      <c r="A117" s="19"/>
      <c r="B117" s="20" t="str">
        <f t="shared" si="38"/>
        <v>12510001</v>
      </c>
      <c r="C117" s="55" t="str">
        <f t="shared" si="39"/>
        <v>2</v>
      </c>
      <c r="D117" s="55">
        <f t="shared" si="40"/>
        <v>5</v>
      </c>
      <c r="E117" s="49">
        <v>1</v>
      </c>
      <c r="F117" s="20">
        <v>1</v>
      </c>
      <c r="G117" s="20">
        <v>5</v>
      </c>
      <c r="H117" s="20" t="str">
        <f t="shared" si="41"/>
        <v>Item_Name_12510001</v>
      </c>
      <c r="I117" s="20" t="s">
        <v>419</v>
      </c>
      <c r="J117" s="20">
        <v>10102001</v>
      </c>
      <c r="K117" s="20">
        <v>1</v>
      </c>
      <c r="L117" s="20">
        <v>0</v>
      </c>
      <c r="M117" s="20">
        <v>0</v>
      </c>
      <c r="N117" s="20">
        <v>15</v>
      </c>
      <c r="O117" s="20">
        <v>100</v>
      </c>
      <c r="P117" s="20">
        <v>1</v>
      </c>
      <c r="Q117" s="20" t="s">
        <v>384</v>
      </c>
      <c r="R117" s="20" t="s">
        <v>171</v>
      </c>
      <c r="S117" s="20" t="s">
        <v>325</v>
      </c>
      <c r="T117" s="20" t="s">
        <v>400</v>
      </c>
      <c r="U117" s="20">
        <v>0</v>
      </c>
      <c r="V117" s="20">
        <v>0</v>
      </c>
      <c r="W117" s="20">
        <v>17</v>
      </c>
      <c r="X117" s="20">
        <v>28</v>
      </c>
      <c r="Y117" s="20">
        <v>1004</v>
      </c>
      <c r="Z117" s="20">
        <v>0</v>
      </c>
      <c r="AA117" s="20">
        <v>0</v>
      </c>
      <c r="AB117" s="20">
        <v>0</v>
      </c>
      <c r="AC117" s="20">
        <v>0</v>
      </c>
      <c r="AD117" s="20">
        <v>0</v>
      </c>
      <c r="AE117" s="39">
        <v>0</v>
      </c>
      <c r="AF117" s="31">
        <v>0</v>
      </c>
      <c r="AG117" s="20">
        <v>0</v>
      </c>
      <c r="AH117" s="20">
        <v>0</v>
      </c>
      <c r="AI117" s="20">
        <v>0</v>
      </c>
      <c r="AJ117" s="20">
        <v>0</v>
      </c>
      <c r="AK117" s="20">
        <v>0</v>
      </c>
      <c r="AL117" s="20">
        <v>0</v>
      </c>
      <c r="AM117" s="20">
        <v>0</v>
      </c>
      <c r="AN117" s="20">
        <v>0</v>
      </c>
      <c r="AO117" s="20">
        <v>0</v>
      </c>
      <c r="AP117" s="20">
        <v>0</v>
      </c>
      <c r="AQ117" s="20">
        <v>0</v>
      </c>
      <c r="AR117" s="20">
        <v>0</v>
      </c>
      <c r="AS117" s="20">
        <v>0</v>
      </c>
      <c r="AT117" s="20">
        <v>0</v>
      </c>
      <c r="AU117" s="20">
        <v>0</v>
      </c>
      <c r="AV117" s="20">
        <v>0</v>
      </c>
      <c r="AW117" s="20">
        <v>0</v>
      </c>
      <c r="AX117" s="20">
        <v>0</v>
      </c>
      <c r="AY117" s="20">
        <v>0</v>
      </c>
      <c r="AZ117" s="20">
        <v>0</v>
      </c>
      <c r="BA117" s="20">
        <v>0</v>
      </c>
      <c r="BB117" s="20">
        <v>0</v>
      </c>
      <c r="BC117" s="20">
        <v>0</v>
      </c>
      <c r="BD117" s="20">
        <v>0</v>
      </c>
      <c r="BE117" s="20">
        <v>0</v>
      </c>
      <c r="BF117" s="20">
        <v>0</v>
      </c>
      <c r="BG117" s="20">
        <v>0</v>
      </c>
      <c r="BH117" s="20">
        <v>0</v>
      </c>
      <c r="BI117" s="20">
        <v>0</v>
      </c>
      <c r="BJ117" s="20">
        <v>0</v>
      </c>
      <c r="BK117" s="20">
        <v>0</v>
      </c>
      <c r="BL117" s="20">
        <v>0</v>
      </c>
      <c r="BM117" s="20">
        <v>0</v>
      </c>
      <c r="BN117" s="20">
        <v>0</v>
      </c>
      <c r="BO117" s="20">
        <v>0</v>
      </c>
      <c r="BP117" s="20">
        <v>0</v>
      </c>
      <c r="BQ117" s="20">
        <v>0</v>
      </c>
      <c r="BR117" s="20">
        <v>0</v>
      </c>
      <c r="BS117" s="20">
        <v>0</v>
      </c>
      <c r="BT117" s="20">
        <v>0</v>
      </c>
      <c r="BU117" s="20">
        <v>0</v>
      </c>
      <c r="BV117" s="20">
        <v>0</v>
      </c>
      <c r="BW117" s="20">
        <v>0</v>
      </c>
      <c r="BX117" s="20">
        <v>0</v>
      </c>
      <c r="BY117" s="20">
        <v>0</v>
      </c>
      <c r="BZ117" s="20">
        <v>0</v>
      </c>
      <c r="CA117" s="20">
        <v>0</v>
      </c>
    </row>
    <row r="118" spans="1:79" x14ac:dyDescent="0.3">
      <c r="A118" s="19"/>
      <c r="B118" s="20" t="str">
        <f t="shared" si="38"/>
        <v>12520001</v>
      </c>
      <c r="C118" s="55" t="str">
        <f t="shared" si="39"/>
        <v>2</v>
      </c>
      <c r="D118" s="55">
        <f t="shared" si="40"/>
        <v>5</v>
      </c>
      <c r="E118" s="49">
        <v>1</v>
      </c>
      <c r="F118" s="20">
        <v>1</v>
      </c>
      <c r="G118" s="20">
        <v>5</v>
      </c>
      <c r="H118" s="20" t="str">
        <f t="shared" si="41"/>
        <v>Item_Name_12520001</v>
      </c>
      <c r="I118" s="20" t="s">
        <v>188</v>
      </c>
      <c r="J118" s="20">
        <v>10102001</v>
      </c>
      <c r="K118" s="20">
        <v>2</v>
      </c>
      <c r="L118" s="20">
        <v>0</v>
      </c>
      <c r="M118" s="20">
        <v>0</v>
      </c>
      <c r="N118" s="20">
        <v>15</v>
      </c>
      <c r="O118" s="20">
        <v>100</v>
      </c>
      <c r="P118" s="20">
        <v>1</v>
      </c>
      <c r="Q118" s="20" t="s">
        <v>420</v>
      </c>
      <c r="R118" s="20" t="s">
        <v>256</v>
      </c>
      <c r="S118" s="20" t="s">
        <v>325</v>
      </c>
      <c r="T118" s="20" t="s">
        <v>400</v>
      </c>
      <c r="U118" s="20">
        <v>0</v>
      </c>
      <c r="V118" s="20">
        <v>0</v>
      </c>
      <c r="W118" s="20">
        <v>17</v>
      </c>
      <c r="X118" s="20">
        <v>33</v>
      </c>
      <c r="Y118" s="20">
        <v>1004</v>
      </c>
      <c r="Z118" s="20">
        <v>1007</v>
      </c>
      <c r="AA118" s="20">
        <v>0</v>
      </c>
      <c r="AB118" s="20">
        <v>0</v>
      </c>
      <c r="AC118" s="20">
        <v>0</v>
      </c>
      <c r="AD118" s="20">
        <v>0</v>
      </c>
      <c r="AE118" s="39">
        <v>0</v>
      </c>
      <c r="AF118" s="31">
        <v>0</v>
      </c>
      <c r="AG118" s="20">
        <v>0</v>
      </c>
      <c r="AH118" s="20">
        <v>0</v>
      </c>
      <c r="AI118" s="20">
        <v>0</v>
      </c>
      <c r="AJ118" s="20">
        <v>0</v>
      </c>
      <c r="AK118" s="20">
        <v>0</v>
      </c>
      <c r="AL118" s="20">
        <v>0</v>
      </c>
      <c r="AM118" s="20">
        <v>0</v>
      </c>
      <c r="AN118" s="20">
        <v>0</v>
      </c>
      <c r="AO118" s="20">
        <v>0</v>
      </c>
      <c r="AP118" s="20">
        <v>0</v>
      </c>
      <c r="AQ118" s="20">
        <v>0</v>
      </c>
      <c r="AR118" s="20">
        <v>0</v>
      </c>
      <c r="AS118" s="20">
        <v>0</v>
      </c>
      <c r="AT118" s="20">
        <v>0</v>
      </c>
      <c r="AU118" s="20">
        <v>0</v>
      </c>
      <c r="AV118" s="20">
        <v>0</v>
      </c>
      <c r="AW118" s="20">
        <v>0</v>
      </c>
      <c r="AX118" s="20">
        <v>0</v>
      </c>
      <c r="AY118" s="20">
        <v>0</v>
      </c>
      <c r="AZ118" s="20">
        <v>0</v>
      </c>
      <c r="BA118" s="20">
        <v>0</v>
      </c>
      <c r="BB118" s="20">
        <v>0</v>
      </c>
      <c r="BC118" s="20">
        <v>0</v>
      </c>
      <c r="BD118" s="20">
        <v>0</v>
      </c>
      <c r="BE118" s="20">
        <v>0</v>
      </c>
      <c r="BF118" s="20">
        <v>0</v>
      </c>
      <c r="BG118" s="20">
        <v>0</v>
      </c>
      <c r="BH118" s="20">
        <v>0</v>
      </c>
      <c r="BI118" s="20">
        <v>0</v>
      </c>
      <c r="BJ118" s="20">
        <v>0</v>
      </c>
      <c r="BK118" s="20">
        <v>0</v>
      </c>
      <c r="BL118" s="20">
        <v>0</v>
      </c>
      <c r="BM118" s="20">
        <v>0</v>
      </c>
      <c r="BN118" s="20">
        <v>0</v>
      </c>
      <c r="BO118" s="20">
        <v>0</v>
      </c>
      <c r="BP118" s="20">
        <v>0</v>
      </c>
      <c r="BQ118" s="20">
        <v>0</v>
      </c>
      <c r="BR118" s="20">
        <v>0</v>
      </c>
      <c r="BS118" s="20">
        <v>0</v>
      </c>
      <c r="BT118" s="20">
        <v>0</v>
      </c>
      <c r="BU118" s="20">
        <v>0</v>
      </c>
      <c r="BV118" s="20">
        <v>0</v>
      </c>
      <c r="BW118" s="20">
        <v>0</v>
      </c>
      <c r="BX118" s="20">
        <v>0</v>
      </c>
      <c r="BY118" s="20">
        <v>0</v>
      </c>
      <c r="BZ118" s="20">
        <v>0</v>
      </c>
      <c r="CA118" s="20">
        <v>0</v>
      </c>
    </row>
    <row r="119" spans="1:79" x14ac:dyDescent="0.3">
      <c r="A119" s="19"/>
      <c r="B119" s="20" t="str">
        <f t="shared" si="38"/>
        <v>12530001</v>
      </c>
      <c r="C119" s="55" t="str">
        <f t="shared" si="39"/>
        <v>2</v>
      </c>
      <c r="D119" s="55">
        <f t="shared" si="40"/>
        <v>5</v>
      </c>
      <c r="E119" s="49">
        <v>1</v>
      </c>
      <c r="F119" s="20">
        <v>1</v>
      </c>
      <c r="G119" s="20">
        <v>5</v>
      </c>
      <c r="H119" s="20" t="str">
        <f t="shared" si="41"/>
        <v>Item_Name_12530001</v>
      </c>
      <c r="I119" s="20" t="s">
        <v>189</v>
      </c>
      <c r="J119" s="20">
        <v>10102001</v>
      </c>
      <c r="K119" s="20">
        <v>3</v>
      </c>
      <c r="L119" s="20">
        <v>0</v>
      </c>
      <c r="M119" s="20">
        <v>0</v>
      </c>
      <c r="N119" s="20">
        <v>15</v>
      </c>
      <c r="O119" s="20">
        <v>100</v>
      </c>
      <c r="P119" s="20">
        <v>1</v>
      </c>
      <c r="Q119" s="20" t="s">
        <v>421</v>
      </c>
      <c r="R119" s="20" t="s">
        <v>257</v>
      </c>
      <c r="S119" s="20" t="s">
        <v>325</v>
      </c>
      <c r="T119" s="20" t="s">
        <v>400</v>
      </c>
      <c r="U119" s="20">
        <v>0</v>
      </c>
      <c r="V119" s="20">
        <v>0</v>
      </c>
      <c r="W119" s="20">
        <v>17</v>
      </c>
      <c r="X119" s="20">
        <v>39</v>
      </c>
      <c r="Y119" s="20">
        <v>1004</v>
      </c>
      <c r="Z119" s="20">
        <v>1007</v>
      </c>
      <c r="AA119" s="20">
        <v>1107</v>
      </c>
      <c r="AB119" s="20">
        <v>0</v>
      </c>
      <c r="AC119" s="20">
        <v>0</v>
      </c>
      <c r="AD119" s="20">
        <v>0</v>
      </c>
      <c r="AE119" s="39">
        <v>0</v>
      </c>
      <c r="AF119" s="31">
        <v>0</v>
      </c>
      <c r="AG119" s="20">
        <v>0</v>
      </c>
      <c r="AH119" s="20">
        <v>0</v>
      </c>
      <c r="AI119" s="20">
        <v>0</v>
      </c>
      <c r="AJ119" s="20">
        <v>0</v>
      </c>
      <c r="AK119" s="20">
        <v>0</v>
      </c>
      <c r="AL119" s="20">
        <v>0</v>
      </c>
      <c r="AM119" s="20">
        <v>0</v>
      </c>
      <c r="AN119" s="20">
        <v>0</v>
      </c>
      <c r="AO119" s="20">
        <v>0</v>
      </c>
      <c r="AP119" s="20">
        <v>0</v>
      </c>
      <c r="AQ119" s="20">
        <v>0</v>
      </c>
      <c r="AR119" s="20">
        <v>0</v>
      </c>
      <c r="AS119" s="20">
        <v>0</v>
      </c>
      <c r="AT119" s="20">
        <v>0</v>
      </c>
      <c r="AU119" s="20">
        <v>0</v>
      </c>
      <c r="AV119" s="20">
        <v>0</v>
      </c>
      <c r="AW119" s="20">
        <v>0</v>
      </c>
      <c r="AX119" s="20">
        <v>0</v>
      </c>
      <c r="AY119" s="20">
        <v>0</v>
      </c>
      <c r="AZ119" s="20">
        <v>0</v>
      </c>
      <c r="BA119" s="20">
        <v>0</v>
      </c>
      <c r="BB119" s="20">
        <v>0</v>
      </c>
      <c r="BC119" s="20">
        <v>0</v>
      </c>
      <c r="BD119" s="20">
        <v>0</v>
      </c>
      <c r="BE119" s="20">
        <v>0</v>
      </c>
      <c r="BF119" s="20">
        <v>0</v>
      </c>
      <c r="BG119" s="20">
        <v>0</v>
      </c>
      <c r="BH119" s="20">
        <v>0</v>
      </c>
      <c r="BI119" s="20">
        <v>0</v>
      </c>
      <c r="BJ119" s="20">
        <v>0</v>
      </c>
      <c r="BK119" s="20">
        <v>0</v>
      </c>
      <c r="BL119" s="20">
        <v>0</v>
      </c>
      <c r="BM119" s="20">
        <v>0</v>
      </c>
      <c r="BN119" s="20">
        <v>0</v>
      </c>
      <c r="BO119" s="20">
        <v>0</v>
      </c>
      <c r="BP119" s="20">
        <v>0</v>
      </c>
      <c r="BQ119" s="20">
        <v>0</v>
      </c>
      <c r="BR119" s="20">
        <v>0</v>
      </c>
      <c r="BS119" s="20">
        <v>0</v>
      </c>
      <c r="BT119" s="20">
        <v>0</v>
      </c>
      <c r="BU119" s="20">
        <v>0</v>
      </c>
      <c r="BV119" s="20">
        <v>0</v>
      </c>
      <c r="BW119" s="20">
        <v>0</v>
      </c>
      <c r="BX119" s="20">
        <v>0</v>
      </c>
      <c r="BY119" s="20">
        <v>0</v>
      </c>
      <c r="BZ119" s="20">
        <v>0</v>
      </c>
      <c r="CA119" s="20">
        <v>0</v>
      </c>
    </row>
    <row r="120" spans="1:79" x14ac:dyDescent="0.3">
      <c r="A120" s="19"/>
      <c r="B120" s="20" t="str">
        <f t="shared" si="38"/>
        <v>12540001</v>
      </c>
      <c r="C120" s="55" t="str">
        <f t="shared" ref="C120" si="50">IF(J120&gt;0,MID(J120,5, 1), 0)</f>
        <v>2</v>
      </c>
      <c r="D120" s="55">
        <f t="shared" ref="D120" si="51">IF(G120&lt;100, G120, G120-100)</f>
        <v>5</v>
      </c>
      <c r="E120" s="49">
        <v>1</v>
      </c>
      <c r="F120" s="57">
        <v>1</v>
      </c>
      <c r="G120" s="57">
        <v>5</v>
      </c>
      <c r="H120" s="57" t="str">
        <f t="shared" si="41"/>
        <v>Item_Name_12540001</v>
      </c>
      <c r="I120" s="57" t="s">
        <v>569</v>
      </c>
      <c r="J120" s="57">
        <v>10102001</v>
      </c>
      <c r="K120" s="57">
        <v>4</v>
      </c>
      <c r="L120" s="57">
        <v>0</v>
      </c>
      <c r="M120" s="57">
        <v>0</v>
      </c>
      <c r="N120" s="57">
        <v>15</v>
      </c>
      <c r="O120" s="57">
        <v>100</v>
      </c>
      <c r="P120" s="57">
        <v>1</v>
      </c>
      <c r="Q120" s="57" t="s">
        <v>745</v>
      </c>
      <c r="R120" s="57" t="s">
        <v>531</v>
      </c>
      <c r="S120" s="57" t="s">
        <v>325</v>
      </c>
      <c r="T120" s="57" t="s">
        <v>400</v>
      </c>
      <c r="U120" s="57">
        <v>0</v>
      </c>
      <c r="V120" s="57">
        <v>0</v>
      </c>
      <c r="W120" s="57">
        <v>17</v>
      </c>
      <c r="X120" s="57">
        <v>46</v>
      </c>
      <c r="Y120" s="57">
        <v>1004</v>
      </c>
      <c r="Z120" s="57">
        <v>1007</v>
      </c>
      <c r="AA120" s="57">
        <v>1107</v>
      </c>
      <c r="AB120" s="57">
        <v>1207</v>
      </c>
      <c r="AC120" s="57">
        <v>0</v>
      </c>
      <c r="AD120" s="57">
        <v>0</v>
      </c>
      <c r="AE120" s="58">
        <v>0</v>
      </c>
      <c r="AF120" s="30">
        <v>0</v>
      </c>
      <c r="AG120" s="57">
        <v>0</v>
      </c>
      <c r="AH120" s="57">
        <v>0</v>
      </c>
      <c r="AI120" s="57">
        <v>0</v>
      </c>
      <c r="AJ120" s="57">
        <v>0</v>
      </c>
      <c r="AK120" s="57">
        <v>0</v>
      </c>
      <c r="AL120" s="57">
        <v>0</v>
      </c>
      <c r="AM120" s="57">
        <v>0</v>
      </c>
      <c r="AN120" s="57">
        <v>0</v>
      </c>
      <c r="AO120" s="57">
        <v>0</v>
      </c>
      <c r="AP120" s="57">
        <v>0</v>
      </c>
      <c r="AQ120" s="57">
        <v>0</v>
      </c>
      <c r="AR120" s="57">
        <v>0</v>
      </c>
      <c r="AS120" s="57">
        <v>0</v>
      </c>
      <c r="AT120" s="57">
        <v>0</v>
      </c>
      <c r="AU120" s="57">
        <v>0</v>
      </c>
      <c r="AV120" s="57">
        <v>0</v>
      </c>
      <c r="AW120" s="57">
        <v>0</v>
      </c>
      <c r="AX120" s="57">
        <v>0</v>
      </c>
      <c r="AY120" s="57">
        <v>0</v>
      </c>
      <c r="AZ120" s="57">
        <v>0</v>
      </c>
      <c r="BA120" s="57">
        <v>0</v>
      </c>
      <c r="BB120" s="57">
        <v>0</v>
      </c>
      <c r="BC120" s="57">
        <v>0</v>
      </c>
      <c r="BD120" s="57">
        <v>0</v>
      </c>
      <c r="BE120" s="57">
        <v>0</v>
      </c>
      <c r="BF120" s="57">
        <v>0</v>
      </c>
      <c r="BG120" s="57">
        <v>0</v>
      </c>
      <c r="BH120" s="57">
        <v>0</v>
      </c>
      <c r="BI120" s="57">
        <v>0</v>
      </c>
      <c r="BJ120" s="57">
        <v>0</v>
      </c>
      <c r="BK120" s="57">
        <v>0</v>
      </c>
      <c r="BL120" s="57">
        <v>0</v>
      </c>
      <c r="BM120" s="57">
        <v>0</v>
      </c>
      <c r="BN120" s="57">
        <v>0</v>
      </c>
      <c r="BO120" s="57">
        <v>0</v>
      </c>
      <c r="BP120" s="57">
        <v>0</v>
      </c>
      <c r="BQ120" s="57">
        <v>0</v>
      </c>
      <c r="BR120" s="57">
        <v>0</v>
      </c>
      <c r="BS120" s="57">
        <v>0</v>
      </c>
      <c r="BT120" s="57">
        <v>0</v>
      </c>
      <c r="BU120" s="57">
        <v>0</v>
      </c>
      <c r="BV120" s="57">
        <v>0</v>
      </c>
      <c r="BW120" s="57">
        <v>0</v>
      </c>
      <c r="BX120" s="57">
        <v>0</v>
      </c>
      <c r="BY120" s="57">
        <v>0</v>
      </c>
      <c r="BZ120" s="57">
        <v>0</v>
      </c>
      <c r="CA120" s="57">
        <v>0</v>
      </c>
    </row>
    <row r="121" spans="1:79" x14ac:dyDescent="0.3">
      <c r="A121" s="19"/>
      <c r="B121" s="20" t="str">
        <f t="shared" si="38"/>
        <v>13510001</v>
      </c>
      <c r="C121" s="55" t="str">
        <f t="shared" si="39"/>
        <v>3</v>
      </c>
      <c r="D121" s="55">
        <f t="shared" si="40"/>
        <v>5</v>
      </c>
      <c r="E121" s="49">
        <v>1</v>
      </c>
      <c r="F121" s="20">
        <v>1</v>
      </c>
      <c r="G121" s="20">
        <v>5</v>
      </c>
      <c r="H121" s="20" t="str">
        <f t="shared" si="41"/>
        <v>Item_Name_13510001</v>
      </c>
      <c r="I121" s="20" t="s">
        <v>698</v>
      </c>
      <c r="J121" s="20">
        <v>10103001</v>
      </c>
      <c r="K121" s="20">
        <v>1</v>
      </c>
      <c r="L121" s="20">
        <v>0</v>
      </c>
      <c r="M121" s="20">
        <v>0</v>
      </c>
      <c r="N121" s="20">
        <v>15</v>
      </c>
      <c r="O121" s="20">
        <v>100</v>
      </c>
      <c r="P121" s="20">
        <v>1</v>
      </c>
      <c r="Q121" s="20" t="s">
        <v>304</v>
      </c>
      <c r="R121" s="20" t="s">
        <v>171</v>
      </c>
      <c r="S121" s="20" t="s">
        <v>325</v>
      </c>
      <c r="T121" s="20" t="s">
        <v>400</v>
      </c>
      <c r="U121" s="20">
        <v>0</v>
      </c>
      <c r="V121" s="20">
        <v>0</v>
      </c>
      <c r="W121" s="20">
        <v>17</v>
      </c>
      <c r="X121" s="20">
        <v>15</v>
      </c>
      <c r="Y121" s="20">
        <v>1004</v>
      </c>
      <c r="Z121" s="20">
        <v>0</v>
      </c>
      <c r="AA121" s="20">
        <v>0</v>
      </c>
      <c r="AB121" s="20">
        <v>0</v>
      </c>
      <c r="AC121" s="20">
        <v>0</v>
      </c>
      <c r="AD121" s="20">
        <v>0</v>
      </c>
      <c r="AE121" s="39">
        <v>0</v>
      </c>
      <c r="AF121" s="31">
        <v>0</v>
      </c>
      <c r="AG121" s="20">
        <v>0</v>
      </c>
      <c r="AH121" s="20">
        <v>0</v>
      </c>
      <c r="AI121" s="20">
        <v>0</v>
      </c>
      <c r="AJ121" s="20">
        <v>0</v>
      </c>
      <c r="AK121" s="20">
        <v>0</v>
      </c>
      <c r="AL121" s="20">
        <v>0</v>
      </c>
      <c r="AM121" s="20">
        <v>0</v>
      </c>
      <c r="AN121" s="20">
        <v>0</v>
      </c>
      <c r="AO121" s="20">
        <v>0</v>
      </c>
      <c r="AP121" s="20">
        <v>0</v>
      </c>
      <c r="AQ121" s="20">
        <v>0</v>
      </c>
      <c r="AR121" s="20">
        <v>0</v>
      </c>
      <c r="AS121" s="20">
        <v>0</v>
      </c>
      <c r="AT121" s="20">
        <v>0</v>
      </c>
      <c r="AU121" s="20">
        <v>0</v>
      </c>
      <c r="AV121" s="20">
        <v>0</v>
      </c>
      <c r="AW121" s="20">
        <v>0</v>
      </c>
      <c r="AX121" s="20">
        <v>0</v>
      </c>
      <c r="AY121" s="20">
        <v>0</v>
      </c>
      <c r="AZ121" s="20">
        <v>0</v>
      </c>
      <c r="BA121" s="20">
        <v>0</v>
      </c>
      <c r="BB121" s="20">
        <v>0</v>
      </c>
      <c r="BC121" s="20">
        <v>0</v>
      </c>
      <c r="BD121" s="20">
        <v>0</v>
      </c>
      <c r="BE121" s="20">
        <v>0</v>
      </c>
      <c r="BF121" s="20">
        <v>0</v>
      </c>
      <c r="BG121" s="20">
        <v>0</v>
      </c>
      <c r="BH121" s="20">
        <v>0</v>
      </c>
      <c r="BI121" s="20">
        <v>0</v>
      </c>
      <c r="BJ121" s="20">
        <v>0</v>
      </c>
      <c r="BK121" s="20">
        <v>0</v>
      </c>
      <c r="BL121" s="20">
        <v>0</v>
      </c>
      <c r="BM121" s="20">
        <v>0</v>
      </c>
      <c r="BN121" s="20">
        <v>0</v>
      </c>
      <c r="BO121" s="20">
        <v>0</v>
      </c>
      <c r="BP121" s="20">
        <v>0</v>
      </c>
      <c r="BQ121" s="20">
        <v>0</v>
      </c>
      <c r="BR121" s="20">
        <v>0</v>
      </c>
      <c r="BS121" s="20">
        <v>0</v>
      </c>
      <c r="BT121" s="20">
        <v>0</v>
      </c>
      <c r="BU121" s="20">
        <v>0</v>
      </c>
      <c r="BV121" s="20">
        <v>0</v>
      </c>
      <c r="BW121" s="20">
        <v>0</v>
      </c>
      <c r="BX121" s="20">
        <v>0</v>
      </c>
      <c r="BY121" s="20">
        <v>0</v>
      </c>
      <c r="BZ121" s="20">
        <v>0</v>
      </c>
      <c r="CA121" s="20">
        <v>0</v>
      </c>
    </row>
    <row r="122" spans="1:79" x14ac:dyDescent="0.3">
      <c r="A122" s="19"/>
      <c r="B122" s="20" t="str">
        <f t="shared" si="38"/>
        <v>13520001</v>
      </c>
      <c r="C122" s="55" t="str">
        <f t="shared" ref="C122:C124" si="52">IF(J122&gt;0,MID(J122,5, 1), 0)</f>
        <v>3</v>
      </c>
      <c r="D122" s="55">
        <f t="shared" ref="D122:D124" si="53">IF(G122&lt;100, G122, G122-100)</f>
        <v>5</v>
      </c>
      <c r="E122" s="49">
        <v>1</v>
      </c>
      <c r="F122" s="57">
        <v>1</v>
      </c>
      <c r="G122" s="57">
        <v>5</v>
      </c>
      <c r="H122" s="57" t="str">
        <f t="shared" si="41"/>
        <v>Item_Name_13520001</v>
      </c>
      <c r="I122" s="57" t="s">
        <v>746</v>
      </c>
      <c r="J122" s="57">
        <v>10103001</v>
      </c>
      <c r="K122" s="57">
        <v>2</v>
      </c>
      <c r="L122" s="57">
        <v>0</v>
      </c>
      <c r="M122" s="57">
        <v>0</v>
      </c>
      <c r="N122" s="57">
        <v>15</v>
      </c>
      <c r="O122" s="57">
        <v>100</v>
      </c>
      <c r="P122" s="57">
        <v>1</v>
      </c>
      <c r="Q122" s="57" t="s">
        <v>749</v>
      </c>
      <c r="R122" s="57" t="s">
        <v>542</v>
      </c>
      <c r="S122" s="57" t="s">
        <v>325</v>
      </c>
      <c r="T122" s="57" t="s">
        <v>400</v>
      </c>
      <c r="U122" s="57">
        <v>0</v>
      </c>
      <c r="V122" s="57">
        <v>0</v>
      </c>
      <c r="W122" s="57">
        <v>17</v>
      </c>
      <c r="X122" s="57">
        <v>15</v>
      </c>
      <c r="Y122" s="57">
        <v>1004</v>
      </c>
      <c r="Z122" s="57">
        <v>1006</v>
      </c>
      <c r="AA122" s="57">
        <v>0</v>
      </c>
      <c r="AB122" s="57">
        <v>0</v>
      </c>
      <c r="AC122" s="57">
        <v>0</v>
      </c>
      <c r="AD122" s="57">
        <v>0</v>
      </c>
      <c r="AE122" s="58">
        <v>0</v>
      </c>
      <c r="AF122" s="30">
        <v>0</v>
      </c>
      <c r="AG122" s="57">
        <v>0</v>
      </c>
      <c r="AH122" s="57">
        <v>0</v>
      </c>
      <c r="AI122" s="57">
        <v>0</v>
      </c>
      <c r="AJ122" s="57">
        <v>0</v>
      </c>
      <c r="AK122" s="57">
        <v>0</v>
      </c>
      <c r="AL122" s="57">
        <v>0</v>
      </c>
      <c r="AM122" s="57">
        <v>0</v>
      </c>
      <c r="AN122" s="57">
        <v>0</v>
      </c>
      <c r="AO122" s="57">
        <v>0</v>
      </c>
      <c r="AP122" s="57">
        <v>0</v>
      </c>
      <c r="AQ122" s="57">
        <v>0</v>
      </c>
      <c r="AR122" s="57">
        <v>0</v>
      </c>
      <c r="AS122" s="57">
        <v>0</v>
      </c>
      <c r="AT122" s="57">
        <v>0</v>
      </c>
      <c r="AU122" s="57">
        <v>0</v>
      </c>
      <c r="AV122" s="57">
        <v>0</v>
      </c>
      <c r="AW122" s="57">
        <v>0</v>
      </c>
      <c r="AX122" s="57">
        <v>0</v>
      </c>
      <c r="AY122" s="57">
        <v>0</v>
      </c>
      <c r="AZ122" s="57">
        <v>0</v>
      </c>
      <c r="BA122" s="57">
        <v>0</v>
      </c>
      <c r="BB122" s="57">
        <v>0</v>
      </c>
      <c r="BC122" s="57">
        <v>0</v>
      </c>
      <c r="BD122" s="57">
        <v>0</v>
      </c>
      <c r="BE122" s="57">
        <v>0</v>
      </c>
      <c r="BF122" s="57">
        <v>0</v>
      </c>
      <c r="BG122" s="57">
        <v>0</v>
      </c>
      <c r="BH122" s="57">
        <v>0</v>
      </c>
      <c r="BI122" s="57">
        <v>0</v>
      </c>
      <c r="BJ122" s="57">
        <v>0</v>
      </c>
      <c r="BK122" s="57">
        <v>0</v>
      </c>
      <c r="BL122" s="57">
        <v>0</v>
      </c>
      <c r="BM122" s="57">
        <v>0</v>
      </c>
      <c r="BN122" s="57">
        <v>0</v>
      </c>
      <c r="BO122" s="57">
        <v>0</v>
      </c>
      <c r="BP122" s="57">
        <v>0</v>
      </c>
      <c r="BQ122" s="57">
        <v>0</v>
      </c>
      <c r="BR122" s="57">
        <v>0</v>
      </c>
      <c r="BS122" s="57">
        <v>0</v>
      </c>
      <c r="BT122" s="57">
        <v>0</v>
      </c>
      <c r="BU122" s="57">
        <v>0</v>
      </c>
      <c r="BV122" s="57">
        <v>0</v>
      </c>
      <c r="BW122" s="57">
        <v>0</v>
      </c>
      <c r="BX122" s="57">
        <v>0</v>
      </c>
      <c r="BY122" s="57">
        <v>0</v>
      </c>
      <c r="BZ122" s="57">
        <v>0</v>
      </c>
      <c r="CA122" s="57">
        <v>0</v>
      </c>
    </row>
    <row r="123" spans="1:79" x14ac:dyDescent="0.3">
      <c r="A123" s="19"/>
      <c r="B123" s="20" t="str">
        <f t="shared" si="38"/>
        <v>13530001</v>
      </c>
      <c r="C123" s="55" t="str">
        <f t="shared" si="52"/>
        <v>3</v>
      </c>
      <c r="D123" s="55">
        <f t="shared" si="53"/>
        <v>5</v>
      </c>
      <c r="E123" s="49">
        <v>1</v>
      </c>
      <c r="F123" s="57">
        <v>1</v>
      </c>
      <c r="G123" s="57">
        <v>5</v>
      </c>
      <c r="H123" s="57" t="str">
        <f t="shared" si="41"/>
        <v>Item_Name_13530001</v>
      </c>
      <c r="I123" s="57" t="s">
        <v>747</v>
      </c>
      <c r="J123" s="57">
        <v>10103001</v>
      </c>
      <c r="K123" s="57">
        <v>3</v>
      </c>
      <c r="L123" s="57">
        <v>0</v>
      </c>
      <c r="M123" s="57">
        <v>0</v>
      </c>
      <c r="N123" s="57">
        <v>15</v>
      </c>
      <c r="O123" s="57">
        <v>100</v>
      </c>
      <c r="P123" s="57">
        <v>1</v>
      </c>
      <c r="Q123" s="57" t="s">
        <v>750</v>
      </c>
      <c r="R123" s="57" t="s">
        <v>543</v>
      </c>
      <c r="S123" s="57" t="s">
        <v>325</v>
      </c>
      <c r="T123" s="57" t="s">
        <v>400</v>
      </c>
      <c r="U123" s="57">
        <v>0</v>
      </c>
      <c r="V123" s="57">
        <v>0</v>
      </c>
      <c r="W123" s="57">
        <v>17</v>
      </c>
      <c r="X123" s="57">
        <v>15</v>
      </c>
      <c r="Y123" s="57">
        <v>1004</v>
      </c>
      <c r="Z123" s="57">
        <v>1006</v>
      </c>
      <c r="AA123" s="57">
        <v>1106</v>
      </c>
      <c r="AB123" s="57">
        <v>0</v>
      </c>
      <c r="AC123" s="57">
        <v>0</v>
      </c>
      <c r="AD123" s="57">
        <v>0</v>
      </c>
      <c r="AE123" s="58">
        <v>0</v>
      </c>
      <c r="AF123" s="30">
        <v>0</v>
      </c>
      <c r="AG123" s="57">
        <v>0</v>
      </c>
      <c r="AH123" s="57">
        <v>0</v>
      </c>
      <c r="AI123" s="57">
        <v>0</v>
      </c>
      <c r="AJ123" s="57">
        <v>0</v>
      </c>
      <c r="AK123" s="57">
        <v>0</v>
      </c>
      <c r="AL123" s="57">
        <v>0</v>
      </c>
      <c r="AM123" s="57">
        <v>0</v>
      </c>
      <c r="AN123" s="57">
        <v>0</v>
      </c>
      <c r="AO123" s="57">
        <v>0</v>
      </c>
      <c r="AP123" s="57">
        <v>0</v>
      </c>
      <c r="AQ123" s="57">
        <v>0</v>
      </c>
      <c r="AR123" s="57">
        <v>0</v>
      </c>
      <c r="AS123" s="57">
        <v>0</v>
      </c>
      <c r="AT123" s="57">
        <v>0</v>
      </c>
      <c r="AU123" s="57">
        <v>0</v>
      </c>
      <c r="AV123" s="57">
        <v>0</v>
      </c>
      <c r="AW123" s="57">
        <v>0</v>
      </c>
      <c r="AX123" s="57">
        <v>0</v>
      </c>
      <c r="AY123" s="57">
        <v>0</v>
      </c>
      <c r="AZ123" s="57">
        <v>0</v>
      </c>
      <c r="BA123" s="57">
        <v>0</v>
      </c>
      <c r="BB123" s="57">
        <v>0</v>
      </c>
      <c r="BC123" s="57">
        <v>0</v>
      </c>
      <c r="BD123" s="57">
        <v>0</v>
      </c>
      <c r="BE123" s="57">
        <v>0</v>
      </c>
      <c r="BF123" s="57">
        <v>0</v>
      </c>
      <c r="BG123" s="57">
        <v>0</v>
      </c>
      <c r="BH123" s="57">
        <v>0</v>
      </c>
      <c r="BI123" s="57">
        <v>0</v>
      </c>
      <c r="BJ123" s="57">
        <v>0</v>
      </c>
      <c r="BK123" s="57">
        <v>0</v>
      </c>
      <c r="BL123" s="57">
        <v>0</v>
      </c>
      <c r="BM123" s="57">
        <v>0</v>
      </c>
      <c r="BN123" s="57">
        <v>0</v>
      </c>
      <c r="BO123" s="57">
        <v>0</v>
      </c>
      <c r="BP123" s="57">
        <v>0</v>
      </c>
      <c r="BQ123" s="57">
        <v>0</v>
      </c>
      <c r="BR123" s="57">
        <v>0</v>
      </c>
      <c r="BS123" s="57">
        <v>0</v>
      </c>
      <c r="BT123" s="57">
        <v>0</v>
      </c>
      <c r="BU123" s="57">
        <v>0</v>
      </c>
      <c r="BV123" s="57">
        <v>0</v>
      </c>
      <c r="BW123" s="57">
        <v>0</v>
      </c>
      <c r="BX123" s="57">
        <v>0</v>
      </c>
      <c r="BY123" s="57">
        <v>0</v>
      </c>
      <c r="BZ123" s="57">
        <v>0</v>
      </c>
      <c r="CA123" s="57">
        <v>0</v>
      </c>
    </row>
    <row r="124" spans="1:79" x14ac:dyDescent="0.3">
      <c r="A124" s="19"/>
      <c r="B124" s="20" t="str">
        <f t="shared" si="38"/>
        <v>13540001</v>
      </c>
      <c r="C124" s="55" t="str">
        <f t="shared" si="52"/>
        <v>3</v>
      </c>
      <c r="D124" s="55">
        <f t="shared" si="53"/>
        <v>5</v>
      </c>
      <c r="E124" s="49">
        <v>1</v>
      </c>
      <c r="F124" s="57">
        <v>1</v>
      </c>
      <c r="G124" s="57">
        <v>5</v>
      </c>
      <c r="H124" s="57" t="str">
        <f t="shared" si="41"/>
        <v>Item_Name_13540001</v>
      </c>
      <c r="I124" s="57" t="s">
        <v>748</v>
      </c>
      <c r="J124" s="57">
        <v>10103001</v>
      </c>
      <c r="K124" s="57">
        <v>4</v>
      </c>
      <c r="L124" s="57">
        <v>0</v>
      </c>
      <c r="M124" s="57">
        <v>0</v>
      </c>
      <c r="N124" s="57">
        <v>15</v>
      </c>
      <c r="O124" s="57">
        <v>100</v>
      </c>
      <c r="P124" s="57">
        <v>1</v>
      </c>
      <c r="Q124" s="57" t="s">
        <v>751</v>
      </c>
      <c r="R124" s="57" t="s">
        <v>531</v>
      </c>
      <c r="S124" s="57" t="s">
        <v>325</v>
      </c>
      <c r="T124" s="57" t="s">
        <v>400</v>
      </c>
      <c r="U124" s="57">
        <v>0</v>
      </c>
      <c r="V124" s="57">
        <v>0</v>
      </c>
      <c r="W124" s="57">
        <v>17</v>
      </c>
      <c r="X124" s="57">
        <v>15</v>
      </c>
      <c r="Y124" s="57">
        <v>1004</v>
      </c>
      <c r="Z124" s="57">
        <v>1006</v>
      </c>
      <c r="AA124" s="57">
        <v>1106</v>
      </c>
      <c r="AB124" s="57">
        <v>1206</v>
      </c>
      <c r="AC124" s="57">
        <v>0</v>
      </c>
      <c r="AD124" s="57">
        <v>0</v>
      </c>
      <c r="AE124" s="58">
        <v>0</v>
      </c>
      <c r="AF124" s="30">
        <v>0</v>
      </c>
      <c r="AG124" s="57">
        <v>0</v>
      </c>
      <c r="AH124" s="57">
        <v>0</v>
      </c>
      <c r="AI124" s="57">
        <v>0</v>
      </c>
      <c r="AJ124" s="57">
        <v>0</v>
      </c>
      <c r="AK124" s="57">
        <v>0</v>
      </c>
      <c r="AL124" s="57">
        <v>0</v>
      </c>
      <c r="AM124" s="57">
        <v>0</v>
      </c>
      <c r="AN124" s="57">
        <v>0</v>
      </c>
      <c r="AO124" s="57">
        <v>0</v>
      </c>
      <c r="AP124" s="57">
        <v>0</v>
      </c>
      <c r="AQ124" s="57">
        <v>0</v>
      </c>
      <c r="AR124" s="57">
        <v>0</v>
      </c>
      <c r="AS124" s="57">
        <v>0</v>
      </c>
      <c r="AT124" s="57">
        <v>0</v>
      </c>
      <c r="AU124" s="57">
        <v>0</v>
      </c>
      <c r="AV124" s="57">
        <v>0</v>
      </c>
      <c r="AW124" s="57">
        <v>0</v>
      </c>
      <c r="AX124" s="57">
        <v>0</v>
      </c>
      <c r="AY124" s="57">
        <v>0</v>
      </c>
      <c r="AZ124" s="57">
        <v>0</v>
      </c>
      <c r="BA124" s="57">
        <v>0</v>
      </c>
      <c r="BB124" s="57">
        <v>0</v>
      </c>
      <c r="BC124" s="57">
        <v>0</v>
      </c>
      <c r="BD124" s="57">
        <v>0</v>
      </c>
      <c r="BE124" s="57">
        <v>0</v>
      </c>
      <c r="BF124" s="57">
        <v>0</v>
      </c>
      <c r="BG124" s="57">
        <v>0</v>
      </c>
      <c r="BH124" s="57">
        <v>0</v>
      </c>
      <c r="BI124" s="57">
        <v>0</v>
      </c>
      <c r="BJ124" s="57">
        <v>0</v>
      </c>
      <c r="BK124" s="57">
        <v>0</v>
      </c>
      <c r="BL124" s="57">
        <v>0</v>
      </c>
      <c r="BM124" s="57">
        <v>0</v>
      </c>
      <c r="BN124" s="57">
        <v>0</v>
      </c>
      <c r="BO124" s="57">
        <v>0</v>
      </c>
      <c r="BP124" s="57">
        <v>0</v>
      </c>
      <c r="BQ124" s="57">
        <v>0</v>
      </c>
      <c r="BR124" s="57">
        <v>0</v>
      </c>
      <c r="BS124" s="57">
        <v>0</v>
      </c>
      <c r="BT124" s="57">
        <v>0</v>
      </c>
      <c r="BU124" s="57">
        <v>0</v>
      </c>
      <c r="BV124" s="57">
        <v>0</v>
      </c>
      <c r="BW124" s="57">
        <v>0</v>
      </c>
      <c r="BX124" s="57">
        <v>0</v>
      </c>
      <c r="BY124" s="57">
        <v>0</v>
      </c>
      <c r="BZ124" s="57">
        <v>0</v>
      </c>
      <c r="CA124" s="57">
        <v>0</v>
      </c>
    </row>
    <row r="125" spans="1:79" x14ac:dyDescent="0.3">
      <c r="A125" s="19"/>
      <c r="B125" s="20" t="str">
        <f t="shared" si="38"/>
        <v>14510001</v>
      </c>
      <c r="C125" s="55" t="str">
        <f t="shared" si="39"/>
        <v>4</v>
      </c>
      <c r="D125" s="55">
        <f t="shared" si="40"/>
        <v>5</v>
      </c>
      <c r="E125" s="49">
        <v>1</v>
      </c>
      <c r="F125" s="20">
        <v>1</v>
      </c>
      <c r="G125" s="20">
        <v>5</v>
      </c>
      <c r="H125" s="20" t="str">
        <f t="shared" si="41"/>
        <v>Item_Name_14510001</v>
      </c>
      <c r="I125" s="20" t="s">
        <v>570</v>
      </c>
      <c r="J125" s="20">
        <v>10104001</v>
      </c>
      <c r="K125" s="20">
        <v>1</v>
      </c>
      <c r="L125" s="20">
        <v>0</v>
      </c>
      <c r="M125" s="20">
        <v>0</v>
      </c>
      <c r="N125" s="20">
        <v>15</v>
      </c>
      <c r="O125" s="20">
        <v>100</v>
      </c>
      <c r="P125" s="20">
        <v>1</v>
      </c>
      <c r="Q125" s="20" t="s">
        <v>311</v>
      </c>
      <c r="R125" s="20" t="s">
        <v>171</v>
      </c>
      <c r="S125" s="20" t="s">
        <v>325</v>
      </c>
      <c r="T125" s="20" t="s">
        <v>400</v>
      </c>
      <c r="U125" s="20">
        <v>0</v>
      </c>
      <c r="V125" s="20">
        <v>0</v>
      </c>
      <c r="W125" s="20">
        <v>17</v>
      </c>
      <c r="X125" s="20">
        <v>11</v>
      </c>
      <c r="Y125" s="20">
        <v>1004</v>
      </c>
      <c r="Z125" s="20">
        <v>0</v>
      </c>
      <c r="AA125" s="20">
        <v>0</v>
      </c>
      <c r="AB125" s="20">
        <v>0</v>
      </c>
      <c r="AC125" s="20">
        <v>0</v>
      </c>
      <c r="AD125" s="20">
        <v>0</v>
      </c>
      <c r="AE125" s="39">
        <v>0</v>
      </c>
      <c r="AF125" s="31">
        <v>0</v>
      </c>
      <c r="AG125" s="20">
        <v>0</v>
      </c>
      <c r="AH125" s="20">
        <v>0</v>
      </c>
      <c r="AI125" s="20">
        <v>0</v>
      </c>
      <c r="AJ125" s="20">
        <v>0</v>
      </c>
      <c r="AK125" s="20">
        <v>0</v>
      </c>
      <c r="AL125" s="20">
        <v>0</v>
      </c>
      <c r="AM125" s="20">
        <v>0</v>
      </c>
      <c r="AN125" s="20">
        <v>0</v>
      </c>
      <c r="AO125" s="20">
        <v>0</v>
      </c>
      <c r="AP125" s="20">
        <v>0</v>
      </c>
      <c r="AQ125" s="20">
        <v>0</v>
      </c>
      <c r="AR125" s="20">
        <v>0</v>
      </c>
      <c r="AS125" s="20">
        <v>0</v>
      </c>
      <c r="AT125" s="20">
        <v>0</v>
      </c>
      <c r="AU125" s="20">
        <v>0</v>
      </c>
      <c r="AV125" s="20">
        <v>0</v>
      </c>
      <c r="AW125" s="20">
        <v>0</v>
      </c>
      <c r="AX125" s="20">
        <v>0</v>
      </c>
      <c r="AY125" s="20">
        <v>0</v>
      </c>
      <c r="AZ125" s="20">
        <v>0</v>
      </c>
      <c r="BA125" s="20">
        <v>0</v>
      </c>
      <c r="BB125" s="20">
        <v>0</v>
      </c>
      <c r="BC125" s="20">
        <v>0</v>
      </c>
      <c r="BD125" s="20">
        <v>0</v>
      </c>
      <c r="BE125" s="20">
        <v>0</v>
      </c>
      <c r="BF125" s="20">
        <v>0</v>
      </c>
      <c r="BG125" s="20">
        <v>0</v>
      </c>
      <c r="BH125" s="20">
        <v>0</v>
      </c>
      <c r="BI125" s="20">
        <v>0</v>
      </c>
      <c r="BJ125" s="20">
        <v>0</v>
      </c>
      <c r="BK125" s="20">
        <v>0</v>
      </c>
      <c r="BL125" s="20">
        <v>0</v>
      </c>
      <c r="BM125" s="20">
        <v>0</v>
      </c>
      <c r="BN125" s="20">
        <v>0</v>
      </c>
      <c r="BO125" s="20">
        <v>0</v>
      </c>
      <c r="BP125" s="20">
        <v>0</v>
      </c>
      <c r="BQ125" s="20">
        <v>0</v>
      </c>
      <c r="BR125" s="20">
        <v>0</v>
      </c>
      <c r="BS125" s="20">
        <v>0</v>
      </c>
      <c r="BT125" s="20">
        <v>0</v>
      </c>
      <c r="BU125" s="20">
        <v>0</v>
      </c>
      <c r="BV125" s="20">
        <v>0</v>
      </c>
      <c r="BW125" s="20">
        <v>0</v>
      </c>
      <c r="BX125" s="20">
        <v>0</v>
      </c>
      <c r="BY125" s="20">
        <v>0</v>
      </c>
      <c r="BZ125" s="20">
        <v>0</v>
      </c>
      <c r="CA125" s="20">
        <v>0</v>
      </c>
    </row>
    <row r="126" spans="1:79" x14ac:dyDescent="0.3">
      <c r="A126" s="19"/>
      <c r="B126" s="20" t="str">
        <f t="shared" si="38"/>
        <v>14520001</v>
      </c>
      <c r="C126" s="55" t="str">
        <f t="shared" ref="C126:C128" si="54">IF(J126&gt;0,MID(J126,5, 1), 0)</f>
        <v>4</v>
      </c>
      <c r="D126" s="55">
        <f t="shared" ref="D126:D128" si="55">IF(G126&lt;100, G126, G126-100)</f>
        <v>5</v>
      </c>
      <c r="E126" s="49">
        <v>1</v>
      </c>
      <c r="F126" s="57">
        <v>1</v>
      </c>
      <c r="G126" s="57">
        <v>5</v>
      </c>
      <c r="H126" s="57" t="str">
        <f t="shared" si="41"/>
        <v>Item_Name_14520001</v>
      </c>
      <c r="I126" s="57" t="s">
        <v>571</v>
      </c>
      <c r="J126" s="57">
        <v>10104001</v>
      </c>
      <c r="K126" s="57">
        <v>2</v>
      </c>
      <c r="L126" s="57">
        <v>0</v>
      </c>
      <c r="M126" s="57">
        <v>0</v>
      </c>
      <c r="N126" s="57">
        <v>15</v>
      </c>
      <c r="O126" s="57">
        <v>100</v>
      </c>
      <c r="P126" s="57">
        <v>1</v>
      </c>
      <c r="Q126" s="57" t="s">
        <v>752</v>
      </c>
      <c r="R126" s="57" t="s">
        <v>542</v>
      </c>
      <c r="S126" s="57" t="s">
        <v>325</v>
      </c>
      <c r="T126" s="57" t="s">
        <v>400</v>
      </c>
      <c r="U126" s="57">
        <v>0</v>
      </c>
      <c r="V126" s="57">
        <v>0</v>
      </c>
      <c r="W126" s="57">
        <v>17</v>
      </c>
      <c r="X126" s="57">
        <v>13</v>
      </c>
      <c r="Y126" s="57">
        <v>1004</v>
      </c>
      <c r="Z126" s="57">
        <v>1006</v>
      </c>
      <c r="AA126" s="57">
        <v>0</v>
      </c>
      <c r="AB126" s="57">
        <v>0</v>
      </c>
      <c r="AC126" s="57">
        <v>0</v>
      </c>
      <c r="AD126" s="57">
        <v>0</v>
      </c>
      <c r="AE126" s="58">
        <v>0</v>
      </c>
      <c r="AF126" s="30">
        <v>0</v>
      </c>
      <c r="AG126" s="57">
        <v>0</v>
      </c>
      <c r="AH126" s="57">
        <v>0</v>
      </c>
      <c r="AI126" s="57">
        <v>0</v>
      </c>
      <c r="AJ126" s="57">
        <v>0</v>
      </c>
      <c r="AK126" s="57">
        <v>0</v>
      </c>
      <c r="AL126" s="57">
        <v>0</v>
      </c>
      <c r="AM126" s="57">
        <v>0</v>
      </c>
      <c r="AN126" s="57">
        <v>0</v>
      </c>
      <c r="AO126" s="57">
        <v>0</v>
      </c>
      <c r="AP126" s="57">
        <v>0</v>
      </c>
      <c r="AQ126" s="57">
        <v>0</v>
      </c>
      <c r="AR126" s="57">
        <v>0</v>
      </c>
      <c r="AS126" s="57">
        <v>0</v>
      </c>
      <c r="AT126" s="57">
        <v>0</v>
      </c>
      <c r="AU126" s="57">
        <v>0</v>
      </c>
      <c r="AV126" s="57">
        <v>0</v>
      </c>
      <c r="AW126" s="57">
        <v>0</v>
      </c>
      <c r="AX126" s="57">
        <v>0</v>
      </c>
      <c r="AY126" s="57">
        <v>0</v>
      </c>
      <c r="AZ126" s="57">
        <v>0</v>
      </c>
      <c r="BA126" s="57">
        <v>0</v>
      </c>
      <c r="BB126" s="57">
        <v>0</v>
      </c>
      <c r="BC126" s="57">
        <v>0</v>
      </c>
      <c r="BD126" s="57">
        <v>0</v>
      </c>
      <c r="BE126" s="57">
        <v>0</v>
      </c>
      <c r="BF126" s="57">
        <v>0</v>
      </c>
      <c r="BG126" s="57">
        <v>0</v>
      </c>
      <c r="BH126" s="57">
        <v>0</v>
      </c>
      <c r="BI126" s="57">
        <v>0</v>
      </c>
      <c r="BJ126" s="57">
        <v>0</v>
      </c>
      <c r="BK126" s="57">
        <v>0</v>
      </c>
      <c r="BL126" s="57">
        <v>0</v>
      </c>
      <c r="BM126" s="57">
        <v>0</v>
      </c>
      <c r="BN126" s="57">
        <v>0</v>
      </c>
      <c r="BO126" s="57">
        <v>0</v>
      </c>
      <c r="BP126" s="57">
        <v>0</v>
      </c>
      <c r="BQ126" s="57">
        <v>0</v>
      </c>
      <c r="BR126" s="57">
        <v>0</v>
      </c>
      <c r="BS126" s="57">
        <v>0</v>
      </c>
      <c r="BT126" s="57">
        <v>0</v>
      </c>
      <c r="BU126" s="57">
        <v>0</v>
      </c>
      <c r="BV126" s="57">
        <v>0</v>
      </c>
      <c r="BW126" s="57">
        <v>0</v>
      </c>
      <c r="BX126" s="57">
        <v>0</v>
      </c>
      <c r="BY126" s="57">
        <v>0</v>
      </c>
      <c r="BZ126" s="57">
        <v>0</v>
      </c>
      <c r="CA126" s="57">
        <v>0</v>
      </c>
    </row>
    <row r="127" spans="1:79" x14ac:dyDescent="0.3">
      <c r="A127" s="19"/>
      <c r="B127" s="20" t="str">
        <f t="shared" si="38"/>
        <v>14530001</v>
      </c>
      <c r="C127" s="55" t="str">
        <f t="shared" si="54"/>
        <v>4</v>
      </c>
      <c r="D127" s="55">
        <f t="shared" si="55"/>
        <v>5</v>
      </c>
      <c r="E127" s="49">
        <v>1</v>
      </c>
      <c r="F127" s="57">
        <v>1</v>
      </c>
      <c r="G127" s="57">
        <v>5</v>
      </c>
      <c r="H127" s="57" t="str">
        <f t="shared" si="41"/>
        <v>Item_Name_14530001</v>
      </c>
      <c r="I127" s="57" t="s">
        <v>572</v>
      </c>
      <c r="J127" s="57">
        <v>10104001</v>
      </c>
      <c r="K127" s="57">
        <v>3</v>
      </c>
      <c r="L127" s="57">
        <v>0</v>
      </c>
      <c r="M127" s="57">
        <v>0</v>
      </c>
      <c r="N127" s="57">
        <v>15</v>
      </c>
      <c r="O127" s="57">
        <v>100</v>
      </c>
      <c r="P127" s="57">
        <v>1</v>
      </c>
      <c r="Q127" s="57" t="s">
        <v>753</v>
      </c>
      <c r="R127" s="57" t="s">
        <v>543</v>
      </c>
      <c r="S127" s="57" t="s">
        <v>325</v>
      </c>
      <c r="T127" s="57" t="s">
        <v>400</v>
      </c>
      <c r="U127" s="57">
        <v>0</v>
      </c>
      <c r="V127" s="57">
        <v>0</v>
      </c>
      <c r="W127" s="57">
        <v>17</v>
      </c>
      <c r="X127" s="57">
        <v>16</v>
      </c>
      <c r="Y127" s="57">
        <v>1004</v>
      </c>
      <c r="Z127" s="57">
        <v>1006</v>
      </c>
      <c r="AA127" s="57">
        <v>1106</v>
      </c>
      <c r="AB127" s="57">
        <v>0</v>
      </c>
      <c r="AC127" s="57">
        <v>0</v>
      </c>
      <c r="AD127" s="57">
        <v>0</v>
      </c>
      <c r="AE127" s="58">
        <v>0</v>
      </c>
      <c r="AF127" s="30">
        <v>0</v>
      </c>
      <c r="AG127" s="57">
        <v>0</v>
      </c>
      <c r="AH127" s="57">
        <v>0</v>
      </c>
      <c r="AI127" s="57">
        <v>0</v>
      </c>
      <c r="AJ127" s="57">
        <v>0</v>
      </c>
      <c r="AK127" s="57">
        <v>0</v>
      </c>
      <c r="AL127" s="57">
        <v>0</v>
      </c>
      <c r="AM127" s="57">
        <v>0</v>
      </c>
      <c r="AN127" s="57">
        <v>0</v>
      </c>
      <c r="AO127" s="57">
        <v>0</v>
      </c>
      <c r="AP127" s="57">
        <v>0</v>
      </c>
      <c r="AQ127" s="57">
        <v>0</v>
      </c>
      <c r="AR127" s="57">
        <v>0</v>
      </c>
      <c r="AS127" s="57">
        <v>0</v>
      </c>
      <c r="AT127" s="57">
        <v>0</v>
      </c>
      <c r="AU127" s="57">
        <v>0</v>
      </c>
      <c r="AV127" s="57">
        <v>0</v>
      </c>
      <c r="AW127" s="57">
        <v>0</v>
      </c>
      <c r="AX127" s="57">
        <v>0</v>
      </c>
      <c r="AY127" s="57">
        <v>0</v>
      </c>
      <c r="AZ127" s="57">
        <v>0</v>
      </c>
      <c r="BA127" s="57">
        <v>0</v>
      </c>
      <c r="BB127" s="57">
        <v>0</v>
      </c>
      <c r="BC127" s="57">
        <v>0</v>
      </c>
      <c r="BD127" s="57">
        <v>0</v>
      </c>
      <c r="BE127" s="57">
        <v>0</v>
      </c>
      <c r="BF127" s="57">
        <v>0</v>
      </c>
      <c r="BG127" s="57">
        <v>0</v>
      </c>
      <c r="BH127" s="57">
        <v>0</v>
      </c>
      <c r="BI127" s="57">
        <v>0</v>
      </c>
      <c r="BJ127" s="57">
        <v>0</v>
      </c>
      <c r="BK127" s="57">
        <v>0</v>
      </c>
      <c r="BL127" s="57">
        <v>0</v>
      </c>
      <c r="BM127" s="57">
        <v>0</v>
      </c>
      <c r="BN127" s="57">
        <v>0</v>
      </c>
      <c r="BO127" s="57">
        <v>0</v>
      </c>
      <c r="BP127" s="57">
        <v>0</v>
      </c>
      <c r="BQ127" s="57">
        <v>0</v>
      </c>
      <c r="BR127" s="57">
        <v>0</v>
      </c>
      <c r="BS127" s="57">
        <v>0</v>
      </c>
      <c r="BT127" s="57">
        <v>0</v>
      </c>
      <c r="BU127" s="57">
        <v>0</v>
      </c>
      <c r="BV127" s="57">
        <v>0</v>
      </c>
      <c r="BW127" s="57">
        <v>0</v>
      </c>
      <c r="BX127" s="57">
        <v>0</v>
      </c>
      <c r="BY127" s="57">
        <v>0</v>
      </c>
      <c r="BZ127" s="57">
        <v>0</v>
      </c>
      <c r="CA127" s="57">
        <v>0</v>
      </c>
    </row>
    <row r="128" spans="1:79" x14ac:dyDescent="0.3">
      <c r="A128" s="19"/>
      <c r="B128" s="20" t="str">
        <f t="shared" si="38"/>
        <v>14540001</v>
      </c>
      <c r="C128" s="55" t="str">
        <f t="shared" si="54"/>
        <v>4</v>
      </c>
      <c r="D128" s="55">
        <f t="shared" si="55"/>
        <v>5</v>
      </c>
      <c r="E128" s="49">
        <v>1</v>
      </c>
      <c r="F128" s="57">
        <v>1</v>
      </c>
      <c r="G128" s="57">
        <v>5</v>
      </c>
      <c r="H128" s="57" t="str">
        <f t="shared" si="41"/>
        <v>Item_Name_14540001</v>
      </c>
      <c r="I128" s="57" t="s">
        <v>573</v>
      </c>
      <c r="J128" s="57">
        <v>10104001</v>
      </c>
      <c r="K128" s="57">
        <v>4</v>
      </c>
      <c r="L128" s="57">
        <v>0</v>
      </c>
      <c r="M128" s="57">
        <v>0</v>
      </c>
      <c r="N128" s="57">
        <v>15</v>
      </c>
      <c r="O128" s="57">
        <v>100</v>
      </c>
      <c r="P128" s="57">
        <v>1</v>
      </c>
      <c r="Q128" s="57" t="s">
        <v>754</v>
      </c>
      <c r="R128" s="57" t="s">
        <v>531</v>
      </c>
      <c r="S128" s="57" t="s">
        <v>325</v>
      </c>
      <c r="T128" s="57" t="s">
        <v>400</v>
      </c>
      <c r="U128" s="57">
        <v>0</v>
      </c>
      <c r="V128" s="57">
        <v>0</v>
      </c>
      <c r="W128" s="57">
        <v>17</v>
      </c>
      <c r="X128" s="57">
        <v>20</v>
      </c>
      <c r="Y128" s="57">
        <v>1004</v>
      </c>
      <c r="Z128" s="57">
        <v>1006</v>
      </c>
      <c r="AA128" s="57">
        <v>1106</v>
      </c>
      <c r="AB128" s="57">
        <v>1206</v>
      </c>
      <c r="AC128" s="57">
        <v>0</v>
      </c>
      <c r="AD128" s="57">
        <v>0</v>
      </c>
      <c r="AE128" s="58">
        <v>0</v>
      </c>
      <c r="AF128" s="30">
        <v>0</v>
      </c>
      <c r="AG128" s="57">
        <v>0</v>
      </c>
      <c r="AH128" s="57">
        <v>0</v>
      </c>
      <c r="AI128" s="57">
        <v>0</v>
      </c>
      <c r="AJ128" s="57">
        <v>0</v>
      </c>
      <c r="AK128" s="57">
        <v>0</v>
      </c>
      <c r="AL128" s="57">
        <v>0</v>
      </c>
      <c r="AM128" s="57">
        <v>0</v>
      </c>
      <c r="AN128" s="57">
        <v>0</v>
      </c>
      <c r="AO128" s="57">
        <v>0</v>
      </c>
      <c r="AP128" s="57">
        <v>0</v>
      </c>
      <c r="AQ128" s="57">
        <v>0</v>
      </c>
      <c r="AR128" s="57">
        <v>0</v>
      </c>
      <c r="AS128" s="57">
        <v>0</v>
      </c>
      <c r="AT128" s="57">
        <v>0</v>
      </c>
      <c r="AU128" s="57">
        <v>0</v>
      </c>
      <c r="AV128" s="57">
        <v>0</v>
      </c>
      <c r="AW128" s="57">
        <v>0</v>
      </c>
      <c r="AX128" s="57">
        <v>0</v>
      </c>
      <c r="AY128" s="57">
        <v>0</v>
      </c>
      <c r="AZ128" s="57">
        <v>0</v>
      </c>
      <c r="BA128" s="57">
        <v>0</v>
      </c>
      <c r="BB128" s="57">
        <v>0</v>
      </c>
      <c r="BC128" s="57">
        <v>0</v>
      </c>
      <c r="BD128" s="57">
        <v>0</v>
      </c>
      <c r="BE128" s="57">
        <v>0</v>
      </c>
      <c r="BF128" s="57">
        <v>0</v>
      </c>
      <c r="BG128" s="57">
        <v>0</v>
      </c>
      <c r="BH128" s="57">
        <v>0</v>
      </c>
      <c r="BI128" s="57">
        <v>0</v>
      </c>
      <c r="BJ128" s="57">
        <v>0</v>
      </c>
      <c r="BK128" s="57">
        <v>0</v>
      </c>
      <c r="BL128" s="57">
        <v>0</v>
      </c>
      <c r="BM128" s="57">
        <v>0</v>
      </c>
      <c r="BN128" s="57">
        <v>0</v>
      </c>
      <c r="BO128" s="57">
        <v>0</v>
      </c>
      <c r="BP128" s="57">
        <v>0</v>
      </c>
      <c r="BQ128" s="57">
        <v>0</v>
      </c>
      <c r="BR128" s="57">
        <v>0</v>
      </c>
      <c r="BS128" s="57">
        <v>0</v>
      </c>
      <c r="BT128" s="57">
        <v>0</v>
      </c>
      <c r="BU128" s="57">
        <v>0</v>
      </c>
      <c r="BV128" s="57">
        <v>0</v>
      </c>
      <c r="BW128" s="57">
        <v>0</v>
      </c>
      <c r="BX128" s="57">
        <v>0</v>
      </c>
      <c r="BY128" s="57">
        <v>0</v>
      </c>
      <c r="BZ128" s="57">
        <v>0</v>
      </c>
      <c r="CA128" s="57">
        <v>0</v>
      </c>
    </row>
    <row r="129" spans="1:79" x14ac:dyDescent="0.3">
      <c r="A129" s="19"/>
      <c r="B129" s="20" t="str">
        <f t="shared" si="38"/>
        <v>11610001</v>
      </c>
      <c r="C129" s="55" t="str">
        <f t="shared" si="39"/>
        <v>1</v>
      </c>
      <c r="D129" s="55">
        <f t="shared" si="40"/>
        <v>6</v>
      </c>
      <c r="E129" s="49">
        <v>1</v>
      </c>
      <c r="F129" s="20">
        <v>1</v>
      </c>
      <c r="G129" s="20">
        <v>6</v>
      </c>
      <c r="H129" s="20" t="str">
        <f t="shared" si="41"/>
        <v>Item_Name_11610001</v>
      </c>
      <c r="I129" s="20" t="s">
        <v>422</v>
      </c>
      <c r="J129" s="20">
        <v>10101001</v>
      </c>
      <c r="K129" s="20">
        <v>1</v>
      </c>
      <c r="L129" s="20">
        <v>0</v>
      </c>
      <c r="M129" s="20">
        <v>0</v>
      </c>
      <c r="N129" s="20">
        <v>15</v>
      </c>
      <c r="O129" s="20">
        <v>100</v>
      </c>
      <c r="P129" s="20">
        <v>1</v>
      </c>
      <c r="Q129" s="20" t="s">
        <v>232</v>
      </c>
      <c r="R129" s="20" t="s">
        <v>171</v>
      </c>
      <c r="S129" s="20" t="s">
        <v>326</v>
      </c>
      <c r="T129" s="20" t="s">
        <v>400</v>
      </c>
      <c r="U129" s="20">
        <v>0</v>
      </c>
      <c r="V129" s="20">
        <v>0</v>
      </c>
      <c r="W129" s="20">
        <v>17</v>
      </c>
      <c r="X129" s="20">
        <v>9</v>
      </c>
      <c r="Y129" s="20">
        <v>1004</v>
      </c>
      <c r="Z129" s="20">
        <v>0</v>
      </c>
      <c r="AA129" s="20">
        <v>0</v>
      </c>
      <c r="AB129" s="20">
        <v>0</v>
      </c>
      <c r="AC129" s="20">
        <v>0</v>
      </c>
      <c r="AD129" s="20">
        <v>0</v>
      </c>
      <c r="AE129" s="39">
        <v>0</v>
      </c>
      <c r="AF129" s="31">
        <v>0</v>
      </c>
      <c r="AG129" s="20">
        <v>0</v>
      </c>
      <c r="AH129" s="20">
        <v>0</v>
      </c>
      <c r="AI129" s="20">
        <v>0</v>
      </c>
      <c r="AJ129" s="20">
        <v>0</v>
      </c>
      <c r="AK129" s="20">
        <v>0</v>
      </c>
      <c r="AL129" s="20">
        <v>0</v>
      </c>
      <c r="AM129" s="20">
        <v>0</v>
      </c>
      <c r="AN129" s="20">
        <v>0</v>
      </c>
      <c r="AO129" s="20">
        <v>0</v>
      </c>
      <c r="AP129" s="20">
        <v>0</v>
      </c>
      <c r="AQ129" s="20">
        <v>0</v>
      </c>
      <c r="AR129" s="20">
        <v>0</v>
      </c>
      <c r="AS129" s="20">
        <v>0</v>
      </c>
      <c r="AT129" s="20">
        <v>0</v>
      </c>
      <c r="AU129" s="20">
        <v>0</v>
      </c>
      <c r="AV129" s="20">
        <v>0</v>
      </c>
      <c r="AW129" s="20">
        <v>0</v>
      </c>
      <c r="AX129" s="20">
        <v>0</v>
      </c>
      <c r="AY129" s="20">
        <v>0</v>
      </c>
      <c r="AZ129" s="20">
        <v>0</v>
      </c>
      <c r="BA129" s="20">
        <v>0</v>
      </c>
      <c r="BB129" s="20">
        <v>0</v>
      </c>
      <c r="BC129" s="20">
        <v>0</v>
      </c>
      <c r="BD129" s="20">
        <v>0</v>
      </c>
      <c r="BE129" s="20">
        <v>0</v>
      </c>
      <c r="BF129" s="20">
        <v>0</v>
      </c>
      <c r="BG129" s="20">
        <v>0</v>
      </c>
      <c r="BH129" s="20">
        <v>0</v>
      </c>
      <c r="BI129" s="20">
        <v>0</v>
      </c>
      <c r="BJ129" s="20">
        <v>0</v>
      </c>
      <c r="BK129" s="20">
        <v>0</v>
      </c>
      <c r="BL129" s="20">
        <v>0</v>
      </c>
      <c r="BM129" s="20">
        <v>0</v>
      </c>
      <c r="BN129" s="20">
        <v>0</v>
      </c>
      <c r="BO129" s="20">
        <v>0</v>
      </c>
      <c r="BP129" s="20">
        <v>0</v>
      </c>
      <c r="BQ129" s="20">
        <v>0</v>
      </c>
      <c r="BR129" s="20">
        <v>0</v>
      </c>
      <c r="BS129" s="20">
        <v>0</v>
      </c>
      <c r="BT129" s="20">
        <v>0</v>
      </c>
      <c r="BU129" s="20">
        <v>0</v>
      </c>
      <c r="BV129" s="20">
        <v>0</v>
      </c>
      <c r="BW129" s="20">
        <v>0</v>
      </c>
      <c r="BX129" s="20">
        <v>0</v>
      </c>
      <c r="BY129" s="20">
        <v>0</v>
      </c>
      <c r="BZ129" s="20">
        <v>0</v>
      </c>
      <c r="CA129" s="20">
        <v>0</v>
      </c>
    </row>
    <row r="130" spans="1:79" x14ac:dyDescent="0.3">
      <c r="A130" s="19"/>
      <c r="B130" s="20" t="str">
        <f t="shared" si="38"/>
        <v>11620001</v>
      </c>
      <c r="C130" s="55" t="str">
        <f t="shared" si="39"/>
        <v>1</v>
      </c>
      <c r="D130" s="55">
        <f t="shared" si="40"/>
        <v>6</v>
      </c>
      <c r="E130" s="49">
        <v>1</v>
      </c>
      <c r="F130" s="20">
        <v>1</v>
      </c>
      <c r="G130" s="20">
        <v>6</v>
      </c>
      <c r="H130" s="20" t="str">
        <f t="shared" si="41"/>
        <v>Item_Name_11620001</v>
      </c>
      <c r="I130" s="20" t="s">
        <v>190</v>
      </c>
      <c r="J130" s="20">
        <v>10101001</v>
      </c>
      <c r="K130" s="20">
        <v>2</v>
      </c>
      <c r="L130" s="20">
        <v>0</v>
      </c>
      <c r="M130" s="20">
        <v>0</v>
      </c>
      <c r="N130" s="20">
        <v>15</v>
      </c>
      <c r="O130" s="20">
        <v>100</v>
      </c>
      <c r="P130" s="20">
        <v>1</v>
      </c>
      <c r="Q130" s="20" t="s">
        <v>423</v>
      </c>
      <c r="R130" s="20" t="s">
        <v>256</v>
      </c>
      <c r="S130" s="20" t="s">
        <v>326</v>
      </c>
      <c r="T130" s="20" t="s">
        <v>400</v>
      </c>
      <c r="U130" s="20">
        <v>0</v>
      </c>
      <c r="V130" s="20">
        <v>0</v>
      </c>
      <c r="W130" s="20">
        <v>17</v>
      </c>
      <c r="X130" s="20">
        <v>12</v>
      </c>
      <c r="Y130" s="20">
        <v>1004</v>
      </c>
      <c r="Z130" s="20">
        <v>1005</v>
      </c>
      <c r="AA130" s="20">
        <v>0</v>
      </c>
      <c r="AB130" s="20">
        <v>0</v>
      </c>
      <c r="AC130" s="20">
        <v>0</v>
      </c>
      <c r="AD130" s="20">
        <v>0</v>
      </c>
      <c r="AE130" s="39">
        <v>0</v>
      </c>
      <c r="AF130" s="31">
        <v>0</v>
      </c>
      <c r="AG130" s="20">
        <v>0</v>
      </c>
      <c r="AH130" s="20">
        <v>0</v>
      </c>
      <c r="AI130" s="20">
        <v>0</v>
      </c>
      <c r="AJ130" s="20">
        <v>0</v>
      </c>
      <c r="AK130" s="20">
        <v>0</v>
      </c>
      <c r="AL130" s="20">
        <v>0</v>
      </c>
      <c r="AM130" s="20">
        <v>0</v>
      </c>
      <c r="AN130" s="20">
        <v>0</v>
      </c>
      <c r="AO130" s="20">
        <v>0</v>
      </c>
      <c r="AP130" s="20">
        <v>0</v>
      </c>
      <c r="AQ130" s="20">
        <v>0</v>
      </c>
      <c r="AR130" s="20">
        <v>0</v>
      </c>
      <c r="AS130" s="20">
        <v>0</v>
      </c>
      <c r="AT130" s="20">
        <v>0</v>
      </c>
      <c r="AU130" s="20">
        <v>0</v>
      </c>
      <c r="AV130" s="20">
        <v>0</v>
      </c>
      <c r="AW130" s="20">
        <v>0</v>
      </c>
      <c r="AX130" s="20">
        <v>0</v>
      </c>
      <c r="AY130" s="20">
        <v>0</v>
      </c>
      <c r="AZ130" s="20">
        <v>0</v>
      </c>
      <c r="BA130" s="20">
        <v>0</v>
      </c>
      <c r="BB130" s="20">
        <v>0</v>
      </c>
      <c r="BC130" s="20">
        <v>0</v>
      </c>
      <c r="BD130" s="20">
        <v>0</v>
      </c>
      <c r="BE130" s="20">
        <v>0</v>
      </c>
      <c r="BF130" s="20">
        <v>0</v>
      </c>
      <c r="BG130" s="20">
        <v>0</v>
      </c>
      <c r="BH130" s="20">
        <v>0</v>
      </c>
      <c r="BI130" s="20">
        <v>0</v>
      </c>
      <c r="BJ130" s="20">
        <v>0</v>
      </c>
      <c r="BK130" s="20">
        <v>0</v>
      </c>
      <c r="BL130" s="20">
        <v>0</v>
      </c>
      <c r="BM130" s="20">
        <v>0</v>
      </c>
      <c r="BN130" s="20">
        <v>0</v>
      </c>
      <c r="BO130" s="20">
        <v>0</v>
      </c>
      <c r="BP130" s="20">
        <v>0</v>
      </c>
      <c r="BQ130" s="20">
        <v>0</v>
      </c>
      <c r="BR130" s="20">
        <v>0</v>
      </c>
      <c r="BS130" s="20">
        <v>0</v>
      </c>
      <c r="BT130" s="20">
        <v>0</v>
      </c>
      <c r="BU130" s="20">
        <v>0</v>
      </c>
      <c r="BV130" s="20">
        <v>0</v>
      </c>
      <c r="BW130" s="20">
        <v>0</v>
      </c>
      <c r="BX130" s="20">
        <v>0</v>
      </c>
      <c r="BY130" s="20">
        <v>0</v>
      </c>
      <c r="BZ130" s="20">
        <v>0</v>
      </c>
      <c r="CA130" s="20">
        <v>0</v>
      </c>
    </row>
    <row r="131" spans="1:79" x14ac:dyDescent="0.3">
      <c r="A131" s="19"/>
      <c r="B131" s="20" t="str">
        <f t="shared" si="38"/>
        <v>11630001</v>
      </c>
      <c r="C131" s="55" t="str">
        <f t="shared" si="39"/>
        <v>1</v>
      </c>
      <c r="D131" s="55">
        <f t="shared" si="40"/>
        <v>6</v>
      </c>
      <c r="E131" s="49">
        <v>1</v>
      </c>
      <c r="F131" s="20">
        <v>1</v>
      </c>
      <c r="G131" s="20">
        <v>6</v>
      </c>
      <c r="H131" s="20" t="str">
        <f t="shared" si="41"/>
        <v>Item_Name_11630001</v>
      </c>
      <c r="I131" s="20" t="s">
        <v>191</v>
      </c>
      <c r="J131" s="20">
        <v>10101001</v>
      </c>
      <c r="K131" s="20">
        <v>3</v>
      </c>
      <c r="L131" s="20">
        <v>0</v>
      </c>
      <c r="M131" s="20">
        <v>0</v>
      </c>
      <c r="N131" s="20">
        <v>15</v>
      </c>
      <c r="O131" s="20">
        <v>100</v>
      </c>
      <c r="P131" s="20">
        <v>1</v>
      </c>
      <c r="Q131" s="20" t="s">
        <v>424</v>
      </c>
      <c r="R131" s="20" t="s">
        <v>257</v>
      </c>
      <c r="S131" s="20" t="s">
        <v>326</v>
      </c>
      <c r="T131" s="20" t="s">
        <v>400</v>
      </c>
      <c r="U131" s="20">
        <v>0</v>
      </c>
      <c r="V131" s="20">
        <v>0</v>
      </c>
      <c r="W131" s="20">
        <v>17</v>
      </c>
      <c r="X131" s="20">
        <v>15</v>
      </c>
      <c r="Y131" s="20">
        <v>1004</v>
      </c>
      <c r="Z131" s="20">
        <v>1005</v>
      </c>
      <c r="AA131" s="20">
        <v>1105</v>
      </c>
      <c r="AB131" s="20">
        <v>0</v>
      </c>
      <c r="AC131" s="20">
        <v>0</v>
      </c>
      <c r="AD131" s="20">
        <v>0</v>
      </c>
      <c r="AE131" s="39">
        <v>0</v>
      </c>
      <c r="AF131" s="31">
        <v>0</v>
      </c>
      <c r="AG131" s="20">
        <v>0</v>
      </c>
      <c r="AH131" s="20">
        <v>0</v>
      </c>
      <c r="AI131" s="20">
        <v>0</v>
      </c>
      <c r="AJ131" s="20">
        <v>0</v>
      </c>
      <c r="AK131" s="20">
        <v>0</v>
      </c>
      <c r="AL131" s="20">
        <v>0</v>
      </c>
      <c r="AM131" s="20">
        <v>0</v>
      </c>
      <c r="AN131" s="20">
        <v>0</v>
      </c>
      <c r="AO131" s="20">
        <v>0</v>
      </c>
      <c r="AP131" s="20">
        <v>0</v>
      </c>
      <c r="AQ131" s="20">
        <v>0</v>
      </c>
      <c r="AR131" s="20">
        <v>0</v>
      </c>
      <c r="AS131" s="20">
        <v>0</v>
      </c>
      <c r="AT131" s="20">
        <v>0</v>
      </c>
      <c r="AU131" s="20">
        <v>0</v>
      </c>
      <c r="AV131" s="20">
        <v>0</v>
      </c>
      <c r="AW131" s="20">
        <v>0</v>
      </c>
      <c r="AX131" s="20">
        <v>0</v>
      </c>
      <c r="AY131" s="20">
        <v>0</v>
      </c>
      <c r="AZ131" s="20">
        <v>0</v>
      </c>
      <c r="BA131" s="20">
        <v>0</v>
      </c>
      <c r="BB131" s="20">
        <v>0</v>
      </c>
      <c r="BC131" s="20">
        <v>0</v>
      </c>
      <c r="BD131" s="20">
        <v>0</v>
      </c>
      <c r="BE131" s="20">
        <v>0</v>
      </c>
      <c r="BF131" s="20">
        <v>0</v>
      </c>
      <c r="BG131" s="20">
        <v>0</v>
      </c>
      <c r="BH131" s="20">
        <v>0</v>
      </c>
      <c r="BI131" s="20">
        <v>0</v>
      </c>
      <c r="BJ131" s="20">
        <v>0</v>
      </c>
      <c r="BK131" s="20">
        <v>0</v>
      </c>
      <c r="BL131" s="20">
        <v>0</v>
      </c>
      <c r="BM131" s="20">
        <v>0</v>
      </c>
      <c r="BN131" s="20">
        <v>0</v>
      </c>
      <c r="BO131" s="20">
        <v>0</v>
      </c>
      <c r="BP131" s="20">
        <v>0</v>
      </c>
      <c r="BQ131" s="20">
        <v>0</v>
      </c>
      <c r="BR131" s="20">
        <v>0</v>
      </c>
      <c r="BS131" s="20">
        <v>0</v>
      </c>
      <c r="BT131" s="20">
        <v>0</v>
      </c>
      <c r="BU131" s="20">
        <v>0</v>
      </c>
      <c r="BV131" s="20">
        <v>0</v>
      </c>
      <c r="BW131" s="20">
        <v>0</v>
      </c>
      <c r="BX131" s="20">
        <v>0</v>
      </c>
      <c r="BY131" s="20">
        <v>0</v>
      </c>
      <c r="BZ131" s="20">
        <v>0</v>
      </c>
      <c r="CA131" s="20">
        <v>0</v>
      </c>
    </row>
    <row r="132" spans="1:79" x14ac:dyDescent="0.3">
      <c r="A132" s="19"/>
      <c r="B132" s="20" t="str">
        <f t="shared" si="38"/>
        <v>11640001</v>
      </c>
      <c r="C132" s="55" t="str">
        <f t="shared" ref="C132" si="56">IF(J132&gt;0,MID(J132,5, 1), 0)</f>
        <v>1</v>
      </c>
      <c r="D132" s="55">
        <f t="shared" ref="D132" si="57">IF(G132&lt;100, G132, G132-100)</f>
        <v>6</v>
      </c>
      <c r="E132" s="49">
        <v>1</v>
      </c>
      <c r="F132" s="57">
        <v>1</v>
      </c>
      <c r="G132" s="57">
        <v>6</v>
      </c>
      <c r="H132" s="57" t="str">
        <f t="shared" si="41"/>
        <v>Item_Name_11640001</v>
      </c>
      <c r="I132" s="57" t="s">
        <v>574</v>
      </c>
      <c r="J132" s="57">
        <v>10101001</v>
      </c>
      <c r="K132" s="57">
        <v>4</v>
      </c>
      <c r="L132" s="57">
        <v>0</v>
      </c>
      <c r="M132" s="57">
        <v>0</v>
      </c>
      <c r="N132" s="57">
        <v>15</v>
      </c>
      <c r="O132" s="57">
        <v>100</v>
      </c>
      <c r="P132" s="57">
        <v>1</v>
      </c>
      <c r="Q132" s="57" t="s">
        <v>755</v>
      </c>
      <c r="R132" s="57" t="s">
        <v>531</v>
      </c>
      <c r="S132" s="57" t="s">
        <v>326</v>
      </c>
      <c r="T132" s="57" t="s">
        <v>400</v>
      </c>
      <c r="U132" s="57">
        <v>0</v>
      </c>
      <c r="V132" s="57">
        <v>0</v>
      </c>
      <c r="W132" s="57">
        <v>17</v>
      </c>
      <c r="X132" s="57">
        <v>20</v>
      </c>
      <c r="Y132" s="57">
        <v>1004</v>
      </c>
      <c r="Z132" s="57">
        <v>1005</v>
      </c>
      <c r="AA132" s="57">
        <v>1105</v>
      </c>
      <c r="AB132" s="57">
        <v>1205</v>
      </c>
      <c r="AC132" s="57">
        <v>0</v>
      </c>
      <c r="AD132" s="57">
        <v>0</v>
      </c>
      <c r="AE132" s="58">
        <v>0</v>
      </c>
      <c r="AF132" s="30">
        <v>0</v>
      </c>
      <c r="AG132" s="57">
        <v>0</v>
      </c>
      <c r="AH132" s="57">
        <v>0</v>
      </c>
      <c r="AI132" s="57">
        <v>0</v>
      </c>
      <c r="AJ132" s="57">
        <v>0</v>
      </c>
      <c r="AK132" s="57">
        <v>0</v>
      </c>
      <c r="AL132" s="57">
        <v>0</v>
      </c>
      <c r="AM132" s="57">
        <v>0</v>
      </c>
      <c r="AN132" s="57">
        <v>0</v>
      </c>
      <c r="AO132" s="57">
        <v>0</v>
      </c>
      <c r="AP132" s="57">
        <v>0</v>
      </c>
      <c r="AQ132" s="57">
        <v>0</v>
      </c>
      <c r="AR132" s="57">
        <v>0</v>
      </c>
      <c r="AS132" s="57">
        <v>0</v>
      </c>
      <c r="AT132" s="57">
        <v>0</v>
      </c>
      <c r="AU132" s="57">
        <v>0</v>
      </c>
      <c r="AV132" s="57">
        <v>0</v>
      </c>
      <c r="AW132" s="57">
        <v>0</v>
      </c>
      <c r="AX132" s="57">
        <v>0</v>
      </c>
      <c r="AY132" s="57">
        <v>0</v>
      </c>
      <c r="AZ132" s="57">
        <v>0</v>
      </c>
      <c r="BA132" s="57">
        <v>0</v>
      </c>
      <c r="BB132" s="57">
        <v>0</v>
      </c>
      <c r="BC132" s="57">
        <v>0</v>
      </c>
      <c r="BD132" s="57">
        <v>0</v>
      </c>
      <c r="BE132" s="57">
        <v>0</v>
      </c>
      <c r="BF132" s="57">
        <v>0</v>
      </c>
      <c r="BG132" s="57">
        <v>0</v>
      </c>
      <c r="BH132" s="57">
        <v>0</v>
      </c>
      <c r="BI132" s="57">
        <v>0</v>
      </c>
      <c r="BJ132" s="57">
        <v>0</v>
      </c>
      <c r="BK132" s="57">
        <v>0</v>
      </c>
      <c r="BL132" s="57">
        <v>0</v>
      </c>
      <c r="BM132" s="57">
        <v>0</v>
      </c>
      <c r="BN132" s="57">
        <v>0</v>
      </c>
      <c r="BO132" s="57">
        <v>0</v>
      </c>
      <c r="BP132" s="57">
        <v>0</v>
      </c>
      <c r="BQ132" s="57">
        <v>0</v>
      </c>
      <c r="BR132" s="57">
        <v>0</v>
      </c>
      <c r="BS132" s="57">
        <v>0</v>
      </c>
      <c r="BT132" s="57">
        <v>0</v>
      </c>
      <c r="BU132" s="57">
        <v>0</v>
      </c>
      <c r="BV132" s="57">
        <v>0</v>
      </c>
      <c r="BW132" s="57">
        <v>0</v>
      </c>
      <c r="BX132" s="57">
        <v>0</v>
      </c>
      <c r="BY132" s="57">
        <v>0</v>
      </c>
      <c r="BZ132" s="57">
        <v>0</v>
      </c>
      <c r="CA132" s="57">
        <v>0</v>
      </c>
    </row>
    <row r="133" spans="1:79" x14ac:dyDescent="0.3">
      <c r="A133" s="19"/>
      <c r="B133" s="20" t="str">
        <f t="shared" si="38"/>
        <v>12610001</v>
      </c>
      <c r="C133" s="55" t="str">
        <f t="shared" si="39"/>
        <v>2</v>
      </c>
      <c r="D133" s="55">
        <f t="shared" si="40"/>
        <v>6</v>
      </c>
      <c r="E133" s="49">
        <v>1</v>
      </c>
      <c r="F133" s="20">
        <v>1</v>
      </c>
      <c r="G133" s="20">
        <v>6</v>
      </c>
      <c r="H133" s="20" t="str">
        <f t="shared" si="41"/>
        <v>Item_Name_12610001</v>
      </c>
      <c r="I133" s="20" t="s">
        <v>425</v>
      </c>
      <c r="J133" s="20">
        <v>10102001</v>
      </c>
      <c r="K133" s="20">
        <v>1</v>
      </c>
      <c r="L133" s="20">
        <v>0</v>
      </c>
      <c r="M133" s="20">
        <v>0</v>
      </c>
      <c r="N133" s="20">
        <v>15</v>
      </c>
      <c r="O133" s="20">
        <v>100</v>
      </c>
      <c r="P133" s="20">
        <v>1</v>
      </c>
      <c r="Q133" s="20" t="s">
        <v>233</v>
      </c>
      <c r="R133" s="20" t="s">
        <v>171</v>
      </c>
      <c r="S133" s="20" t="s">
        <v>326</v>
      </c>
      <c r="T133" s="20" t="s">
        <v>400</v>
      </c>
      <c r="U133" s="20">
        <v>0</v>
      </c>
      <c r="V133" s="20">
        <v>0</v>
      </c>
      <c r="W133" s="20">
        <v>17</v>
      </c>
      <c r="X133" s="20">
        <v>6</v>
      </c>
      <c r="Y133" s="20">
        <v>1004</v>
      </c>
      <c r="Z133" s="20">
        <v>0</v>
      </c>
      <c r="AA133" s="20">
        <v>0</v>
      </c>
      <c r="AB133" s="20">
        <v>0</v>
      </c>
      <c r="AC133" s="20">
        <v>0</v>
      </c>
      <c r="AD133" s="20">
        <v>0</v>
      </c>
      <c r="AE133" s="39">
        <v>0</v>
      </c>
      <c r="AF133" s="31">
        <v>0</v>
      </c>
      <c r="AG133" s="20">
        <v>0</v>
      </c>
      <c r="AH133" s="20">
        <v>0</v>
      </c>
      <c r="AI133" s="20">
        <v>0</v>
      </c>
      <c r="AJ133" s="20">
        <v>0</v>
      </c>
      <c r="AK133" s="20">
        <v>0</v>
      </c>
      <c r="AL133" s="20">
        <v>0</v>
      </c>
      <c r="AM133" s="20">
        <v>0</v>
      </c>
      <c r="AN133" s="20">
        <v>0</v>
      </c>
      <c r="AO133" s="20">
        <v>0</v>
      </c>
      <c r="AP133" s="20">
        <v>0</v>
      </c>
      <c r="AQ133" s="20">
        <v>0</v>
      </c>
      <c r="AR133" s="20">
        <v>0</v>
      </c>
      <c r="AS133" s="20">
        <v>0</v>
      </c>
      <c r="AT133" s="20">
        <v>0</v>
      </c>
      <c r="AU133" s="20">
        <v>0</v>
      </c>
      <c r="AV133" s="20">
        <v>0</v>
      </c>
      <c r="AW133" s="20">
        <v>0</v>
      </c>
      <c r="AX133" s="20">
        <v>0</v>
      </c>
      <c r="AY133" s="20">
        <v>0</v>
      </c>
      <c r="AZ133" s="20">
        <v>0</v>
      </c>
      <c r="BA133" s="20">
        <v>0</v>
      </c>
      <c r="BB133" s="20">
        <v>0</v>
      </c>
      <c r="BC133" s="20">
        <v>0</v>
      </c>
      <c r="BD133" s="20">
        <v>0</v>
      </c>
      <c r="BE133" s="20">
        <v>0</v>
      </c>
      <c r="BF133" s="20">
        <v>0</v>
      </c>
      <c r="BG133" s="20">
        <v>0</v>
      </c>
      <c r="BH133" s="20">
        <v>0</v>
      </c>
      <c r="BI133" s="20">
        <v>0</v>
      </c>
      <c r="BJ133" s="20">
        <v>0</v>
      </c>
      <c r="BK133" s="20">
        <v>0</v>
      </c>
      <c r="BL133" s="20">
        <v>0</v>
      </c>
      <c r="BM133" s="20">
        <v>0</v>
      </c>
      <c r="BN133" s="20">
        <v>0</v>
      </c>
      <c r="BO133" s="20">
        <v>0</v>
      </c>
      <c r="BP133" s="20">
        <v>0</v>
      </c>
      <c r="BQ133" s="20">
        <v>0</v>
      </c>
      <c r="BR133" s="20">
        <v>0</v>
      </c>
      <c r="BS133" s="20">
        <v>0</v>
      </c>
      <c r="BT133" s="20">
        <v>0</v>
      </c>
      <c r="BU133" s="20">
        <v>0</v>
      </c>
      <c r="BV133" s="20">
        <v>0</v>
      </c>
      <c r="BW133" s="20">
        <v>0</v>
      </c>
      <c r="BX133" s="20">
        <v>0</v>
      </c>
      <c r="BY133" s="20">
        <v>0</v>
      </c>
      <c r="BZ133" s="20">
        <v>0</v>
      </c>
      <c r="CA133" s="20">
        <v>0</v>
      </c>
    </row>
    <row r="134" spans="1:79" x14ac:dyDescent="0.3">
      <c r="A134" s="19"/>
      <c r="B134" s="20" t="str">
        <f t="shared" si="38"/>
        <v>12620001</v>
      </c>
      <c r="C134" s="55" t="str">
        <f t="shared" si="39"/>
        <v>2</v>
      </c>
      <c r="D134" s="55">
        <f t="shared" si="40"/>
        <v>6</v>
      </c>
      <c r="E134" s="49">
        <v>1</v>
      </c>
      <c r="F134" s="20">
        <v>1</v>
      </c>
      <c r="G134" s="20">
        <v>6</v>
      </c>
      <c r="H134" s="20" t="str">
        <f t="shared" si="41"/>
        <v>Item_Name_12620001</v>
      </c>
      <c r="I134" s="20" t="s">
        <v>192</v>
      </c>
      <c r="J134" s="20">
        <v>10102001</v>
      </c>
      <c r="K134" s="20">
        <v>2</v>
      </c>
      <c r="L134" s="20">
        <v>0</v>
      </c>
      <c r="M134" s="20">
        <v>0</v>
      </c>
      <c r="N134" s="20">
        <v>15</v>
      </c>
      <c r="O134" s="20">
        <v>100</v>
      </c>
      <c r="P134" s="20">
        <v>1</v>
      </c>
      <c r="Q134" s="20" t="s">
        <v>426</v>
      </c>
      <c r="R134" s="20" t="s">
        <v>256</v>
      </c>
      <c r="S134" s="20" t="s">
        <v>326</v>
      </c>
      <c r="T134" s="20" t="s">
        <v>400</v>
      </c>
      <c r="U134" s="20">
        <v>0</v>
      </c>
      <c r="V134" s="20">
        <v>0</v>
      </c>
      <c r="W134" s="20">
        <v>17</v>
      </c>
      <c r="X134" s="20">
        <v>8</v>
      </c>
      <c r="Y134" s="20">
        <v>1004</v>
      </c>
      <c r="Z134" s="20">
        <v>1007</v>
      </c>
      <c r="AA134" s="20">
        <v>0</v>
      </c>
      <c r="AB134" s="20">
        <v>0</v>
      </c>
      <c r="AC134" s="20">
        <v>0</v>
      </c>
      <c r="AD134" s="20">
        <v>0</v>
      </c>
      <c r="AE134" s="39">
        <v>0</v>
      </c>
      <c r="AF134" s="31">
        <v>0</v>
      </c>
      <c r="AG134" s="20">
        <v>0</v>
      </c>
      <c r="AH134" s="20">
        <v>0</v>
      </c>
      <c r="AI134" s="20">
        <v>0</v>
      </c>
      <c r="AJ134" s="20">
        <v>0</v>
      </c>
      <c r="AK134" s="20">
        <v>0</v>
      </c>
      <c r="AL134" s="20">
        <v>0</v>
      </c>
      <c r="AM134" s="20">
        <v>0</v>
      </c>
      <c r="AN134" s="20">
        <v>0</v>
      </c>
      <c r="AO134" s="20">
        <v>0</v>
      </c>
      <c r="AP134" s="20">
        <v>0</v>
      </c>
      <c r="AQ134" s="20">
        <v>0</v>
      </c>
      <c r="AR134" s="20">
        <v>0</v>
      </c>
      <c r="AS134" s="20">
        <v>0</v>
      </c>
      <c r="AT134" s="20">
        <v>0</v>
      </c>
      <c r="AU134" s="20">
        <v>0</v>
      </c>
      <c r="AV134" s="20">
        <v>0</v>
      </c>
      <c r="AW134" s="20">
        <v>0</v>
      </c>
      <c r="AX134" s="20">
        <v>0</v>
      </c>
      <c r="AY134" s="20">
        <v>0</v>
      </c>
      <c r="AZ134" s="20">
        <v>0</v>
      </c>
      <c r="BA134" s="20">
        <v>0</v>
      </c>
      <c r="BB134" s="20">
        <v>0</v>
      </c>
      <c r="BC134" s="20">
        <v>0</v>
      </c>
      <c r="BD134" s="20">
        <v>0</v>
      </c>
      <c r="BE134" s="20">
        <v>0</v>
      </c>
      <c r="BF134" s="20">
        <v>0</v>
      </c>
      <c r="BG134" s="20">
        <v>0</v>
      </c>
      <c r="BH134" s="20">
        <v>0</v>
      </c>
      <c r="BI134" s="20">
        <v>0</v>
      </c>
      <c r="BJ134" s="20">
        <v>0</v>
      </c>
      <c r="BK134" s="20">
        <v>0</v>
      </c>
      <c r="BL134" s="20">
        <v>0</v>
      </c>
      <c r="BM134" s="20">
        <v>0</v>
      </c>
      <c r="BN134" s="20">
        <v>0</v>
      </c>
      <c r="BO134" s="20">
        <v>0</v>
      </c>
      <c r="BP134" s="20">
        <v>0</v>
      </c>
      <c r="BQ134" s="20">
        <v>0</v>
      </c>
      <c r="BR134" s="20">
        <v>0</v>
      </c>
      <c r="BS134" s="20">
        <v>0</v>
      </c>
      <c r="BT134" s="20">
        <v>0</v>
      </c>
      <c r="BU134" s="20">
        <v>0</v>
      </c>
      <c r="BV134" s="20">
        <v>0</v>
      </c>
      <c r="BW134" s="20">
        <v>0</v>
      </c>
      <c r="BX134" s="20">
        <v>0</v>
      </c>
      <c r="BY134" s="20">
        <v>0</v>
      </c>
      <c r="BZ134" s="20">
        <v>0</v>
      </c>
      <c r="CA134" s="20">
        <v>0</v>
      </c>
    </row>
    <row r="135" spans="1:79" x14ac:dyDescent="0.3">
      <c r="A135" s="19"/>
      <c r="B135" s="20" t="str">
        <f t="shared" si="38"/>
        <v>12630001</v>
      </c>
      <c r="C135" s="55" t="str">
        <f t="shared" si="39"/>
        <v>2</v>
      </c>
      <c r="D135" s="55">
        <f t="shared" si="40"/>
        <v>6</v>
      </c>
      <c r="E135" s="49">
        <v>1</v>
      </c>
      <c r="F135" s="20">
        <v>1</v>
      </c>
      <c r="G135" s="20">
        <v>6</v>
      </c>
      <c r="H135" s="20" t="str">
        <f t="shared" si="41"/>
        <v>Item_Name_12630001</v>
      </c>
      <c r="I135" s="20" t="s">
        <v>193</v>
      </c>
      <c r="J135" s="20">
        <v>10102001</v>
      </c>
      <c r="K135" s="20">
        <v>3</v>
      </c>
      <c r="L135" s="20">
        <v>0</v>
      </c>
      <c r="M135" s="20">
        <v>0</v>
      </c>
      <c r="N135" s="20">
        <v>15</v>
      </c>
      <c r="O135" s="20">
        <v>100</v>
      </c>
      <c r="P135" s="20">
        <v>1</v>
      </c>
      <c r="Q135" s="20" t="s">
        <v>427</v>
      </c>
      <c r="R135" s="20" t="s">
        <v>257</v>
      </c>
      <c r="S135" s="20" t="s">
        <v>326</v>
      </c>
      <c r="T135" s="20" t="s">
        <v>400</v>
      </c>
      <c r="U135" s="20">
        <v>0</v>
      </c>
      <c r="V135" s="20">
        <v>0</v>
      </c>
      <c r="W135" s="20">
        <v>17</v>
      </c>
      <c r="X135" s="20">
        <v>10</v>
      </c>
      <c r="Y135" s="20">
        <v>1004</v>
      </c>
      <c r="Z135" s="20">
        <v>1007</v>
      </c>
      <c r="AA135" s="20">
        <v>1107</v>
      </c>
      <c r="AB135" s="20">
        <v>0</v>
      </c>
      <c r="AC135" s="20">
        <v>0</v>
      </c>
      <c r="AD135" s="20">
        <v>0</v>
      </c>
      <c r="AE135" s="39">
        <v>0</v>
      </c>
      <c r="AF135" s="31">
        <v>0</v>
      </c>
      <c r="AG135" s="20">
        <v>0</v>
      </c>
      <c r="AH135" s="20">
        <v>0</v>
      </c>
      <c r="AI135" s="20">
        <v>0</v>
      </c>
      <c r="AJ135" s="20">
        <v>0</v>
      </c>
      <c r="AK135" s="20">
        <v>0</v>
      </c>
      <c r="AL135" s="20">
        <v>0</v>
      </c>
      <c r="AM135" s="20">
        <v>0</v>
      </c>
      <c r="AN135" s="20">
        <v>0</v>
      </c>
      <c r="AO135" s="20">
        <v>0</v>
      </c>
      <c r="AP135" s="20">
        <v>0</v>
      </c>
      <c r="AQ135" s="20">
        <v>0</v>
      </c>
      <c r="AR135" s="20">
        <v>0</v>
      </c>
      <c r="AS135" s="20">
        <v>0</v>
      </c>
      <c r="AT135" s="20">
        <v>0</v>
      </c>
      <c r="AU135" s="20">
        <v>0</v>
      </c>
      <c r="AV135" s="20">
        <v>0</v>
      </c>
      <c r="AW135" s="20">
        <v>0</v>
      </c>
      <c r="AX135" s="20">
        <v>0</v>
      </c>
      <c r="AY135" s="20">
        <v>0</v>
      </c>
      <c r="AZ135" s="20">
        <v>0</v>
      </c>
      <c r="BA135" s="20">
        <v>0</v>
      </c>
      <c r="BB135" s="20">
        <v>0</v>
      </c>
      <c r="BC135" s="20">
        <v>0</v>
      </c>
      <c r="BD135" s="20">
        <v>0</v>
      </c>
      <c r="BE135" s="20">
        <v>0</v>
      </c>
      <c r="BF135" s="20">
        <v>0</v>
      </c>
      <c r="BG135" s="20">
        <v>0</v>
      </c>
      <c r="BH135" s="20">
        <v>0</v>
      </c>
      <c r="BI135" s="20">
        <v>0</v>
      </c>
      <c r="BJ135" s="20">
        <v>0</v>
      </c>
      <c r="BK135" s="20">
        <v>0</v>
      </c>
      <c r="BL135" s="20">
        <v>0</v>
      </c>
      <c r="BM135" s="20">
        <v>0</v>
      </c>
      <c r="BN135" s="20">
        <v>0</v>
      </c>
      <c r="BO135" s="20">
        <v>0</v>
      </c>
      <c r="BP135" s="20">
        <v>0</v>
      </c>
      <c r="BQ135" s="20">
        <v>0</v>
      </c>
      <c r="BR135" s="20">
        <v>0</v>
      </c>
      <c r="BS135" s="20">
        <v>0</v>
      </c>
      <c r="BT135" s="20">
        <v>0</v>
      </c>
      <c r="BU135" s="20">
        <v>0</v>
      </c>
      <c r="BV135" s="20">
        <v>0</v>
      </c>
      <c r="BW135" s="20">
        <v>0</v>
      </c>
      <c r="BX135" s="20">
        <v>0</v>
      </c>
      <c r="BY135" s="20">
        <v>0</v>
      </c>
      <c r="BZ135" s="20">
        <v>0</v>
      </c>
      <c r="CA135" s="20">
        <v>0</v>
      </c>
    </row>
    <row r="136" spans="1:79" x14ac:dyDescent="0.3">
      <c r="A136" s="19"/>
      <c r="B136" s="20" t="str">
        <f t="shared" si="38"/>
        <v>12640001</v>
      </c>
      <c r="C136" s="55" t="str">
        <f t="shared" ref="C136" si="58">IF(J136&gt;0,MID(J136,5, 1), 0)</f>
        <v>2</v>
      </c>
      <c r="D136" s="55">
        <f t="shared" ref="D136" si="59">IF(G136&lt;100, G136, G136-100)</f>
        <v>6</v>
      </c>
      <c r="E136" s="49">
        <v>1</v>
      </c>
      <c r="F136" s="57">
        <v>1</v>
      </c>
      <c r="G136" s="57">
        <v>6</v>
      </c>
      <c r="H136" s="57" t="str">
        <f t="shared" si="41"/>
        <v>Item_Name_12640001</v>
      </c>
      <c r="I136" s="57" t="s">
        <v>575</v>
      </c>
      <c r="J136" s="57">
        <v>10102001</v>
      </c>
      <c r="K136" s="57">
        <v>4</v>
      </c>
      <c r="L136" s="57">
        <v>0</v>
      </c>
      <c r="M136" s="57">
        <v>0</v>
      </c>
      <c r="N136" s="57">
        <v>15</v>
      </c>
      <c r="O136" s="57">
        <v>100</v>
      </c>
      <c r="P136" s="57">
        <v>1</v>
      </c>
      <c r="Q136" s="57" t="s">
        <v>756</v>
      </c>
      <c r="R136" s="57" t="s">
        <v>531</v>
      </c>
      <c r="S136" s="57" t="s">
        <v>326</v>
      </c>
      <c r="T136" s="57" t="s">
        <v>400</v>
      </c>
      <c r="U136" s="57">
        <v>0</v>
      </c>
      <c r="V136" s="57">
        <v>0</v>
      </c>
      <c r="W136" s="57">
        <v>17</v>
      </c>
      <c r="X136" s="57">
        <v>15</v>
      </c>
      <c r="Y136" s="57">
        <v>1004</v>
      </c>
      <c r="Z136" s="57">
        <v>1007</v>
      </c>
      <c r="AA136" s="57">
        <v>1107</v>
      </c>
      <c r="AB136" s="57">
        <v>1207</v>
      </c>
      <c r="AC136" s="57">
        <v>0</v>
      </c>
      <c r="AD136" s="57">
        <v>0</v>
      </c>
      <c r="AE136" s="58">
        <v>0</v>
      </c>
      <c r="AF136" s="30">
        <v>0</v>
      </c>
      <c r="AG136" s="57">
        <v>0</v>
      </c>
      <c r="AH136" s="57">
        <v>0</v>
      </c>
      <c r="AI136" s="57">
        <v>0</v>
      </c>
      <c r="AJ136" s="57">
        <v>0</v>
      </c>
      <c r="AK136" s="57">
        <v>0</v>
      </c>
      <c r="AL136" s="57">
        <v>0</v>
      </c>
      <c r="AM136" s="57">
        <v>0</v>
      </c>
      <c r="AN136" s="57">
        <v>0</v>
      </c>
      <c r="AO136" s="57">
        <v>0</v>
      </c>
      <c r="AP136" s="57">
        <v>0</v>
      </c>
      <c r="AQ136" s="57">
        <v>0</v>
      </c>
      <c r="AR136" s="57">
        <v>0</v>
      </c>
      <c r="AS136" s="57">
        <v>0</v>
      </c>
      <c r="AT136" s="57">
        <v>0</v>
      </c>
      <c r="AU136" s="57">
        <v>0</v>
      </c>
      <c r="AV136" s="57">
        <v>0</v>
      </c>
      <c r="AW136" s="57">
        <v>0</v>
      </c>
      <c r="AX136" s="57">
        <v>0</v>
      </c>
      <c r="AY136" s="57">
        <v>0</v>
      </c>
      <c r="AZ136" s="57">
        <v>0</v>
      </c>
      <c r="BA136" s="57">
        <v>0</v>
      </c>
      <c r="BB136" s="57">
        <v>0</v>
      </c>
      <c r="BC136" s="57">
        <v>0</v>
      </c>
      <c r="BD136" s="57">
        <v>0</v>
      </c>
      <c r="BE136" s="57">
        <v>0</v>
      </c>
      <c r="BF136" s="57">
        <v>0</v>
      </c>
      <c r="BG136" s="57">
        <v>0</v>
      </c>
      <c r="BH136" s="57">
        <v>0</v>
      </c>
      <c r="BI136" s="57">
        <v>0</v>
      </c>
      <c r="BJ136" s="57">
        <v>0</v>
      </c>
      <c r="BK136" s="57">
        <v>0</v>
      </c>
      <c r="BL136" s="57">
        <v>0</v>
      </c>
      <c r="BM136" s="57">
        <v>0</v>
      </c>
      <c r="BN136" s="57">
        <v>0</v>
      </c>
      <c r="BO136" s="57">
        <v>0</v>
      </c>
      <c r="BP136" s="57">
        <v>0</v>
      </c>
      <c r="BQ136" s="57">
        <v>0</v>
      </c>
      <c r="BR136" s="57">
        <v>0</v>
      </c>
      <c r="BS136" s="57">
        <v>0</v>
      </c>
      <c r="BT136" s="57">
        <v>0</v>
      </c>
      <c r="BU136" s="57">
        <v>0</v>
      </c>
      <c r="BV136" s="57">
        <v>0</v>
      </c>
      <c r="BW136" s="57">
        <v>0</v>
      </c>
      <c r="BX136" s="57">
        <v>0</v>
      </c>
      <c r="BY136" s="57">
        <v>0</v>
      </c>
      <c r="BZ136" s="57">
        <v>0</v>
      </c>
      <c r="CA136" s="57">
        <v>0</v>
      </c>
    </row>
    <row r="137" spans="1:79" x14ac:dyDescent="0.3">
      <c r="A137" s="19"/>
      <c r="B137" s="20" t="str">
        <f t="shared" si="38"/>
        <v>13610001</v>
      </c>
      <c r="C137" s="55" t="str">
        <f t="shared" si="39"/>
        <v>3</v>
      </c>
      <c r="D137" s="55">
        <f t="shared" si="40"/>
        <v>6</v>
      </c>
      <c r="E137" s="49">
        <v>1</v>
      </c>
      <c r="F137" s="20">
        <v>1</v>
      </c>
      <c r="G137" s="20">
        <v>6</v>
      </c>
      <c r="H137" s="20" t="str">
        <f t="shared" si="41"/>
        <v>Item_Name_13610001</v>
      </c>
      <c r="I137" s="20" t="s">
        <v>699</v>
      </c>
      <c r="J137" s="20">
        <v>10103001</v>
      </c>
      <c r="K137" s="20">
        <v>1</v>
      </c>
      <c r="L137" s="20">
        <v>0</v>
      </c>
      <c r="M137" s="20">
        <v>0</v>
      </c>
      <c r="N137" s="20">
        <v>15</v>
      </c>
      <c r="O137" s="20">
        <v>100</v>
      </c>
      <c r="P137" s="20">
        <v>1</v>
      </c>
      <c r="Q137" s="20" t="s">
        <v>305</v>
      </c>
      <c r="R137" s="20" t="s">
        <v>171</v>
      </c>
      <c r="S137" s="20" t="s">
        <v>326</v>
      </c>
      <c r="T137" s="20" t="s">
        <v>400</v>
      </c>
      <c r="U137" s="20">
        <v>0</v>
      </c>
      <c r="V137" s="20">
        <v>0</v>
      </c>
      <c r="W137" s="20">
        <v>17</v>
      </c>
      <c r="X137" s="20">
        <v>5</v>
      </c>
      <c r="Y137" s="20">
        <v>1004</v>
      </c>
      <c r="Z137" s="20">
        <v>0</v>
      </c>
      <c r="AA137" s="20">
        <v>0</v>
      </c>
      <c r="AB137" s="20">
        <v>0</v>
      </c>
      <c r="AC137" s="20">
        <v>0</v>
      </c>
      <c r="AD137" s="20">
        <v>0</v>
      </c>
      <c r="AE137" s="39">
        <v>0</v>
      </c>
      <c r="AF137" s="31">
        <v>0</v>
      </c>
      <c r="AG137" s="20">
        <v>0</v>
      </c>
      <c r="AH137" s="20">
        <v>0</v>
      </c>
      <c r="AI137" s="20">
        <v>0</v>
      </c>
      <c r="AJ137" s="20">
        <v>0</v>
      </c>
      <c r="AK137" s="20">
        <v>0</v>
      </c>
      <c r="AL137" s="20">
        <v>0</v>
      </c>
      <c r="AM137" s="20">
        <v>0</v>
      </c>
      <c r="AN137" s="20">
        <v>0</v>
      </c>
      <c r="AO137" s="20">
        <v>0</v>
      </c>
      <c r="AP137" s="20">
        <v>0</v>
      </c>
      <c r="AQ137" s="20">
        <v>0</v>
      </c>
      <c r="AR137" s="20">
        <v>0</v>
      </c>
      <c r="AS137" s="20">
        <v>0</v>
      </c>
      <c r="AT137" s="20">
        <v>0</v>
      </c>
      <c r="AU137" s="20">
        <v>0</v>
      </c>
      <c r="AV137" s="20">
        <v>0</v>
      </c>
      <c r="AW137" s="20">
        <v>0</v>
      </c>
      <c r="AX137" s="20">
        <v>0</v>
      </c>
      <c r="AY137" s="20">
        <v>0</v>
      </c>
      <c r="AZ137" s="20">
        <v>0</v>
      </c>
      <c r="BA137" s="20">
        <v>0</v>
      </c>
      <c r="BB137" s="20">
        <v>0</v>
      </c>
      <c r="BC137" s="20">
        <v>0</v>
      </c>
      <c r="BD137" s="20">
        <v>0</v>
      </c>
      <c r="BE137" s="20">
        <v>0</v>
      </c>
      <c r="BF137" s="20">
        <v>0</v>
      </c>
      <c r="BG137" s="20">
        <v>0</v>
      </c>
      <c r="BH137" s="20">
        <v>0</v>
      </c>
      <c r="BI137" s="20">
        <v>0</v>
      </c>
      <c r="BJ137" s="20">
        <v>0</v>
      </c>
      <c r="BK137" s="20">
        <v>0</v>
      </c>
      <c r="BL137" s="20">
        <v>0</v>
      </c>
      <c r="BM137" s="20">
        <v>0</v>
      </c>
      <c r="BN137" s="20">
        <v>0</v>
      </c>
      <c r="BO137" s="20">
        <v>0</v>
      </c>
      <c r="BP137" s="20">
        <v>0</v>
      </c>
      <c r="BQ137" s="20">
        <v>0</v>
      </c>
      <c r="BR137" s="20">
        <v>0</v>
      </c>
      <c r="BS137" s="20">
        <v>0</v>
      </c>
      <c r="BT137" s="20">
        <v>0</v>
      </c>
      <c r="BU137" s="20">
        <v>0</v>
      </c>
      <c r="BV137" s="20">
        <v>0</v>
      </c>
      <c r="BW137" s="20">
        <v>0</v>
      </c>
      <c r="BX137" s="20">
        <v>0</v>
      </c>
      <c r="BY137" s="20">
        <v>0</v>
      </c>
      <c r="BZ137" s="20">
        <v>0</v>
      </c>
      <c r="CA137" s="20">
        <v>0</v>
      </c>
    </row>
    <row r="138" spans="1:79" x14ac:dyDescent="0.3">
      <c r="A138" s="19"/>
      <c r="B138" s="20" t="str">
        <f t="shared" si="38"/>
        <v>13620001</v>
      </c>
      <c r="C138" s="55" t="str">
        <f t="shared" ref="C138:C140" si="60">IF(J138&gt;0,MID(J138,5, 1), 0)</f>
        <v>3</v>
      </c>
      <c r="D138" s="55">
        <f t="shared" ref="D138:D140" si="61">IF(G138&lt;100, G138, G138-100)</f>
        <v>6</v>
      </c>
      <c r="E138" s="49">
        <v>1</v>
      </c>
      <c r="F138" s="57">
        <v>1</v>
      </c>
      <c r="G138" s="57">
        <v>6</v>
      </c>
      <c r="H138" s="57" t="str">
        <f t="shared" si="41"/>
        <v>Item_Name_13620001</v>
      </c>
      <c r="I138" s="57" t="s">
        <v>757</v>
      </c>
      <c r="J138" s="57">
        <v>10103001</v>
      </c>
      <c r="K138" s="57">
        <v>2</v>
      </c>
      <c r="L138" s="57">
        <v>0</v>
      </c>
      <c r="M138" s="57">
        <v>0</v>
      </c>
      <c r="N138" s="57">
        <v>15</v>
      </c>
      <c r="O138" s="57">
        <v>100</v>
      </c>
      <c r="P138" s="57">
        <v>1</v>
      </c>
      <c r="Q138" s="57" t="s">
        <v>760</v>
      </c>
      <c r="R138" s="57" t="s">
        <v>542</v>
      </c>
      <c r="S138" s="57" t="s">
        <v>326</v>
      </c>
      <c r="T138" s="57" t="s">
        <v>400</v>
      </c>
      <c r="U138" s="57">
        <v>0</v>
      </c>
      <c r="V138" s="57">
        <v>0</v>
      </c>
      <c r="W138" s="57">
        <v>17</v>
      </c>
      <c r="X138" s="57">
        <v>5</v>
      </c>
      <c r="Y138" s="57">
        <v>1004</v>
      </c>
      <c r="Z138" s="57">
        <v>1006</v>
      </c>
      <c r="AA138" s="57">
        <v>0</v>
      </c>
      <c r="AB138" s="57">
        <v>0</v>
      </c>
      <c r="AC138" s="57">
        <v>0</v>
      </c>
      <c r="AD138" s="57">
        <v>0</v>
      </c>
      <c r="AE138" s="58">
        <v>0</v>
      </c>
      <c r="AF138" s="30">
        <v>0</v>
      </c>
      <c r="AG138" s="57">
        <v>0</v>
      </c>
      <c r="AH138" s="57">
        <v>0</v>
      </c>
      <c r="AI138" s="57">
        <v>0</v>
      </c>
      <c r="AJ138" s="57">
        <v>0</v>
      </c>
      <c r="AK138" s="57">
        <v>0</v>
      </c>
      <c r="AL138" s="57">
        <v>0</v>
      </c>
      <c r="AM138" s="57">
        <v>0</v>
      </c>
      <c r="AN138" s="57">
        <v>0</v>
      </c>
      <c r="AO138" s="57">
        <v>0</v>
      </c>
      <c r="AP138" s="57">
        <v>0</v>
      </c>
      <c r="AQ138" s="57">
        <v>0</v>
      </c>
      <c r="AR138" s="57">
        <v>0</v>
      </c>
      <c r="AS138" s="57">
        <v>0</v>
      </c>
      <c r="AT138" s="57">
        <v>0</v>
      </c>
      <c r="AU138" s="57">
        <v>0</v>
      </c>
      <c r="AV138" s="57">
        <v>0</v>
      </c>
      <c r="AW138" s="57">
        <v>0</v>
      </c>
      <c r="AX138" s="57">
        <v>0</v>
      </c>
      <c r="AY138" s="57">
        <v>0</v>
      </c>
      <c r="AZ138" s="57">
        <v>0</v>
      </c>
      <c r="BA138" s="57">
        <v>0</v>
      </c>
      <c r="BB138" s="57">
        <v>0</v>
      </c>
      <c r="BC138" s="57">
        <v>0</v>
      </c>
      <c r="BD138" s="57">
        <v>0</v>
      </c>
      <c r="BE138" s="57">
        <v>0</v>
      </c>
      <c r="BF138" s="57">
        <v>0</v>
      </c>
      <c r="BG138" s="57">
        <v>0</v>
      </c>
      <c r="BH138" s="57">
        <v>0</v>
      </c>
      <c r="BI138" s="57">
        <v>0</v>
      </c>
      <c r="BJ138" s="57">
        <v>0</v>
      </c>
      <c r="BK138" s="57">
        <v>0</v>
      </c>
      <c r="BL138" s="57">
        <v>0</v>
      </c>
      <c r="BM138" s="57">
        <v>0</v>
      </c>
      <c r="BN138" s="57">
        <v>0</v>
      </c>
      <c r="BO138" s="57">
        <v>0</v>
      </c>
      <c r="BP138" s="57">
        <v>0</v>
      </c>
      <c r="BQ138" s="57">
        <v>0</v>
      </c>
      <c r="BR138" s="57">
        <v>0</v>
      </c>
      <c r="BS138" s="57">
        <v>0</v>
      </c>
      <c r="BT138" s="57">
        <v>0</v>
      </c>
      <c r="BU138" s="57">
        <v>0</v>
      </c>
      <c r="BV138" s="57">
        <v>0</v>
      </c>
      <c r="BW138" s="57">
        <v>0</v>
      </c>
      <c r="BX138" s="57">
        <v>0</v>
      </c>
      <c r="BY138" s="57">
        <v>0</v>
      </c>
      <c r="BZ138" s="57">
        <v>0</v>
      </c>
      <c r="CA138" s="57">
        <v>0</v>
      </c>
    </row>
    <row r="139" spans="1:79" x14ac:dyDescent="0.3">
      <c r="A139" s="19"/>
      <c r="B139" s="20" t="str">
        <f t="shared" si="38"/>
        <v>13630001</v>
      </c>
      <c r="C139" s="55" t="str">
        <f t="shared" si="60"/>
        <v>3</v>
      </c>
      <c r="D139" s="55">
        <f t="shared" si="61"/>
        <v>6</v>
      </c>
      <c r="E139" s="49">
        <v>1</v>
      </c>
      <c r="F139" s="57">
        <v>1</v>
      </c>
      <c r="G139" s="57">
        <v>6</v>
      </c>
      <c r="H139" s="57" t="str">
        <f t="shared" si="41"/>
        <v>Item_Name_13630001</v>
      </c>
      <c r="I139" s="57" t="s">
        <v>758</v>
      </c>
      <c r="J139" s="57">
        <v>10103001</v>
      </c>
      <c r="K139" s="57">
        <v>3</v>
      </c>
      <c r="L139" s="57">
        <v>0</v>
      </c>
      <c r="M139" s="57">
        <v>0</v>
      </c>
      <c r="N139" s="57">
        <v>15</v>
      </c>
      <c r="O139" s="57">
        <v>100</v>
      </c>
      <c r="P139" s="57">
        <v>1</v>
      </c>
      <c r="Q139" s="57" t="s">
        <v>761</v>
      </c>
      <c r="R139" s="57" t="s">
        <v>543</v>
      </c>
      <c r="S139" s="57" t="s">
        <v>326</v>
      </c>
      <c r="T139" s="57" t="s">
        <v>400</v>
      </c>
      <c r="U139" s="57">
        <v>0</v>
      </c>
      <c r="V139" s="57">
        <v>0</v>
      </c>
      <c r="W139" s="57">
        <v>17</v>
      </c>
      <c r="X139" s="57">
        <v>5</v>
      </c>
      <c r="Y139" s="57">
        <v>1004</v>
      </c>
      <c r="Z139" s="57">
        <v>1006</v>
      </c>
      <c r="AA139" s="57">
        <v>1106</v>
      </c>
      <c r="AB139" s="57">
        <v>0</v>
      </c>
      <c r="AC139" s="57">
        <v>0</v>
      </c>
      <c r="AD139" s="57">
        <v>0</v>
      </c>
      <c r="AE139" s="58">
        <v>0</v>
      </c>
      <c r="AF139" s="30">
        <v>0</v>
      </c>
      <c r="AG139" s="57">
        <v>0</v>
      </c>
      <c r="AH139" s="57">
        <v>0</v>
      </c>
      <c r="AI139" s="57">
        <v>0</v>
      </c>
      <c r="AJ139" s="57">
        <v>0</v>
      </c>
      <c r="AK139" s="57">
        <v>0</v>
      </c>
      <c r="AL139" s="57">
        <v>0</v>
      </c>
      <c r="AM139" s="57">
        <v>0</v>
      </c>
      <c r="AN139" s="57">
        <v>0</v>
      </c>
      <c r="AO139" s="57">
        <v>0</v>
      </c>
      <c r="AP139" s="57">
        <v>0</v>
      </c>
      <c r="AQ139" s="57">
        <v>0</v>
      </c>
      <c r="AR139" s="57">
        <v>0</v>
      </c>
      <c r="AS139" s="57">
        <v>0</v>
      </c>
      <c r="AT139" s="57">
        <v>0</v>
      </c>
      <c r="AU139" s="57">
        <v>0</v>
      </c>
      <c r="AV139" s="57">
        <v>0</v>
      </c>
      <c r="AW139" s="57">
        <v>0</v>
      </c>
      <c r="AX139" s="57">
        <v>0</v>
      </c>
      <c r="AY139" s="57">
        <v>0</v>
      </c>
      <c r="AZ139" s="57">
        <v>0</v>
      </c>
      <c r="BA139" s="57">
        <v>0</v>
      </c>
      <c r="BB139" s="57">
        <v>0</v>
      </c>
      <c r="BC139" s="57">
        <v>0</v>
      </c>
      <c r="BD139" s="57">
        <v>0</v>
      </c>
      <c r="BE139" s="57">
        <v>0</v>
      </c>
      <c r="BF139" s="57">
        <v>0</v>
      </c>
      <c r="BG139" s="57">
        <v>0</v>
      </c>
      <c r="BH139" s="57">
        <v>0</v>
      </c>
      <c r="BI139" s="57">
        <v>0</v>
      </c>
      <c r="BJ139" s="57">
        <v>0</v>
      </c>
      <c r="BK139" s="57">
        <v>0</v>
      </c>
      <c r="BL139" s="57">
        <v>0</v>
      </c>
      <c r="BM139" s="57">
        <v>0</v>
      </c>
      <c r="BN139" s="57">
        <v>0</v>
      </c>
      <c r="BO139" s="57">
        <v>0</v>
      </c>
      <c r="BP139" s="57">
        <v>0</v>
      </c>
      <c r="BQ139" s="57">
        <v>0</v>
      </c>
      <c r="BR139" s="57">
        <v>0</v>
      </c>
      <c r="BS139" s="57">
        <v>0</v>
      </c>
      <c r="BT139" s="57">
        <v>0</v>
      </c>
      <c r="BU139" s="57">
        <v>0</v>
      </c>
      <c r="BV139" s="57">
        <v>0</v>
      </c>
      <c r="BW139" s="57">
        <v>0</v>
      </c>
      <c r="BX139" s="57">
        <v>0</v>
      </c>
      <c r="BY139" s="57">
        <v>0</v>
      </c>
      <c r="BZ139" s="57">
        <v>0</v>
      </c>
      <c r="CA139" s="57">
        <v>0</v>
      </c>
    </row>
    <row r="140" spans="1:79" x14ac:dyDescent="0.3">
      <c r="A140" s="19"/>
      <c r="B140" s="20" t="str">
        <f t="shared" si="38"/>
        <v>13640001</v>
      </c>
      <c r="C140" s="55" t="str">
        <f t="shared" si="60"/>
        <v>3</v>
      </c>
      <c r="D140" s="55">
        <f t="shared" si="61"/>
        <v>6</v>
      </c>
      <c r="E140" s="49">
        <v>1</v>
      </c>
      <c r="F140" s="57">
        <v>1</v>
      </c>
      <c r="G140" s="57">
        <v>6</v>
      </c>
      <c r="H140" s="57" t="str">
        <f t="shared" si="41"/>
        <v>Item_Name_13640001</v>
      </c>
      <c r="I140" s="57" t="s">
        <v>759</v>
      </c>
      <c r="J140" s="57">
        <v>10103001</v>
      </c>
      <c r="K140" s="57">
        <v>4</v>
      </c>
      <c r="L140" s="57">
        <v>0</v>
      </c>
      <c r="M140" s="57">
        <v>0</v>
      </c>
      <c r="N140" s="57">
        <v>15</v>
      </c>
      <c r="O140" s="57">
        <v>100</v>
      </c>
      <c r="P140" s="57">
        <v>1</v>
      </c>
      <c r="Q140" s="57" t="s">
        <v>762</v>
      </c>
      <c r="R140" s="57" t="s">
        <v>531</v>
      </c>
      <c r="S140" s="57" t="s">
        <v>326</v>
      </c>
      <c r="T140" s="57" t="s">
        <v>400</v>
      </c>
      <c r="U140" s="57">
        <v>0</v>
      </c>
      <c r="V140" s="57">
        <v>0</v>
      </c>
      <c r="W140" s="57">
        <v>17</v>
      </c>
      <c r="X140" s="57">
        <v>5</v>
      </c>
      <c r="Y140" s="57">
        <v>1004</v>
      </c>
      <c r="Z140" s="57">
        <v>1006</v>
      </c>
      <c r="AA140" s="57">
        <v>1106</v>
      </c>
      <c r="AB140" s="57">
        <v>1206</v>
      </c>
      <c r="AC140" s="57">
        <v>0</v>
      </c>
      <c r="AD140" s="57">
        <v>0</v>
      </c>
      <c r="AE140" s="58">
        <v>0</v>
      </c>
      <c r="AF140" s="30">
        <v>0</v>
      </c>
      <c r="AG140" s="57">
        <v>0</v>
      </c>
      <c r="AH140" s="57">
        <v>0</v>
      </c>
      <c r="AI140" s="57">
        <v>0</v>
      </c>
      <c r="AJ140" s="57">
        <v>0</v>
      </c>
      <c r="AK140" s="57">
        <v>0</v>
      </c>
      <c r="AL140" s="57">
        <v>0</v>
      </c>
      <c r="AM140" s="57">
        <v>0</v>
      </c>
      <c r="AN140" s="57">
        <v>0</v>
      </c>
      <c r="AO140" s="57">
        <v>0</v>
      </c>
      <c r="AP140" s="57">
        <v>0</v>
      </c>
      <c r="AQ140" s="57">
        <v>0</v>
      </c>
      <c r="AR140" s="57">
        <v>0</v>
      </c>
      <c r="AS140" s="57">
        <v>0</v>
      </c>
      <c r="AT140" s="57">
        <v>0</v>
      </c>
      <c r="AU140" s="57">
        <v>0</v>
      </c>
      <c r="AV140" s="57">
        <v>0</v>
      </c>
      <c r="AW140" s="57">
        <v>0</v>
      </c>
      <c r="AX140" s="57">
        <v>0</v>
      </c>
      <c r="AY140" s="57">
        <v>0</v>
      </c>
      <c r="AZ140" s="57">
        <v>0</v>
      </c>
      <c r="BA140" s="57">
        <v>0</v>
      </c>
      <c r="BB140" s="57">
        <v>0</v>
      </c>
      <c r="BC140" s="57">
        <v>0</v>
      </c>
      <c r="BD140" s="57">
        <v>0</v>
      </c>
      <c r="BE140" s="57">
        <v>0</v>
      </c>
      <c r="BF140" s="57">
        <v>0</v>
      </c>
      <c r="BG140" s="57">
        <v>0</v>
      </c>
      <c r="BH140" s="57">
        <v>0</v>
      </c>
      <c r="BI140" s="57">
        <v>0</v>
      </c>
      <c r="BJ140" s="57">
        <v>0</v>
      </c>
      <c r="BK140" s="57">
        <v>0</v>
      </c>
      <c r="BL140" s="57">
        <v>0</v>
      </c>
      <c r="BM140" s="57">
        <v>0</v>
      </c>
      <c r="BN140" s="57">
        <v>0</v>
      </c>
      <c r="BO140" s="57">
        <v>0</v>
      </c>
      <c r="BP140" s="57">
        <v>0</v>
      </c>
      <c r="BQ140" s="57">
        <v>0</v>
      </c>
      <c r="BR140" s="57">
        <v>0</v>
      </c>
      <c r="BS140" s="57">
        <v>0</v>
      </c>
      <c r="BT140" s="57">
        <v>0</v>
      </c>
      <c r="BU140" s="57">
        <v>0</v>
      </c>
      <c r="BV140" s="57">
        <v>0</v>
      </c>
      <c r="BW140" s="57">
        <v>0</v>
      </c>
      <c r="BX140" s="57">
        <v>0</v>
      </c>
      <c r="BY140" s="57">
        <v>0</v>
      </c>
      <c r="BZ140" s="57">
        <v>0</v>
      </c>
      <c r="CA140" s="57">
        <v>0</v>
      </c>
    </row>
    <row r="141" spans="1:79" x14ac:dyDescent="0.3">
      <c r="A141" s="19"/>
      <c r="B141" s="20" t="str">
        <f t="shared" si="38"/>
        <v>14610001</v>
      </c>
      <c r="C141" s="55" t="str">
        <f t="shared" si="39"/>
        <v>4</v>
      </c>
      <c r="D141" s="55">
        <f t="shared" si="40"/>
        <v>6</v>
      </c>
      <c r="E141" s="49">
        <v>1</v>
      </c>
      <c r="F141" s="20">
        <v>1</v>
      </c>
      <c r="G141" s="20">
        <v>6</v>
      </c>
      <c r="H141" s="20" t="str">
        <f t="shared" si="41"/>
        <v>Item_Name_14610001</v>
      </c>
      <c r="I141" s="20" t="s">
        <v>576</v>
      </c>
      <c r="J141" s="20">
        <v>10104001</v>
      </c>
      <c r="K141" s="20">
        <v>1</v>
      </c>
      <c r="L141" s="20">
        <v>0</v>
      </c>
      <c r="M141" s="20">
        <v>0</v>
      </c>
      <c r="N141" s="20">
        <v>15</v>
      </c>
      <c r="O141" s="20">
        <v>100</v>
      </c>
      <c r="P141" s="20">
        <v>1</v>
      </c>
      <c r="Q141" s="20" t="s">
        <v>312</v>
      </c>
      <c r="R141" s="20" t="s">
        <v>171</v>
      </c>
      <c r="S141" s="20" t="s">
        <v>326</v>
      </c>
      <c r="T141" s="20" t="s">
        <v>400</v>
      </c>
      <c r="U141" s="20">
        <v>0</v>
      </c>
      <c r="V141" s="20">
        <v>0</v>
      </c>
      <c r="W141" s="20">
        <v>17</v>
      </c>
      <c r="X141" s="20">
        <v>3</v>
      </c>
      <c r="Y141" s="20">
        <v>1004</v>
      </c>
      <c r="Z141" s="20">
        <v>0</v>
      </c>
      <c r="AA141" s="20">
        <v>0</v>
      </c>
      <c r="AB141" s="20">
        <v>0</v>
      </c>
      <c r="AC141" s="20">
        <v>0</v>
      </c>
      <c r="AD141" s="20">
        <v>0</v>
      </c>
      <c r="AE141" s="39">
        <v>0</v>
      </c>
      <c r="AF141" s="31">
        <v>0</v>
      </c>
      <c r="AG141" s="20">
        <v>0</v>
      </c>
      <c r="AH141" s="20">
        <v>0</v>
      </c>
      <c r="AI141" s="20">
        <v>0</v>
      </c>
      <c r="AJ141" s="20">
        <v>0</v>
      </c>
      <c r="AK141" s="20">
        <v>0</v>
      </c>
      <c r="AL141" s="20">
        <v>0</v>
      </c>
      <c r="AM141" s="20">
        <v>0</v>
      </c>
      <c r="AN141" s="20">
        <v>0</v>
      </c>
      <c r="AO141" s="20">
        <v>0</v>
      </c>
      <c r="AP141" s="20">
        <v>0</v>
      </c>
      <c r="AQ141" s="20">
        <v>0</v>
      </c>
      <c r="AR141" s="20">
        <v>0</v>
      </c>
      <c r="AS141" s="20">
        <v>0</v>
      </c>
      <c r="AT141" s="20">
        <v>0</v>
      </c>
      <c r="AU141" s="20">
        <v>0</v>
      </c>
      <c r="AV141" s="20">
        <v>0</v>
      </c>
      <c r="AW141" s="20">
        <v>0</v>
      </c>
      <c r="AX141" s="20">
        <v>0</v>
      </c>
      <c r="AY141" s="20">
        <v>0</v>
      </c>
      <c r="AZ141" s="20">
        <v>0</v>
      </c>
      <c r="BA141" s="20">
        <v>0</v>
      </c>
      <c r="BB141" s="20">
        <v>0</v>
      </c>
      <c r="BC141" s="20">
        <v>0</v>
      </c>
      <c r="BD141" s="20">
        <v>0</v>
      </c>
      <c r="BE141" s="20">
        <v>0</v>
      </c>
      <c r="BF141" s="20">
        <v>0</v>
      </c>
      <c r="BG141" s="20">
        <v>0</v>
      </c>
      <c r="BH141" s="20">
        <v>0</v>
      </c>
      <c r="BI141" s="20">
        <v>0</v>
      </c>
      <c r="BJ141" s="20">
        <v>0</v>
      </c>
      <c r="BK141" s="20">
        <v>0</v>
      </c>
      <c r="BL141" s="20">
        <v>0</v>
      </c>
      <c r="BM141" s="20">
        <v>0</v>
      </c>
      <c r="BN141" s="20">
        <v>0</v>
      </c>
      <c r="BO141" s="20">
        <v>0</v>
      </c>
      <c r="BP141" s="20">
        <v>0</v>
      </c>
      <c r="BQ141" s="20">
        <v>0</v>
      </c>
      <c r="BR141" s="20">
        <v>0</v>
      </c>
      <c r="BS141" s="20">
        <v>0</v>
      </c>
      <c r="BT141" s="20">
        <v>0</v>
      </c>
      <c r="BU141" s="20">
        <v>0</v>
      </c>
      <c r="BV141" s="20">
        <v>0</v>
      </c>
      <c r="BW141" s="20">
        <v>0</v>
      </c>
      <c r="BX141" s="20">
        <v>0</v>
      </c>
      <c r="BY141" s="20">
        <v>0</v>
      </c>
      <c r="BZ141" s="20">
        <v>0</v>
      </c>
      <c r="CA141" s="20">
        <v>0</v>
      </c>
    </row>
    <row r="142" spans="1:79" x14ac:dyDescent="0.3">
      <c r="A142" s="19"/>
      <c r="B142" s="20" t="str">
        <f t="shared" si="38"/>
        <v>14620001</v>
      </c>
      <c r="C142" s="55" t="str">
        <f t="shared" ref="C142:C144" si="62">IF(J142&gt;0,MID(J142,5, 1), 0)</f>
        <v>4</v>
      </c>
      <c r="D142" s="55">
        <f t="shared" ref="D142:D144" si="63">IF(G142&lt;100, G142, G142-100)</f>
        <v>6</v>
      </c>
      <c r="E142" s="49">
        <v>1</v>
      </c>
      <c r="F142" s="57">
        <v>1</v>
      </c>
      <c r="G142" s="57">
        <v>6</v>
      </c>
      <c r="H142" s="57" t="str">
        <f t="shared" si="41"/>
        <v>Item_Name_14620001</v>
      </c>
      <c r="I142" s="57" t="s">
        <v>577</v>
      </c>
      <c r="J142" s="57">
        <v>10104001</v>
      </c>
      <c r="K142" s="57">
        <v>2</v>
      </c>
      <c r="L142" s="57">
        <v>0</v>
      </c>
      <c r="M142" s="57">
        <v>0</v>
      </c>
      <c r="N142" s="57">
        <v>15</v>
      </c>
      <c r="O142" s="57">
        <v>100</v>
      </c>
      <c r="P142" s="57">
        <v>1</v>
      </c>
      <c r="Q142" s="57" t="s">
        <v>763</v>
      </c>
      <c r="R142" s="57" t="s">
        <v>542</v>
      </c>
      <c r="S142" s="57" t="s">
        <v>326</v>
      </c>
      <c r="T142" s="57" t="s">
        <v>400</v>
      </c>
      <c r="U142" s="57">
        <v>0</v>
      </c>
      <c r="V142" s="57">
        <v>0</v>
      </c>
      <c r="W142" s="57">
        <v>17</v>
      </c>
      <c r="X142" s="57">
        <v>5</v>
      </c>
      <c r="Y142" s="57">
        <v>1004</v>
      </c>
      <c r="Z142" s="57">
        <v>1006</v>
      </c>
      <c r="AA142" s="57">
        <v>0</v>
      </c>
      <c r="AB142" s="57">
        <v>0</v>
      </c>
      <c r="AC142" s="57">
        <v>0</v>
      </c>
      <c r="AD142" s="57">
        <v>0</v>
      </c>
      <c r="AE142" s="58">
        <v>0</v>
      </c>
      <c r="AF142" s="30">
        <v>0</v>
      </c>
      <c r="AG142" s="57">
        <v>0</v>
      </c>
      <c r="AH142" s="57">
        <v>0</v>
      </c>
      <c r="AI142" s="57">
        <v>0</v>
      </c>
      <c r="AJ142" s="57">
        <v>0</v>
      </c>
      <c r="AK142" s="57">
        <v>0</v>
      </c>
      <c r="AL142" s="57">
        <v>0</v>
      </c>
      <c r="AM142" s="57">
        <v>0</v>
      </c>
      <c r="AN142" s="57">
        <v>0</v>
      </c>
      <c r="AO142" s="57">
        <v>0</v>
      </c>
      <c r="AP142" s="57">
        <v>0</v>
      </c>
      <c r="AQ142" s="57">
        <v>0</v>
      </c>
      <c r="AR142" s="57">
        <v>0</v>
      </c>
      <c r="AS142" s="57">
        <v>0</v>
      </c>
      <c r="AT142" s="57">
        <v>0</v>
      </c>
      <c r="AU142" s="57">
        <v>0</v>
      </c>
      <c r="AV142" s="57">
        <v>0</v>
      </c>
      <c r="AW142" s="57">
        <v>0</v>
      </c>
      <c r="AX142" s="57">
        <v>0</v>
      </c>
      <c r="AY142" s="57">
        <v>0</v>
      </c>
      <c r="AZ142" s="57">
        <v>0</v>
      </c>
      <c r="BA142" s="57">
        <v>0</v>
      </c>
      <c r="BB142" s="57">
        <v>0</v>
      </c>
      <c r="BC142" s="57">
        <v>0</v>
      </c>
      <c r="BD142" s="57">
        <v>0</v>
      </c>
      <c r="BE142" s="57">
        <v>0</v>
      </c>
      <c r="BF142" s="57">
        <v>0</v>
      </c>
      <c r="BG142" s="57">
        <v>0</v>
      </c>
      <c r="BH142" s="57">
        <v>0</v>
      </c>
      <c r="BI142" s="57">
        <v>0</v>
      </c>
      <c r="BJ142" s="57">
        <v>0</v>
      </c>
      <c r="BK142" s="57">
        <v>0</v>
      </c>
      <c r="BL142" s="57">
        <v>0</v>
      </c>
      <c r="BM142" s="57">
        <v>0</v>
      </c>
      <c r="BN142" s="57">
        <v>0</v>
      </c>
      <c r="BO142" s="57">
        <v>0</v>
      </c>
      <c r="BP142" s="57">
        <v>0</v>
      </c>
      <c r="BQ142" s="57">
        <v>0</v>
      </c>
      <c r="BR142" s="57">
        <v>0</v>
      </c>
      <c r="BS142" s="57">
        <v>0</v>
      </c>
      <c r="BT142" s="57">
        <v>0</v>
      </c>
      <c r="BU142" s="57">
        <v>0</v>
      </c>
      <c r="BV142" s="57">
        <v>0</v>
      </c>
      <c r="BW142" s="57">
        <v>0</v>
      </c>
      <c r="BX142" s="57">
        <v>0</v>
      </c>
      <c r="BY142" s="57">
        <v>0</v>
      </c>
      <c r="BZ142" s="57">
        <v>0</v>
      </c>
      <c r="CA142" s="57">
        <v>0</v>
      </c>
    </row>
    <row r="143" spans="1:79" x14ac:dyDescent="0.3">
      <c r="A143" s="19"/>
      <c r="B143" s="20" t="str">
        <f t="shared" si="38"/>
        <v>14630001</v>
      </c>
      <c r="C143" s="55" t="str">
        <f t="shared" si="62"/>
        <v>4</v>
      </c>
      <c r="D143" s="55">
        <f t="shared" si="63"/>
        <v>6</v>
      </c>
      <c r="E143" s="49">
        <v>1</v>
      </c>
      <c r="F143" s="57">
        <v>1</v>
      </c>
      <c r="G143" s="57">
        <v>6</v>
      </c>
      <c r="H143" s="57" t="str">
        <f t="shared" si="41"/>
        <v>Item_Name_14630001</v>
      </c>
      <c r="I143" s="57" t="s">
        <v>578</v>
      </c>
      <c r="J143" s="57">
        <v>10104001</v>
      </c>
      <c r="K143" s="57">
        <v>3</v>
      </c>
      <c r="L143" s="57">
        <v>0</v>
      </c>
      <c r="M143" s="57">
        <v>0</v>
      </c>
      <c r="N143" s="57">
        <v>15</v>
      </c>
      <c r="O143" s="57">
        <v>100</v>
      </c>
      <c r="P143" s="57">
        <v>1</v>
      </c>
      <c r="Q143" s="57" t="s">
        <v>764</v>
      </c>
      <c r="R143" s="57" t="s">
        <v>543</v>
      </c>
      <c r="S143" s="57" t="s">
        <v>326</v>
      </c>
      <c r="T143" s="57" t="s">
        <v>400</v>
      </c>
      <c r="U143" s="57">
        <v>0</v>
      </c>
      <c r="V143" s="57">
        <v>0</v>
      </c>
      <c r="W143" s="57">
        <v>17</v>
      </c>
      <c r="X143" s="57">
        <v>8</v>
      </c>
      <c r="Y143" s="57">
        <v>1004</v>
      </c>
      <c r="Z143" s="57">
        <v>1006</v>
      </c>
      <c r="AA143" s="57">
        <v>1106</v>
      </c>
      <c r="AB143" s="57">
        <v>0</v>
      </c>
      <c r="AC143" s="57">
        <v>0</v>
      </c>
      <c r="AD143" s="57">
        <v>0</v>
      </c>
      <c r="AE143" s="58">
        <v>0</v>
      </c>
      <c r="AF143" s="30">
        <v>0</v>
      </c>
      <c r="AG143" s="57">
        <v>0</v>
      </c>
      <c r="AH143" s="57">
        <v>0</v>
      </c>
      <c r="AI143" s="57">
        <v>0</v>
      </c>
      <c r="AJ143" s="57">
        <v>0</v>
      </c>
      <c r="AK143" s="57">
        <v>0</v>
      </c>
      <c r="AL143" s="57">
        <v>0</v>
      </c>
      <c r="AM143" s="57">
        <v>0</v>
      </c>
      <c r="AN143" s="57">
        <v>0</v>
      </c>
      <c r="AO143" s="57">
        <v>0</v>
      </c>
      <c r="AP143" s="57">
        <v>0</v>
      </c>
      <c r="AQ143" s="57">
        <v>0</v>
      </c>
      <c r="AR143" s="57">
        <v>0</v>
      </c>
      <c r="AS143" s="57">
        <v>0</v>
      </c>
      <c r="AT143" s="57">
        <v>0</v>
      </c>
      <c r="AU143" s="57">
        <v>0</v>
      </c>
      <c r="AV143" s="57">
        <v>0</v>
      </c>
      <c r="AW143" s="57">
        <v>0</v>
      </c>
      <c r="AX143" s="57">
        <v>0</v>
      </c>
      <c r="AY143" s="57">
        <v>0</v>
      </c>
      <c r="AZ143" s="57">
        <v>0</v>
      </c>
      <c r="BA143" s="57">
        <v>0</v>
      </c>
      <c r="BB143" s="57">
        <v>0</v>
      </c>
      <c r="BC143" s="57">
        <v>0</v>
      </c>
      <c r="BD143" s="57">
        <v>0</v>
      </c>
      <c r="BE143" s="57">
        <v>0</v>
      </c>
      <c r="BF143" s="57">
        <v>0</v>
      </c>
      <c r="BG143" s="57">
        <v>0</v>
      </c>
      <c r="BH143" s="57">
        <v>0</v>
      </c>
      <c r="BI143" s="57">
        <v>0</v>
      </c>
      <c r="BJ143" s="57">
        <v>0</v>
      </c>
      <c r="BK143" s="57">
        <v>0</v>
      </c>
      <c r="BL143" s="57">
        <v>0</v>
      </c>
      <c r="BM143" s="57">
        <v>0</v>
      </c>
      <c r="BN143" s="57">
        <v>0</v>
      </c>
      <c r="BO143" s="57">
        <v>0</v>
      </c>
      <c r="BP143" s="57">
        <v>0</v>
      </c>
      <c r="BQ143" s="57">
        <v>0</v>
      </c>
      <c r="BR143" s="57">
        <v>0</v>
      </c>
      <c r="BS143" s="57">
        <v>0</v>
      </c>
      <c r="BT143" s="57">
        <v>0</v>
      </c>
      <c r="BU143" s="57">
        <v>0</v>
      </c>
      <c r="BV143" s="57">
        <v>0</v>
      </c>
      <c r="BW143" s="57">
        <v>0</v>
      </c>
      <c r="BX143" s="57">
        <v>0</v>
      </c>
      <c r="BY143" s="57">
        <v>0</v>
      </c>
      <c r="BZ143" s="57">
        <v>0</v>
      </c>
      <c r="CA143" s="57">
        <v>0</v>
      </c>
    </row>
    <row r="144" spans="1:79" x14ac:dyDescent="0.3">
      <c r="A144" s="19"/>
      <c r="B144" s="20" t="str">
        <f t="shared" si="38"/>
        <v>14640001</v>
      </c>
      <c r="C144" s="55" t="str">
        <f t="shared" si="62"/>
        <v>4</v>
      </c>
      <c r="D144" s="55">
        <f t="shared" si="63"/>
        <v>6</v>
      </c>
      <c r="E144" s="49">
        <v>1</v>
      </c>
      <c r="F144" s="57">
        <v>1</v>
      </c>
      <c r="G144" s="57">
        <v>6</v>
      </c>
      <c r="H144" s="57" t="str">
        <f t="shared" si="41"/>
        <v>Item_Name_14640001</v>
      </c>
      <c r="I144" s="57" t="s">
        <v>579</v>
      </c>
      <c r="J144" s="57">
        <v>10104001</v>
      </c>
      <c r="K144" s="57">
        <v>4</v>
      </c>
      <c r="L144" s="57">
        <v>0</v>
      </c>
      <c r="M144" s="57">
        <v>0</v>
      </c>
      <c r="N144" s="57">
        <v>15</v>
      </c>
      <c r="O144" s="57">
        <v>100</v>
      </c>
      <c r="P144" s="57">
        <v>1</v>
      </c>
      <c r="Q144" s="57" t="s">
        <v>765</v>
      </c>
      <c r="R144" s="57" t="s">
        <v>531</v>
      </c>
      <c r="S144" s="57" t="s">
        <v>326</v>
      </c>
      <c r="T144" s="57" t="s">
        <v>400</v>
      </c>
      <c r="U144" s="57">
        <v>0</v>
      </c>
      <c r="V144" s="57">
        <v>0</v>
      </c>
      <c r="W144" s="57">
        <v>17</v>
      </c>
      <c r="X144" s="57">
        <v>12</v>
      </c>
      <c r="Y144" s="57">
        <v>1004</v>
      </c>
      <c r="Z144" s="57">
        <v>1006</v>
      </c>
      <c r="AA144" s="57">
        <v>1106</v>
      </c>
      <c r="AB144" s="57">
        <v>1206</v>
      </c>
      <c r="AC144" s="57">
        <v>0</v>
      </c>
      <c r="AD144" s="57">
        <v>0</v>
      </c>
      <c r="AE144" s="58">
        <v>0</v>
      </c>
      <c r="AF144" s="30">
        <v>0</v>
      </c>
      <c r="AG144" s="57">
        <v>0</v>
      </c>
      <c r="AH144" s="57">
        <v>0</v>
      </c>
      <c r="AI144" s="57">
        <v>0</v>
      </c>
      <c r="AJ144" s="57">
        <v>0</v>
      </c>
      <c r="AK144" s="57">
        <v>0</v>
      </c>
      <c r="AL144" s="57">
        <v>0</v>
      </c>
      <c r="AM144" s="57">
        <v>0</v>
      </c>
      <c r="AN144" s="57">
        <v>0</v>
      </c>
      <c r="AO144" s="57">
        <v>0</v>
      </c>
      <c r="AP144" s="57">
        <v>0</v>
      </c>
      <c r="AQ144" s="57">
        <v>0</v>
      </c>
      <c r="AR144" s="57">
        <v>0</v>
      </c>
      <c r="AS144" s="57">
        <v>0</v>
      </c>
      <c r="AT144" s="57">
        <v>0</v>
      </c>
      <c r="AU144" s="57">
        <v>0</v>
      </c>
      <c r="AV144" s="57">
        <v>0</v>
      </c>
      <c r="AW144" s="57">
        <v>0</v>
      </c>
      <c r="AX144" s="57">
        <v>0</v>
      </c>
      <c r="AY144" s="57">
        <v>0</v>
      </c>
      <c r="AZ144" s="57">
        <v>0</v>
      </c>
      <c r="BA144" s="57">
        <v>0</v>
      </c>
      <c r="BB144" s="57">
        <v>0</v>
      </c>
      <c r="BC144" s="57">
        <v>0</v>
      </c>
      <c r="BD144" s="57">
        <v>0</v>
      </c>
      <c r="BE144" s="57">
        <v>0</v>
      </c>
      <c r="BF144" s="57">
        <v>0</v>
      </c>
      <c r="BG144" s="57">
        <v>0</v>
      </c>
      <c r="BH144" s="57">
        <v>0</v>
      </c>
      <c r="BI144" s="57">
        <v>0</v>
      </c>
      <c r="BJ144" s="57">
        <v>0</v>
      </c>
      <c r="BK144" s="57">
        <v>0</v>
      </c>
      <c r="BL144" s="57">
        <v>0</v>
      </c>
      <c r="BM144" s="57">
        <v>0</v>
      </c>
      <c r="BN144" s="57">
        <v>0</v>
      </c>
      <c r="BO144" s="57">
        <v>0</v>
      </c>
      <c r="BP144" s="57">
        <v>0</v>
      </c>
      <c r="BQ144" s="57">
        <v>0</v>
      </c>
      <c r="BR144" s="57">
        <v>0</v>
      </c>
      <c r="BS144" s="57">
        <v>0</v>
      </c>
      <c r="BT144" s="57">
        <v>0</v>
      </c>
      <c r="BU144" s="57">
        <v>0</v>
      </c>
      <c r="BV144" s="57">
        <v>0</v>
      </c>
      <c r="BW144" s="57">
        <v>0</v>
      </c>
      <c r="BX144" s="57">
        <v>0</v>
      </c>
      <c r="BY144" s="57">
        <v>0</v>
      </c>
      <c r="BZ144" s="57">
        <v>0</v>
      </c>
      <c r="CA144" s="57">
        <v>0</v>
      </c>
    </row>
    <row r="145" spans="1:79" x14ac:dyDescent="0.3">
      <c r="A145" s="19"/>
      <c r="B145" s="20" t="str">
        <f t="shared" si="38"/>
        <v>11910001</v>
      </c>
      <c r="C145" s="55" t="str">
        <f t="shared" si="39"/>
        <v>1</v>
      </c>
      <c r="D145" s="55">
        <f t="shared" si="40"/>
        <v>9</v>
      </c>
      <c r="E145" s="49">
        <v>1</v>
      </c>
      <c r="F145" s="20">
        <v>1</v>
      </c>
      <c r="G145" s="20">
        <v>9</v>
      </c>
      <c r="H145" s="20" t="str">
        <f t="shared" si="41"/>
        <v>Item_Name_11910001</v>
      </c>
      <c r="I145" s="20" t="s">
        <v>487</v>
      </c>
      <c r="J145" s="20">
        <v>10101001</v>
      </c>
      <c r="K145" s="20">
        <v>1</v>
      </c>
      <c r="L145" s="20">
        <v>0</v>
      </c>
      <c r="M145" s="20">
        <v>0</v>
      </c>
      <c r="N145" s="20">
        <v>15</v>
      </c>
      <c r="O145" s="20">
        <v>100</v>
      </c>
      <c r="P145" s="20">
        <v>1</v>
      </c>
      <c r="Q145" s="20" t="s">
        <v>493</v>
      </c>
      <c r="R145" s="20" t="s">
        <v>171</v>
      </c>
      <c r="S145" s="20" t="s">
        <v>502</v>
      </c>
      <c r="T145" s="20" t="s">
        <v>400</v>
      </c>
      <c r="U145" s="20">
        <v>0</v>
      </c>
      <c r="V145" s="20">
        <v>0</v>
      </c>
      <c r="W145" s="20">
        <v>17</v>
      </c>
      <c r="X145" s="20">
        <v>9</v>
      </c>
      <c r="Y145" s="20">
        <v>1004</v>
      </c>
      <c r="Z145" s="20">
        <v>0</v>
      </c>
      <c r="AA145" s="20">
        <v>0</v>
      </c>
      <c r="AB145" s="20">
        <v>0</v>
      </c>
      <c r="AC145" s="20">
        <v>0</v>
      </c>
      <c r="AD145" s="20">
        <v>0</v>
      </c>
      <c r="AE145" s="39">
        <v>0</v>
      </c>
      <c r="AF145" s="31">
        <v>0</v>
      </c>
      <c r="AG145" s="20">
        <v>0</v>
      </c>
      <c r="AH145" s="20">
        <v>0</v>
      </c>
      <c r="AI145" s="20">
        <v>0</v>
      </c>
      <c r="AJ145" s="20">
        <v>0</v>
      </c>
      <c r="AK145" s="20">
        <v>0</v>
      </c>
      <c r="AL145" s="20">
        <v>0</v>
      </c>
      <c r="AM145" s="20">
        <v>0</v>
      </c>
      <c r="AN145" s="20">
        <v>0</v>
      </c>
      <c r="AO145" s="20">
        <v>0</v>
      </c>
      <c r="AP145" s="20">
        <v>0</v>
      </c>
      <c r="AQ145" s="20">
        <v>0</v>
      </c>
      <c r="AR145" s="20">
        <v>0</v>
      </c>
      <c r="AS145" s="20">
        <v>0</v>
      </c>
      <c r="AT145" s="20">
        <v>0</v>
      </c>
      <c r="AU145" s="20">
        <v>0</v>
      </c>
      <c r="AV145" s="20">
        <v>0</v>
      </c>
      <c r="AW145" s="20">
        <v>0</v>
      </c>
      <c r="AX145" s="20">
        <v>0</v>
      </c>
      <c r="AY145" s="20">
        <v>0</v>
      </c>
      <c r="AZ145" s="20">
        <v>0</v>
      </c>
      <c r="BA145" s="20">
        <v>0</v>
      </c>
      <c r="BB145" s="20">
        <v>0</v>
      </c>
      <c r="BC145" s="20">
        <v>0</v>
      </c>
      <c r="BD145" s="20">
        <v>0</v>
      </c>
      <c r="BE145" s="20">
        <v>0</v>
      </c>
      <c r="BF145" s="20">
        <v>0</v>
      </c>
      <c r="BG145" s="20">
        <v>0</v>
      </c>
      <c r="BH145" s="20">
        <v>0</v>
      </c>
      <c r="BI145" s="20">
        <v>0</v>
      </c>
      <c r="BJ145" s="20">
        <v>0</v>
      </c>
      <c r="BK145" s="20">
        <v>0</v>
      </c>
      <c r="BL145" s="20">
        <v>0</v>
      </c>
      <c r="BM145" s="20">
        <v>0</v>
      </c>
      <c r="BN145" s="20">
        <v>0</v>
      </c>
      <c r="BO145" s="20">
        <v>0</v>
      </c>
      <c r="BP145" s="20">
        <v>0</v>
      </c>
      <c r="BQ145" s="20">
        <v>0</v>
      </c>
      <c r="BR145" s="20">
        <v>0</v>
      </c>
      <c r="BS145" s="20">
        <v>0</v>
      </c>
      <c r="BT145" s="20">
        <v>0</v>
      </c>
      <c r="BU145" s="20">
        <v>0</v>
      </c>
      <c r="BV145" s="20">
        <v>0</v>
      </c>
      <c r="BW145" s="20">
        <v>0</v>
      </c>
      <c r="BX145" s="20">
        <v>0</v>
      </c>
      <c r="BY145" s="20">
        <v>0</v>
      </c>
      <c r="BZ145" s="20">
        <v>0</v>
      </c>
      <c r="CA145" s="20">
        <v>0</v>
      </c>
    </row>
    <row r="146" spans="1:79" x14ac:dyDescent="0.3">
      <c r="A146" s="19"/>
      <c r="B146" s="20" t="str">
        <f t="shared" si="38"/>
        <v>11920001</v>
      </c>
      <c r="C146" s="55" t="str">
        <f t="shared" si="39"/>
        <v>1</v>
      </c>
      <c r="D146" s="55">
        <f t="shared" si="40"/>
        <v>9</v>
      </c>
      <c r="E146" s="49">
        <v>1</v>
      </c>
      <c r="F146" s="20">
        <v>1</v>
      </c>
      <c r="G146" s="20">
        <v>9</v>
      </c>
      <c r="H146" s="20" t="str">
        <f t="shared" si="41"/>
        <v>Item_Name_11920001</v>
      </c>
      <c r="I146" s="20" t="s">
        <v>488</v>
      </c>
      <c r="J146" s="20">
        <v>10101001</v>
      </c>
      <c r="K146" s="20">
        <v>2</v>
      </c>
      <c r="L146" s="20">
        <v>0</v>
      </c>
      <c r="M146" s="20">
        <v>0</v>
      </c>
      <c r="N146" s="20">
        <v>15</v>
      </c>
      <c r="O146" s="20">
        <v>100</v>
      </c>
      <c r="P146" s="20">
        <v>1</v>
      </c>
      <c r="Q146" s="20" t="s">
        <v>494</v>
      </c>
      <c r="R146" s="20" t="s">
        <v>256</v>
      </c>
      <c r="S146" s="20" t="s">
        <v>502</v>
      </c>
      <c r="T146" s="20" t="s">
        <v>400</v>
      </c>
      <c r="U146" s="20">
        <v>0</v>
      </c>
      <c r="V146" s="20">
        <v>0</v>
      </c>
      <c r="W146" s="20">
        <v>17</v>
      </c>
      <c r="X146" s="20">
        <v>12</v>
      </c>
      <c r="Y146" s="20">
        <v>1004</v>
      </c>
      <c r="Z146" s="20">
        <v>1005</v>
      </c>
      <c r="AA146" s="20">
        <v>0</v>
      </c>
      <c r="AB146" s="20">
        <v>0</v>
      </c>
      <c r="AC146" s="20">
        <v>0</v>
      </c>
      <c r="AD146" s="20">
        <v>0</v>
      </c>
      <c r="AE146" s="39">
        <v>0</v>
      </c>
      <c r="AF146" s="31">
        <v>0</v>
      </c>
      <c r="AG146" s="20">
        <v>0</v>
      </c>
      <c r="AH146" s="20">
        <v>0</v>
      </c>
      <c r="AI146" s="20">
        <v>0</v>
      </c>
      <c r="AJ146" s="20">
        <v>0</v>
      </c>
      <c r="AK146" s="20">
        <v>0</v>
      </c>
      <c r="AL146" s="20">
        <v>0</v>
      </c>
      <c r="AM146" s="20">
        <v>0</v>
      </c>
      <c r="AN146" s="20">
        <v>0</v>
      </c>
      <c r="AO146" s="20">
        <v>0</v>
      </c>
      <c r="AP146" s="20">
        <v>0</v>
      </c>
      <c r="AQ146" s="20">
        <v>0</v>
      </c>
      <c r="AR146" s="20">
        <v>0</v>
      </c>
      <c r="AS146" s="20">
        <v>0</v>
      </c>
      <c r="AT146" s="20">
        <v>0</v>
      </c>
      <c r="AU146" s="20">
        <v>0</v>
      </c>
      <c r="AV146" s="20">
        <v>0</v>
      </c>
      <c r="AW146" s="20">
        <v>0</v>
      </c>
      <c r="AX146" s="20">
        <v>0</v>
      </c>
      <c r="AY146" s="20">
        <v>0</v>
      </c>
      <c r="AZ146" s="20">
        <v>0</v>
      </c>
      <c r="BA146" s="20">
        <v>0</v>
      </c>
      <c r="BB146" s="20">
        <v>0</v>
      </c>
      <c r="BC146" s="20">
        <v>0</v>
      </c>
      <c r="BD146" s="20">
        <v>0</v>
      </c>
      <c r="BE146" s="20">
        <v>0</v>
      </c>
      <c r="BF146" s="20">
        <v>0</v>
      </c>
      <c r="BG146" s="20">
        <v>0</v>
      </c>
      <c r="BH146" s="20">
        <v>0</v>
      </c>
      <c r="BI146" s="20">
        <v>0</v>
      </c>
      <c r="BJ146" s="20">
        <v>0</v>
      </c>
      <c r="BK146" s="20">
        <v>0</v>
      </c>
      <c r="BL146" s="20">
        <v>0</v>
      </c>
      <c r="BM146" s="20">
        <v>0</v>
      </c>
      <c r="BN146" s="20">
        <v>0</v>
      </c>
      <c r="BO146" s="20">
        <v>0</v>
      </c>
      <c r="BP146" s="20">
        <v>0</v>
      </c>
      <c r="BQ146" s="20">
        <v>0</v>
      </c>
      <c r="BR146" s="20">
        <v>0</v>
      </c>
      <c r="BS146" s="20">
        <v>0</v>
      </c>
      <c r="BT146" s="20">
        <v>0</v>
      </c>
      <c r="BU146" s="20">
        <v>0</v>
      </c>
      <c r="BV146" s="20">
        <v>0</v>
      </c>
      <c r="BW146" s="20">
        <v>0</v>
      </c>
      <c r="BX146" s="20">
        <v>0</v>
      </c>
      <c r="BY146" s="20">
        <v>0</v>
      </c>
      <c r="BZ146" s="20">
        <v>0</v>
      </c>
      <c r="CA146" s="20">
        <v>0</v>
      </c>
    </row>
    <row r="147" spans="1:79" x14ac:dyDescent="0.3">
      <c r="A147" s="19"/>
      <c r="B147" s="20" t="str">
        <f t="shared" si="38"/>
        <v>11930001</v>
      </c>
      <c r="C147" s="55" t="str">
        <f t="shared" si="39"/>
        <v>1</v>
      </c>
      <c r="D147" s="55">
        <f t="shared" si="40"/>
        <v>9</v>
      </c>
      <c r="E147" s="49">
        <v>1</v>
      </c>
      <c r="F147" s="20">
        <v>1</v>
      </c>
      <c r="G147" s="20">
        <v>9</v>
      </c>
      <c r="H147" s="20" t="str">
        <f t="shared" si="41"/>
        <v>Item_Name_11930001</v>
      </c>
      <c r="I147" s="20" t="s">
        <v>489</v>
      </c>
      <c r="J147" s="20">
        <v>10101001</v>
      </c>
      <c r="K147" s="20">
        <v>3</v>
      </c>
      <c r="L147" s="20">
        <v>0</v>
      </c>
      <c r="M147" s="20">
        <v>0</v>
      </c>
      <c r="N147" s="20">
        <v>15</v>
      </c>
      <c r="O147" s="20">
        <v>100</v>
      </c>
      <c r="P147" s="20">
        <v>1</v>
      </c>
      <c r="Q147" s="20" t="s">
        <v>495</v>
      </c>
      <c r="R147" s="20" t="s">
        <v>257</v>
      </c>
      <c r="S147" s="20" t="s">
        <v>502</v>
      </c>
      <c r="T147" s="20" t="s">
        <v>400</v>
      </c>
      <c r="U147" s="20">
        <v>0</v>
      </c>
      <c r="V147" s="20">
        <v>0</v>
      </c>
      <c r="W147" s="20">
        <v>17</v>
      </c>
      <c r="X147" s="20">
        <v>15</v>
      </c>
      <c r="Y147" s="20">
        <v>1004</v>
      </c>
      <c r="Z147" s="20">
        <v>1005</v>
      </c>
      <c r="AA147" s="20">
        <v>1105</v>
      </c>
      <c r="AB147" s="20">
        <v>0</v>
      </c>
      <c r="AC147" s="20">
        <v>0</v>
      </c>
      <c r="AD147" s="20">
        <v>0</v>
      </c>
      <c r="AE147" s="39">
        <v>0</v>
      </c>
      <c r="AF147" s="31">
        <v>0</v>
      </c>
      <c r="AG147" s="20">
        <v>0</v>
      </c>
      <c r="AH147" s="20">
        <v>0</v>
      </c>
      <c r="AI147" s="20">
        <v>0</v>
      </c>
      <c r="AJ147" s="20">
        <v>0</v>
      </c>
      <c r="AK147" s="20">
        <v>0</v>
      </c>
      <c r="AL147" s="20">
        <v>0</v>
      </c>
      <c r="AM147" s="20">
        <v>0</v>
      </c>
      <c r="AN147" s="20">
        <v>0</v>
      </c>
      <c r="AO147" s="20">
        <v>0</v>
      </c>
      <c r="AP147" s="20">
        <v>0</v>
      </c>
      <c r="AQ147" s="20">
        <v>0</v>
      </c>
      <c r="AR147" s="20">
        <v>0</v>
      </c>
      <c r="AS147" s="20">
        <v>0</v>
      </c>
      <c r="AT147" s="20">
        <v>0</v>
      </c>
      <c r="AU147" s="20">
        <v>0</v>
      </c>
      <c r="AV147" s="20">
        <v>0</v>
      </c>
      <c r="AW147" s="20">
        <v>0</v>
      </c>
      <c r="AX147" s="20">
        <v>0</v>
      </c>
      <c r="AY147" s="20">
        <v>0</v>
      </c>
      <c r="AZ147" s="20">
        <v>0</v>
      </c>
      <c r="BA147" s="20">
        <v>0</v>
      </c>
      <c r="BB147" s="20">
        <v>0</v>
      </c>
      <c r="BC147" s="20">
        <v>0</v>
      </c>
      <c r="BD147" s="20">
        <v>0</v>
      </c>
      <c r="BE147" s="20">
        <v>0</v>
      </c>
      <c r="BF147" s="20">
        <v>0</v>
      </c>
      <c r="BG147" s="20">
        <v>0</v>
      </c>
      <c r="BH147" s="20">
        <v>0</v>
      </c>
      <c r="BI147" s="20">
        <v>0</v>
      </c>
      <c r="BJ147" s="20">
        <v>0</v>
      </c>
      <c r="BK147" s="20">
        <v>0</v>
      </c>
      <c r="BL147" s="20">
        <v>0</v>
      </c>
      <c r="BM147" s="20">
        <v>0</v>
      </c>
      <c r="BN147" s="20">
        <v>0</v>
      </c>
      <c r="BO147" s="20">
        <v>0</v>
      </c>
      <c r="BP147" s="20">
        <v>0</v>
      </c>
      <c r="BQ147" s="20">
        <v>0</v>
      </c>
      <c r="BR147" s="20">
        <v>0</v>
      </c>
      <c r="BS147" s="20">
        <v>0</v>
      </c>
      <c r="BT147" s="20">
        <v>0</v>
      </c>
      <c r="BU147" s="20">
        <v>0</v>
      </c>
      <c r="BV147" s="20">
        <v>0</v>
      </c>
      <c r="BW147" s="20">
        <v>0</v>
      </c>
      <c r="BX147" s="20">
        <v>0</v>
      </c>
      <c r="BY147" s="20">
        <v>0</v>
      </c>
      <c r="BZ147" s="20">
        <v>0</v>
      </c>
      <c r="CA147" s="20">
        <v>0</v>
      </c>
    </row>
    <row r="148" spans="1:79" x14ac:dyDescent="0.3">
      <c r="A148" s="19"/>
      <c r="B148" s="20" t="str">
        <f t="shared" si="38"/>
        <v>11940001</v>
      </c>
      <c r="C148" s="55" t="str">
        <f t="shared" ref="C148" si="64">IF(J148&gt;0,MID(J148,5, 1), 0)</f>
        <v>1</v>
      </c>
      <c r="D148" s="55">
        <f t="shared" ref="D148" si="65">IF(G148&lt;100, G148, G148-100)</f>
        <v>9</v>
      </c>
      <c r="E148" s="49">
        <v>1</v>
      </c>
      <c r="F148" s="57">
        <v>1</v>
      </c>
      <c r="G148" s="57">
        <v>9</v>
      </c>
      <c r="H148" s="57" t="str">
        <f t="shared" si="41"/>
        <v>Item_Name_11940001</v>
      </c>
      <c r="I148" s="57" t="s">
        <v>580</v>
      </c>
      <c r="J148" s="57">
        <v>10101001</v>
      </c>
      <c r="K148" s="57">
        <v>4</v>
      </c>
      <c r="L148" s="57">
        <v>0</v>
      </c>
      <c r="M148" s="57">
        <v>0</v>
      </c>
      <c r="N148" s="57">
        <v>15</v>
      </c>
      <c r="O148" s="57">
        <v>100</v>
      </c>
      <c r="P148" s="57">
        <v>1</v>
      </c>
      <c r="Q148" s="57" t="s">
        <v>766</v>
      </c>
      <c r="R148" s="57" t="s">
        <v>531</v>
      </c>
      <c r="S148" s="57" t="s">
        <v>502</v>
      </c>
      <c r="T148" s="57" t="s">
        <v>400</v>
      </c>
      <c r="U148" s="57">
        <v>0</v>
      </c>
      <c r="V148" s="57">
        <v>0</v>
      </c>
      <c r="W148" s="57">
        <v>17</v>
      </c>
      <c r="X148" s="57">
        <v>18</v>
      </c>
      <c r="Y148" s="57">
        <v>1004</v>
      </c>
      <c r="Z148" s="57">
        <v>1005</v>
      </c>
      <c r="AA148" s="57">
        <v>1105</v>
      </c>
      <c r="AB148" s="57">
        <v>1205</v>
      </c>
      <c r="AC148" s="57">
        <v>0</v>
      </c>
      <c r="AD148" s="57">
        <v>0</v>
      </c>
      <c r="AE148" s="58">
        <v>0</v>
      </c>
      <c r="AF148" s="30">
        <v>0</v>
      </c>
      <c r="AG148" s="57">
        <v>0</v>
      </c>
      <c r="AH148" s="57">
        <v>0</v>
      </c>
      <c r="AI148" s="57">
        <v>0</v>
      </c>
      <c r="AJ148" s="57">
        <v>0</v>
      </c>
      <c r="AK148" s="57">
        <v>0</v>
      </c>
      <c r="AL148" s="57">
        <v>0</v>
      </c>
      <c r="AM148" s="57">
        <v>0</v>
      </c>
      <c r="AN148" s="57">
        <v>0</v>
      </c>
      <c r="AO148" s="57">
        <v>0</v>
      </c>
      <c r="AP148" s="57">
        <v>0</v>
      </c>
      <c r="AQ148" s="57">
        <v>0</v>
      </c>
      <c r="AR148" s="57">
        <v>0</v>
      </c>
      <c r="AS148" s="57">
        <v>0</v>
      </c>
      <c r="AT148" s="57">
        <v>0</v>
      </c>
      <c r="AU148" s="57">
        <v>0</v>
      </c>
      <c r="AV148" s="57">
        <v>0</v>
      </c>
      <c r="AW148" s="57">
        <v>0</v>
      </c>
      <c r="AX148" s="57">
        <v>0</v>
      </c>
      <c r="AY148" s="57">
        <v>0</v>
      </c>
      <c r="AZ148" s="57">
        <v>0</v>
      </c>
      <c r="BA148" s="57">
        <v>0</v>
      </c>
      <c r="BB148" s="57">
        <v>0</v>
      </c>
      <c r="BC148" s="57">
        <v>0</v>
      </c>
      <c r="BD148" s="57">
        <v>0</v>
      </c>
      <c r="BE148" s="57">
        <v>0</v>
      </c>
      <c r="BF148" s="57">
        <v>0</v>
      </c>
      <c r="BG148" s="57">
        <v>0</v>
      </c>
      <c r="BH148" s="57">
        <v>0</v>
      </c>
      <c r="BI148" s="57">
        <v>0</v>
      </c>
      <c r="BJ148" s="57">
        <v>0</v>
      </c>
      <c r="BK148" s="57">
        <v>0</v>
      </c>
      <c r="BL148" s="57">
        <v>0</v>
      </c>
      <c r="BM148" s="57">
        <v>0</v>
      </c>
      <c r="BN148" s="57">
        <v>0</v>
      </c>
      <c r="BO148" s="57">
        <v>0</v>
      </c>
      <c r="BP148" s="57">
        <v>0</v>
      </c>
      <c r="BQ148" s="57">
        <v>0</v>
      </c>
      <c r="BR148" s="57">
        <v>0</v>
      </c>
      <c r="BS148" s="57">
        <v>0</v>
      </c>
      <c r="BT148" s="57">
        <v>0</v>
      </c>
      <c r="BU148" s="57">
        <v>0</v>
      </c>
      <c r="BV148" s="57">
        <v>0</v>
      </c>
      <c r="BW148" s="57">
        <v>0</v>
      </c>
      <c r="BX148" s="57">
        <v>0</v>
      </c>
      <c r="BY148" s="57">
        <v>0</v>
      </c>
      <c r="BZ148" s="57">
        <v>0</v>
      </c>
      <c r="CA148" s="57">
        <v>0</v>
      </c>
    </row>
    <row r="149" spans="1:79" x14ac:dyDescent="0.3">
      <c r="A149" s="19"/>
      <c r="B149" s="20" t="str">
        <f t="shared" si="38"/>
        <v>12910001</v>
      </c>
      <c r="C149" s="55" t="str">
        <f t="shared" si="39"/>
        <v>2</v>
      </c>
      <c r="D149" s="55">
        <f t="shared" si="40"/>
        <v>9</v>
      </c>
      <c r="E149" s="49">
        <v>1</v>
      </c>
      <c r="F149" s="20">
        <v>1</v>
      </c>
      <c r="G149" s="20">
        <v>9</v>
      </c>
      <c r="H149" s="20" t="str">
        <f t="shared" si="41"/>
        <v>Item_Name_12910001</v>
      </c>
      <c r="I149" s="20" t="s">
        <v>490</v>
      </c>
      <c r="J149" s="20">
        <v>10102001</v>
      </c>
      <c r="K149" s="20">
        <v>1</v>
      </c>
      <c r="L149" s="20">
        <v>0</v>
      </c>
      <c r="M149" s="20">
        <v>0</v>
      </c>
      <c r="N149" s="20">
        <v>15</v>
      </c>
      <c r="O149" s="20">
        <v>100</v>
      </c>
      <c r="P149" s="20">
        <v>1</v>
      </c>
      <c r="Q149" s="20" t="s">
        <v>496</v>
      </c>
      <c r="R149" s="20" t="s">
        <v>171</v>
      </c>
      <c r="S149" s="20" t="s">
        <v>502</v>
      </c>
      <c r="T149" s="20" t="s">
        <v>400</v>
      </c>
      <c r="U149" s="20">
        <v>0</v>
      </c>
      <c r="V149" s="20">
        <v>0</v>
      </c>
      <c r="W149" s="20">
        <v>17</v>
      </c>
      <c r="X149" s="20">
        <v>6</v>
      </c>
      <c r="Y149" s="20">
        <v>1004</v>
      </c>
      <c r="Z149" s="20">
        <v>0</v>
      </c>
      <c r="AA149" s="20">
        <v>0</v>
      </c>
      <c r="AB149" s="20">
        <v>0</v>
      </c>
      <c r="AC149" s="20">
        <v>0</v>
      </c>
      <c r="AD149" s="20">
        <v>0</v>
      </c>
      <c r="AE149" s="39">
        <v>0</v>
      </c>
      <c r="AF149" s="31">
        <v>0</v>
      </c>
      <c r="AG149" s="20">
        <v>0</v>
      </c>
      <c r="AH149" s="20">
        <v>0</v>
      </c>
      <c r="AI149" s="20">
        <v>0</v>
      </c>
      <c r="AJ149" s="20">
        <v>0</v>
      </c>
      <c r="AK149" s="20">
        <v>0</v>
      </c>
      <c r="AL149" s="20">
        <v>0</v>
      </c>
      <c r="AM149" s="20">
        <v>0</v>
      </c>
      <c r="AN149" s="20">
        <v>0</v>
      </c>
      <c r="AO149" s="20">
        <v>0</v>
      </c>
      <c r="AP149" s="20">
        <v>0</v>
      </c>
      <c r="AQ149" s="20">
        <v>0</v>
      </c>
      <c r="AR149" s="20">
        <v>0</v>
      </c>
      <c r="AS149" s="20">
        <v>0</v>
      </c>
      <c r="AT149" s="20">
        <v>0</v>
      </c>
      <c r="AU149" s="20">
        <v>0</v>
      </c>
      <c r="AV149" s="20">
        <v>0</v>
      </c>
      <c r="AW149" s="20">
        <v>0</v>
      </c>
      <c r="AX149" s="20">
        <v>0</v>
      </c>
      <c r="AY149" s="20">
        <v>0</v>
      </c>
      <c r="AZ149" s="20">
        <v>0</v>
      </c>
      <c r="BA149" s="20">
        <v>0</v>
      </c>
      <c r="BB149" s="20">
        <v>0</v>
      </c>
      <c r="BC149" s="20">
        <v>0</v>
      </c>
      <c r="BD149" s="20">
        <v>0</v>
      </c>
      <c r="BE149" s="20">
        <v>0</v>
      </c>
      <c r="BF149" s="20">
        <v>0</v>
      </c>
      <c r="BG149" s="20">
        <v>0</v>
      </c>
      <c r="BH149" s="20">
        <v>0</v>
      </c>
      <c r="BI149" s="20">
        <v>0</v>
      </c>
      <c r="BJ149" s="20">
        <v>0</v>
      </c>
      <c r="BK149" s="20">
        <v>0</v>
      </c>
      <c r="BL149" s="20">
        <v>0</v>
      </c>
      <c r="BM149" s="20">
        <v>0</v>
      </c>
      <c r="BN149" s="20">
        <v>0</v>
      </c>
      <c r="BO149" s="20">
        <v>0</v>
      </c>
      <c r="BP149" s="20">
        <v>0</v>
      </c>
      <c r="BQ149" s="20">
        <v>0</v>
      </c>
      <c r="BR149" s="20">
        <v>0</v>
      </c>
      <c r="BS149" s="20">
        <v>0</v>
      </c>
      <c r="BT149" s="20">
        <v>0</v>
      </c>
      <c r="BU149" s="20">
        <v>0</v>
      </c>
      <c r="BV149" s="20">
        <v>0</v>
      </c>
      <c r="BW149" s="20">
        <v>0</v>
      </c>
      <c r="BX149" s="20">
        <v>0</v>
      </c>
      <c r="BY149" s="20">
        <v>0</v>
      </c>
      <c r="BZ149" s="20">
        <v>0</v>
      </c>
      <c r="CA149" s="20">
        <v>0</v>
      </c>
    </row>
    <row r="150" spans="1:79" x14ac:dyDescent="0.3">
      <c r="A150" s="19"/>
      <c r="B150" s="20" t="str">
        <f t="shared" si="38"/>
        <v>12920001</v>
      </c>
      <c r="C150" s="55" t="str">
        <f t="shared" si="39"/>
        <v>2</v>
      </c>
      <c r="D150" s="55">
        <f t="shared" si="40"/>
        <v>9</v>
      </c>
      <c r="E150" s="49">
        <v>1</v>
      </c>
      <c r="F150" s="20">
        <v>1</v>
      </c>
      <c r="G150" s="20">
        <v>9</v>
      </c>
      <c r="H150" s="20" t="str">
        <f t="shared" si="41"/>
        <v>Item_Name_12920001</v>
      </c>
      <c r="I150" s="20" t="s">
        <v>491</v>
      </c>
      <c r="J150" s="20">
        <v>10102001</v>
      </c>
      <c r="K150" s="20">
        <v>2</v>
      </c>
      <c r="L150" s="20">
        <v>0</v>
      </c>
      <c r="M150" s="20">
        <v>0</v>
      </c>
      <c r="N150" s="20">
        <v>15</v>
      </c>
      <c r="O150" s="20">
        <v>100</v>
      </c>
      <c r="P150" s="20">
        <v>1</v>
      </c>
      <c r="Q150" s="20" t="s">
        <v>497</v>
      </c>
      <c r="R150" s="20" t="s">
        <v>256</v>
      </c>
      <c r="S150" s="20" t="s">
        <v>502</v>
      </c>
      <c r="T150" s="20" t="s">
        <v>400</v>
      </c>
      <c r="U150" s="20">
        <v>0</v>
      </c>
      <c r="V150" s="20">
        <v>0</v>
      </c>
      <c r="W150" s="20">
        <v>17</v>
      </c>
      <c r="X150" s="20">
        <v>8</v>
      </c>
      <c r="Y150" s="20">
        <v>1004</v>
      </c>
      <c r="Z150" s="20">
        <v>1007</v>
      </c>
      <c r="AA150" s="20">
        <v>0</v>
      </c>
      <c r="AB150" s="20">
        <v>0</v>
      </c>
      <c r="AC150" s="20">
        <v>0</v>
      </c>
      <c r="AD150" s="20">
        <v>0</v>
      </c>
      <c r="AE150" s="39">
        <v>0</v>
      </c>
      <c r="AF150" s="31">
        <v>0</v>
      </c>
      <c r="AG150" s="20">
        <v>0</v>
      </c>
      <c r="AH150" s="20">
        <v>0</v>
      </c>
      <c r="AI150" s="20">
        <v>0</v>
      </c>
      <c r="AJ150" s="20">
        <v>0</v>
      </c>
      <c r="AK150" s="20">
        <v>0</v>
      </c>
      <c r="AL150" s="20">
        <v>0</v>
      </c>
      <c r="AM150" s="20">
        <v>0</v>
      </c>
      <c r="AN150" s="20">
        <v>0</v>
      </c>
      <c r="AO150" s="20">
        <v>0</v>
      </c>
      <c r="AP150" s="20">
        <v>0</v>
      </c>
      <c r="AQ150" s="20">
        <v>0</v>
      </c>
      <c r="AR150" s="20">
        <v>0</v>
      </c>
      <c r="AS150" s="20">
        <v>0</v>
      </c>
      <c r="AT150" s="20">
        <v>0</v>
      </c>
      <c r="AU150" s="20">
        <v>0</v>
      </c>
      <c r="AV150" s="20">
        <v>0</v>
      </c>
      <c r="AW150" s="20">
        <v>0</v>
      </c>
      <c r="AX150" s="20">
        <v>0</v>
      </c>
      <c r="AY150" s="20">
        <v>0</v>
      </c>
      <c r="AZ150" s="20">
        <v>0</v>
      </c>
      <c r="BA150" s="20">
        <v>0</v>
      </c>
      <c r="BB150" s="20">
        <v>0</v>
      </c>
      <c r="BC150" s="20">
        <v>0</v>
      </c>
      <c r="BD150" s="20">
        <v>0</v>
      </c>
      <c r="BE150" s="20">
        <v>0</v>
      </c>
      <c r="BF150" s="20">
        <v>0</v>
      </c>
      <c r="BG150" s="20">
        <v>0</v>
      </c>
      <c r="BH150" s="20">
        <v>0</v>
      </c>
      <c r="BI150" s="20">
        <v>0</v>
      </c>
      <c r="BJ150" s="20">
        <v>0</v>
      </c>
      <c r="BK150" s="20">
        <v>0</v>
      </c>
      <c r="BL150" s="20">
        <v>0</v>
      </c>
      <c r="BM150" s="20">
        <v>0</v>
      </c>
      <c r="BN150" s="20">
        <v>0</v>
      </c>
      <c r="BO150" s="20">
        <v>0</v>
      </c>
      <c r="BP150" s="20">
        <v>0</v>
      </c>
      <c r="BQ150" s="20">
        <v>0</v>
      </c>
      <c r="BR150" s="20">
        <v>0</v>
      </c>
      <c r="BS150" s="20">
        <v>0</v>
      </c>
      <c r="BT150" s="20">
        <v>0</v>
      </c>
      <c r="BU150" s="20">
        <v>0</v>
      </c>
      <c r="BV150" s="20">
        <v>0</v>
      </c>
      <c r="BW150" s="20">
        <v>0</v>
      </c>
      <c r="BX150" s="20">
        <v>0</v>
      </c>
      <c r="BY150" s="20">
        <v>0</v>
      </c>
      <c r="BZ150" s="20">
        <v>0</v>
      </c>
      <c r="CA150" s="20">
        <v>0</v>
      </c>
    </row>
    <row r="151" spans="1:79" x14ac:dyDescent="0.3">
      <c r="A151" s="19"/>
      <c r="B151" s="20" t="str">
        <f t="shared" si="38"/>
        <v>12930001</v>
      </c>
      <c r="C151" s="55" t="str">
        <f t="shared" si="39"/>
        <v>2</v>
      </c>
      <c r="D151" s="55">
        <f t="shared" si="40"/>
        <v>9</v>
      </c>
      <c r="E151" s="49">
        <v>1</v>
      </c>
      <c r="F151" s="20">
        <v>1</v>
      </c>
      <c r="G151" s="20">
        <v>9</v>
      </c>
      <c r="H151" s="20" t="str">
        <f t="shared" si="41"/>
        <v>Item_Name_12930001</v>
      </c>
      <c r="I151" s="20" t="s">
        <v>492</v>
      </c>
      <c r="J151" s="20">
        <v>10102001</v>
      </c>
      <c r="K151" s="20">
        <v>3</v>
      </c>
      <c r="L151" s="20">
        <v>0</v>
      </c>
      <c r="M151" s="20">
        <v>0</v>
      </c>
      <c r="N151" s="20">
        <v>15</v>
      </c>
      <c r="O151" s="20">
        <v>100</v>
      </c>
      <c r="P151" s="20">
        <v>1</v>
      </c>
      <c r="Q151" s="20" t="s">
        <v>498</v>
      </c>
      <c r="R151" s="20" t="s">
        <v>257</v>
      </c>
      <c r="S151" s="20" t="s">
        <v>502</v>
      </c>
      <c r="T151" s="20" t="s">
        <v>400</v>
      </c>
      <c r="U151" s="20">
        <v>0</v>
      </c>
      <c r="V151" s="20">
        <v>0</v>
      </c>
      <c r="W151" s="20">
        <v>17</v>
      </c>
      <c r="X151" s="20">
        <v>10</v>
      </c>
      <c r="Y151" s="20">
        <v>1004</v>
      </c>
      <c r="Z151" s="20">
        <v>1007</v>
      </c>
      <c r="AA151" s="20">
        <v>1107</v>
      </c>
      <c r="AB151" s="20">
        <v>0</v>
      </c>
      <c r="AC151" s="20">
        <v>0</v>
      </c>
      <c r="AD151" s="20">
        <v>0</v>
      </c>
      <c r="AE151" s="39">
        <v>0</v>
      </c>
      <c r="AF151" s="31">
        <v>0</v>
      </c>
      <c r="AG151" s="20">
        <v>0</v>
      </c>
      <c r="AH151" s="20">
        <v>0</v>
      </c>
      <c r="AI151" s="20">
        <v>0</v>
      </c>
      <c r="AJ151" s="20">
        <v>0</v>
      </c>
      <c r="AK151" s="20">
        <v>0</v>
      </c>
      <c r="AL151" s="20">
        <v>0</v>
      </c>
      <c r="AM151" s="20">
        <v>0</v>
      </c>
      <c r="AN151" s="20">
        <v>0</v>
      </c>
      <c r="AO151" s="20">
        <v>0</v>
      </c>
      <c r="AP151" s="20">
        <v>0</v>
      </c>
      <c r="AQ151" s="20">
        <v>0</v>
      </c>
      <c r="AR151" s="20">
        <v>0</v>
      </c>
      <c r="AS151" s="20">
        <v>0</v>
      </c>
      <c r="AT151" s="20">
        <v>0</v>
      </c>
      <c r="AU151" s="20">
        <v>0</v>
      </c>
      <c r="AV151" s="20">
        <v>0</v>
      </c>
      <c r="AW151" s="20">
        <v>0</v>
      </c>
      <c r="AX151" s="20">
        <v>0</v>
      </c>
      <c r="AY151" s="20">
        <v>0</v>
      </c>
      <c r="AZ151" s="20">
        <v>0</v>
      </c>
      <c r="BA151" s="20">
        <v>0</v>
      </c>
      <c r="BB151" s="20">
        <v>0</v>
      </c>
      <c r="BC151" s="20">
        <v>0</v>
      </c>
      <c r="BD151" s="20">
        <v>0</v>
      </c>
      <c r="BE151" s="20">
        <v>0</v>
      </c>
      <c r="BF151" s="20">
        <v>0</v>
      </c>
      <c r="BG151" s="20">
        <v>0</v>
      </c>
      <c r="BH151" s="20">
        <v>0</v>
      </c>
      <c r="BI151" s="20">
        <v>0</v>
      </c>
      <c r="BJ151" s="20">
        <v>0</v>
      </c>
      <c r="BK151" s="20">
        <v>0</v>
      </c>
      <c r="BL151" s="20">
        <v>0</v>
      </c>
      <c r="BM151" s="20">
        <v>0</v>
      </c>
      <c r="BN151" s="20">
        <v>0</v>
      </c>
      <c r="BO151" s="20">
        <v>0</v>
      </c>
      <c r="BP151" s="20">
        <v>0</v>
      </c>
      <c r="BQ151" s="20">
        <v>0</v>
      </c>
      <c r="BR151" s="20">
        <v>0</v>
      </c>
      <c r="BS151" s="20">
        <v>0</v>
      </c>
      <c r="BT151" s="20">
        <v>0</v>
      </c>
      <c r="BU151" s="20">
        <v>0</v>
      </c>
      <c r="BV151" s="20">
        <v>0</v>
      </c>
      <c r="BW151" s="20">
        <v>0</v>
      </c>
      <c r="BX151" s="20">
        <v>0</v>
      </c>
      <c r="BY151" s="20">
        <v>0</v>
      </c>
      <c r="BZ151" s="20">
        <v>0</v>
      </c>
      <c r="CA151" s="20">
        <v>0</v>
      </c>
    </row>
    <row r="152" spans="1:79" x14ac:dyDescent="0.3">
      <c r="A152" s="19"/>
      <c r="B152" s="20" t="str">
        <f t="shared" si="38"/>
        <v>12940001</v>
      </c>
      <c r="C152" s="55" t="str">
        <f t="shared" ref="C152" si="66">IF(J152&gt;0,MID(J152,5, 1), 0)</f>
        <v>2</v>
      </c>
      <c r="D152" s="55">
        <f t="shared" ref="D152" si="67">IF(G152&lt;100, G152, G152-100)</f>
        <v>9</v>
      </c>
      <c r="E152" s="49">
        <v>1</v>
      </c>
      <c r="F152" s="57">
        <v>1</v>
      </c>
      <c r="G152" s="57">
        <v>9</v>
      </c>
      <c r="H152" s="57" t="str">
        <f t="shared" si="41"/>
        <v>Item_Name_12940001</v>
      </c>
      <c r="I152" s="57" t="s">
        <v>581</v>
      </c>
      <c r="J152" s="57">
        <v>10102001</v>
      </c>
      <c r="K152" s="57">
        <v>4</v>
      </c>
      <c r="L152" s="57">
        <v>0</v>
      </c>
      <c r="M152" s="57">
        <v>0</v>
      </c>
      <c r="N152" s="57">
        <v>15</v>
      </c>
      <c r="O152" s="57">
        <v>100</v>
      </c>
      <c r="P152" s="57">
        <v>1</v>
      </c>
      <c r="Q152" s="57" t="s">
        <v>767</v>
      </c>
      <c r="R152" s="57" t="s">
        <v>531</v>
      </c>
      <c r="S152" s="57" t="s">
        <v>502</v>
      </c>
      <c r="T152" s="57" t="s">
        <v>400</v>
      </c>
      <c r="U152" s="57">
        <v>0</v>
      </c>
      <c r="V152" s="57">
        <v>0</v>
      </c>
      <c r="W152" s="57">
        <v>17</v>
      </c>
      <c r="X152" s="57">
        <v>12</v>
      </c>
      <c r="Y152" s="57">
        <v>1004</v>
      </c>
      <c r="Z152" s="57">
        <v>1007</v>
      </c>
      <c r="AA152" s="57">
        <v>1107</v>
      </c>
      <c r="AB152" s="57">
        <v>1207</v>
      </c>
      <c r="AC152" s="57">
        <v>0</v>
      </c>
      <c r="AD152" s="57">
        <v>0</v>
      </c>
      <c r="AE152" s="58">
        <v>0</v>
      </c>
      <c r="AF152" s="30">
        <v>0</v>
      </c>
      <c r="AG152" s="57">
        <v>0</v>
      </c>
      <c r="AH152" s="57">
        <v>0</v>
      </c>
      <c r="AI152" s="57">
        <v>0</v>
      </c>
      <c r="AJ152" s="57">
        <v>0</v>
      </c>
      <c r="AK152" s="57">
        <v>0</v>
      </c>
      <c r="AL152" s="57">
        <v>0</v>
      </c>
      <c r="AM152" s="57">
        <v>0</v>
      </c>
      <c r="AN152" s="57">
        <v>0</v>
      </c>
      <c r="AO152" s="57">
        <v>0</v>
      </c>
      <c r="AP152" s="57">
        <v>0</v>
      </c>
      <c r="AQ152" s="57">
        <v>0</v>
      </c>
      <c r="AR152" s="57">
        <v>0</v>
      </c>
      <c r="AS152" s="57">
        <v>0</v>
      </c>
      <c r="AT152" s="57">
        <v>0</v>
      </c>
      <c r="AU152" s="57">
        <v>0</v>
      </c>
      <c r="AV152" s="57">
        <v>0</v>
      </c>
      <c r="AW152" s="57">
        <v>0</v>
      </c>
      <c r="AX152" s="57">
        <v>0</v>
      </c>
      <c r="AY152" s="57">
        <v>0</v>
      </c>
      <c r="AZ152" s="57">
        <v>0</v>
      </c>
      <c r="BA152" s="57">
        <v>0</v>
      </c>
      <c r="BB152" s="57">
        <v>0</v>
      </c>
      <c r="BC152" s="57">
        <v>0</v>
      </c>
      <c r="BD152" s="57">
        <v>0</v>
      </c>
      <c r="BE152" s="57">
        <v>0</v>
      </c>
      <c r="BF152" s="57">
        <v>0</v>
      </c>
      <c r="BG152" s="57">
        <v>0</v>
      </c>
      <c r="BH152" s="57">
        <v>0</v>
      </c>
      <c r="BI152" s="57">
        <v>0</v>
      </c>
      <c r="BJ152" s="57">
        <v>0</v>
      </c>
      <c r="BK152" s="57">
        <v>0</v>
      </c>
      <c r="BL152" s="57">
        <v>0</v>
      </c>
      <c r="BM152" s="57">
        <v>0</v>
      </c>
      <c r="BN152" s="57">
        <v>0</v>
      </c>
      <c r="BO152" s="57">
        <v>0</v>
      </c>
      <c r="BP152" s="57">
        <v>0</v>
      </c>
      <c r="BQ152" s="57">
        <v>0</v>
      </c>
      <c r="BR152" s="57">
        <v>0</v>
      </c>
      <c r="BS152" s="57">
        <v>0</v>
      </c>
      <c r="BT152" s="57">
        <v>0</v>
      </c>
      <c r="BU152" s="57">
        <v>0</v>
      </c>
      <c r="BV152" s="57">
        <v>0</v>
      </c>
      <c r="BW152" s="57">
        <v>0</v>
      </c>
      <c r="BX152" s="57">
        <v>0</v>
      </c>
      <c r="BY152" s="57">
        <v>0</v>
      </c>
      <c r="BZ152" s="57">
        <v>0</v>
      </c>
      <c r="CA152" s="57">
        <v>0</v>
      </c>
    </row>
    <row r="153" spans="1:79" x14ac:dyDescent="0.3">
      <c r="A153" s="19"/>
      <c r="B153" s="20" t="str">
        <f t="shared" si="38"/>
        <v>13910001</v>
      </c>
      <c r="C153" s="55" t="str">
        <f t="shared" si="39"/>
        <v>3</v>
      </c>
      <c r="D153" s="55">
        <f t="shared" si="40"/>
        <v>9</v>
      </c>
      <c r="E153" s="49">
        <v>1</v>
      </c>
      <c r="F153" s="20">
        <v>1</v>
      </c>
      <c r="G153" s="20">
        <v>9</v>
      </c>
      <c r="H153" s="20" t="str">
        <f t="shared" si="41"/>
        <v>Item_Name_13910001</v>
      </c>
      <c r="I153" s="20" t="s">
        <v>700</v>
      </c>
      <c r="J153" s="20">
        <v>10103001</v>
      </c>
      <c r="K153" s="20">
        <v>1</v>
      </c>
      <c r="L153" s="20">
        <v>0</v>
      </c>
      <c r="M153" s="20">
        <v>0</v>
      </c>
      <c r="N153" s="20">
        <v>15</v>
      </c>
      <c r="O153" s="20">
        <v>100</v>
      </c>
      <c r="P153" s="20">
        <v>1</v>
      </c>
      <c r="Q153" s="20" t="s">
        <v>499</v>
      </c>
      <c r="R153" s="20" t="s">
        <v>171</v>
      </c>
      <c r="S153" s="20" t="s">
        <v>502</v>
      </c>
      <c r="T153" s="20" t="s">
        <v>400</v>
      </c>
      <c r="U153" s="20">
        <v>0</v>
      </c>
      <c r="V153" s="20">
        <v>0</v>
      </c>
      <c r="W153" s="20">
        <v>17</v>
      </c>
      <c r="X153" s="20">
        <v>5</v>
      </c>
      <c r="Y153" s="20">
        <v>1004</v>
      </c>
      <c r="Z153" s="20">
        <v>0</v>
      </c>
      <c r="AA153" s="20">
        <v>0</v>
      </c>
      <c r="AB153" s="20">
        <v>0</v>
      </c>
      <c r="AC153" s="20">
        <v>0</v>
      </c>
      <c r="AD153" s="20">
        <v>0</v>
      </c>
      <c r="AE153" s="39">
        <v>0</v>
      </c>
      <c r="AF153" s="31">
        <v>0</v>
      </c>
      <c r="AG153" s="20">
        <v>0</v>
      </c>
      <c r="AH153" s="20">
        <v>0</v>
      </c>
      <c r="AI153" s="20">
        <v>0</v>
      </c>
      <c r="AJ153" s="20">
        <v>0</v>
      </c>
      <c r="AK153" s="20">
        <v>0</v>
      </c>
      <c r="AL153" s="20">
        <v>0</v>
      </c>
      <c r="AM153" s="20">
        <v>0</v>
      </c>
      <c r="AN153" s="20">
        <v>0</v>
      </c>
      <c r="AO153" s="20">
        <v>0</v>
      </c>
      <c r="AP153" s="20">
        <v>0</v>
      </c>
      <c r="AQ153" s="20">
        <v>0</v>
      </c>
      <c r="AR153" s="20">
        <v>0</v>
      </c>
      <c r="AS153" s="20">
        <v>0</v>
      </c>
      <c r="AT153" s="20">
        <v>0</v>
      </c>
      <c r="AU153" s="20">
        <v>0</v>
      </c>
      <c r="AV153" s="20">
        <v>0</v>
      </c>
      <c r="AW153" s="20">
        <v>0</v>
      </c>
      <c r="AX153" s="20">
        <v>0</v>
      </c>
      <c r="AY153" s="20">
        <v>0</v>
      </c>
      <c r="AZ153" s="20">
        <v>0</v>
      </c>
      <c r="BA153" s="20">
        <v>0</v>
      </c>
      <c r="BB153" s="20">
        <v>0</v>
      </c>
      <c r="BC153" s="20">
        <v>0</v>
      </c>
      <c r="BD153" s="20">
        <v>0</v>
      </c>
      <c r="BE153" s="20">
        <v>0</v>
      </c>
      <c r="BF153" s="20">
        <v>0</v>
      </c>
      <c r="BG153" s="20">
        <v>0</v>
      </c>
      <c r="BH153" s="20">
        <v>0</v>
      </c>
      <c r="BI153" s="20">
        <v>0</v>
      </c>
      <c r="BJ153" s="20">
        <v>0</v>
      </c>
      <c r="BK153" s="20">
        <v>0</v>
      </c>
      <c r="BL153" s="20">
        <v>0</v>
      </c>
      <c r="BM153" s="20">
        <v>0</v>
      </c>
      <c r="BN153" s="20">
        <v>0</v>
      </c>
      <c r="BO153" s="20">
        <v>0</v>
      </c>
      <c r="BP153" s="20">
        <v>0</v>
      </c>
      <c r="BQ153" s="20">
        <v>0</v>
      </c>
      <c r="BR153" s="20">
        <v>0</v>
      </c>
      <c r="BS153" s="20">
        <v>0</v>
      </c>
      <c r="BT153" s="20">
        <v>0</v>
      </c>
      <c r="BU153" s="20">
        <v>0</v>
      </c>
      <c r="BV153" s="20">
        <v>0</v>
      </c>
      <c r="BW153" s="20">
        <v>0</v>
      </c>
      <c r="BX153" s="20">
        <v>0</v>
      </c>
      <c r="BY153" s="20">
        <v>0</v>
      </c>
      <c r="BZ153" s="20">
        <v>0</v>
      </c>
      <c r="CA153" s="20">
        <v>0</v>
      </c>
    </row>
    <row r="154" spans="1:79" x14ac:dyDescent="0.3">
      <c r="A154" s="19"/>
      <c r="B154" s="20" t="str">
        <f t="shared" si="38"/>
        <v>13920001</v>
      </c>
      <c r="C154" s="55" t="str">
        <f t="shared" ref="C154:C156" si="68">IF(J154&gt;0,MID(J154,5, 1), 0)</f>
        <v>3</v>
      </c>
      <c r="D154" s="55">
        <f t="shared" ref="D154:D156" si="69">IF(G154&lt;100, G154, G154-100)</f>
        <v>9</v>
      </c>
      <c r="E154" s="49">
        <v>1</v>
      </c>
      <c r="F154" s="57">
        <v>1</v>
      </c>
      <c r="G154" s="57">
        <v>9</v>
      </c>
      <c r="H154" s="57" t="str">
        <f t="shared" si="41"/>
        <v>Item_Name_13920001</v>
      </c>
      <c r="I154" s="57" t="s">
        <v>772</v>
      </c>
      <c r="J154" s="57">
        <v>10103001</v>
      </c>
      <c r="K154" s="57">
        <v>2</v>
      </c>
      <c r="L154" s="57">
        <v>0</v>
      </c>
      <c r="M154" s="57">
        <v>0</v>
      </c>
      <c r="N154" s="57">
        <v>15</v>
      </c>
      <c r="O154" s="57">
        <v>100</v>
      </c>
      <c r="P154" s="57">
        <v>1</v>
      </c>
      <c r="Q154" s="57" t="s">
        <v>769</v>
      </c>
      <c r="R154" s="57" t="s">
        <v>542</v>
      </c>
      <c r="S154" s="57" t="s">
        <v>502</v>
      </c>
      <c r="T154" s="57" t="s">
        <v>400</v>
      </c>
      <c r="U154" s="57">
        <v>0</v>
      </c>
      <c r="V154" s="57">
        <v>0</v>
      </c>
      <c r="W154" s="57">
        <v>17</v>
      </c>
      <c r="X154" s="57">
        <v>5</v>
      </c>
      <c r="Y154" s="57">
        <v>1004</v>
      </c>
      <c r="Z154" s="57">
        <v>1006</v>
      </c>
      <c r="AA154" s="57">
        <v>0</v>
      </c>
      <c r="AB154" s="57">
        <v>0</v>
      </c>
      <c r="AC154" s="57">
        <v>0</v>
      </c>
      <c r="AD154" s="57">
        <v>0</v>
      </c>
      <c r="AE154" s="58">
        <v>0</v>
      </c>
      <c r="AF154" s="30">
        <v>0</v>
      </c>
      <c r="AG154" s="57">
        <v>0</v>
      </c>
      <c r="AH154" s="57">
        <v>0</v>
      </c>
      <c r="AI154" s="57">
        <v>0</v>
      </c>
      <c r="AJ154" s="57">
        <v>0</v>
      </c>
      <c r="AK154" s="57">
        <v>0</v>
      </c>
      <c r="AL154" s="57">
        <v>0</v>
      </c>
      <c r="AM154" s="57">
        <v>0</v>
      </c>
      <c r="AN154" s="57">
        <v>0</v>
      </c>
      <c r="AO154" s="57">
        <v>0</v>
      </c>
      <c r="AP154" s="57">
        <v>0</v>
      </c>
      <c r="AQ154" s="57">
        <v>0</v>
      </c>
      <c r="AR154" s="57">
        <v>0</v>
      </c>
      <c r="AS154" s="57">
        <v>0</v>
      </c>
      <c r="AT154" s="57">
        <v>0</v>
      </c>
      <c r="AU154" s="57">
        <v>0</v>
      </c>
      <c r="AV154" s="57">
        <v>0</v>
      </c>
      <c r="AW154" s="57">
        <v>0</v>
      </c>
      <c r="AX154" s="57">
        <v>0</v>
      </c>
      <c r="AY154" s="57">
        <v>0</v>
      </c>
      <c r="AZ154" s="57">
        <v>0</v>
      </c>
      <c r="BA154" s="57">
        <v>0</v>
      </c>
      <c r="BB154" s="57">
        <v>0</v>
      </c>
      <c r="BC154" s="57">
        <v>0</v>
      </c>
      <c r="BD154" s="57">
        <v>0</v>
      </c>
      <c r="BE154" s="57">
        <v>0</v>
      </c>
      <c r="BF154" s="57">
        <v>0</v>
      </c>
      <c r="BG154" s="57">
        <v>0</v>
      </c>
      <c r="BH154" s="57">
        <v>0</v>
      </c>
      <c r="BI154" s="57">
        <v>0</v>
      </c>
      <c r="BJ154" s="57">
        <v>0</v>
      </c>
      <c r="BK154" s="57">
        <v>0</v>
      </c>
      <c r="BL154" s="57">
        <v>0</v>
      </c>
      <c r="BM154" s="57">
        <v>0</v>
      </c>
      <c r="BN154" s="57">
        <v>0</v>
      </c>
      <c r="BO154" s="57">
        <v>0</v>
      </c>
      <c r="BP154" s="57">
        <v>0</v>
      </c>
      <c r="BQ154" s="57">
        <v>0</v>
      </c>
      <c r="BR154" s="57">
        <v>0</v>
      </c>
      <c r="BS154" s="57">
        <v>0</v>
      </c>
      <c r="BT154" s="57">
        <v>0</v>
      </c>
      <c r="BU154" s="57">
        <v>0</v>
      </c>
      <c r="BV154" s="57">
        <v>0</v>
      </c>
      <c r="BW154" s="57">
        <v>0</v>
      </c>
      <c r="BX154" s="57">
        <v>0</v>
      </c>
      <c r="BY154" s="57">
        <v>0</v>
      </c>
      <c r="BZ154" s="57">
        <v>0</v>
      </c>
      <c r="CA154" s="57">
        <v>0</v>
      </c>
    </row>
    <row r="155" spans="1:79" x14ac:dyDescent="0.3">
      <c r="A155" s="19"/>
      <c r="B155" s="20" t="str">
        <f t="shared" si="38"/>
        <v>13930001</v>
      </c>
      <c r="C155" s="55" t="str">
        <f t="shared" si="68"/>
        <v>3</v>
      </c>
      <c r="D155" s="55">
        <f t="shared" si="69"/>
        <v>9</v>
      </c>
      <c r="E155" s="49">
        <v>1</v>
      </c>
      <c r="F155" s="57">
        <v>1</v>
      </c>
      <c r="G155" s="57">
        <v>9</v>
      </c>
      <c r="H155" s="57" t="str">
        <f t="shared" si="41"/>
        <v>Item_Name_13930001</v>
      </c>
      <c r="I155" s="57" t="s">
        <v>773</v>
      </c>
      <c r="J155" s="57">
        <v>10103001</v>
      </c>
      <c r="K155" s="57">
        <v>3</v>
      </c>
      <c r="L155" s="57">
        <v>0</v>
      </c>
      <c r="M155" s="57">
        <v>0</v>
      </c>
      <c r="N155" s="57">
        <v>15</v>
      </c>
      <c r="O155" s="57">
        <v>100</v>
      </c>
      <c r="P155" s="57">
        <v>1</v>
      </c>
      <c r="Q155" s="57" t="s">
        <v>770</v>
      </c>
      <c r="R155" s="57" t="s">
        <v>543</v>
      </c>
      <c r="S155" s="57" t="s">
        <v>502</v>
      </c>
      <c r="T155" s="57" t="s">
        <v>400</v>
      </c>
      <c r="U155" s="57">
        <v>0</v>
      </c>
      <c r="V155" s="57">
        <v>0</v>
      </c>
      <c r="W155" s="57">
        <v>17</v>
      </c>
      <c r="X155" s="57">
        <v>5</v>
      </c>
      <c r="Y155" s="57">
        <v>1004</v>
      </c>
      <c r="Z155" s="57">
        <v>1006</v>
      </c>
      <c r="AA155" s="57">
        <v>1106</v>
      </c>
      <c r="AB155" s="57">
        <v>0</v>
      </c>
      <c r="AC155" s="57">
        <v>0</v>
      </c>
      <c r="AD155" s="57">
        <v>0</v>
      </c>
      <c r="AE155" s="58">
        <v>0</v>
      </c>
      <c r="AF155" s="30">
        <v>0</v>
      </c>
      <c r="AG155" s="57">
        <v>0</v>
      </c>
      <c r="AH155" s="57">
        <v>0</v>
      </c>
      <c r="AI155" s="57">
        <v>0</v>
      </c>
      <c r="AJ155" s="57">
        <v>0</v>
      </c>
      <c r="AK155" s="57">
        <v>0</v>
      </c>
      <c r="AL155" s="57">
        <v>0</v>
      </c>
      <c r="AM155" s="57">
        <v>0</v>
      </c>
      <c r="AN155" s="57">
        <v>0</v>
      </c>
      <c r="AO155" s="57">
        <v>0</v>
      </c>
      <c r="AP155" s="57">
        <v>0</v>
      </c>
      <c r="AQ155" s="57">
        <v>0</v>
      </c>
      <c r="AR155" s="57">
        <v>0</v>
      </c>
      <c r="AS155" s="57">
        <v>0</v>
      </c>
      <c r="AT155" s="57">
        <v>0</v>
      </c>
      <c r="AU155" s="57">
        <v>0</v>
      </c>
      <c r="AV155" s="57">
        <v>0</v>
      </c>
      <c r="AW155" s="57">
        <v>0</v>
      </c>
      <c r="AX155" s="57">
        <v>0</v>
      </c>
      <c r="AY155" s="57">
        <v>0</v>
      </c>
      <c r="AZ155" s="57">
        <v>0</v>
      </c>
      <c r="BA155" s="57">
        <v>0</v>
      </c>
      <c r="BB155" s="57">
        <v>0</v>
      </c>
      <c r="BC155" s="57">
        <v>0</v>
      </c>
      <c r="BD155" s="57">
        <v>0</v>
      </c>
      <c r="BE155" s="57">
        <v>0</v>
      </c>
      <c r="BF155" s="57">
        <v>0</v>
      </c>
      <c r="BG155" s="57">
        <v>0</v>
      </c>
      <c r="BH155" s="57">
        <v>0</v>
      </c>
      <c r="BI155" s="57">
        <v>0</v>
      </c>
      <c r="BJ155" s="57">
        <v>0</v>
      </c>
      <c r="BK155" s="57">
        <v>0</v>
      </c>
      <c r="BL155" s="57">
        <v>0</v>
      </c>
      <c r="BM155" s="57">
        <v>0</v>
      </c>
      <c r="BN155" s="57">
        <v>0</v>
      </c>
      <c r="BO155" s="57">
        <v>0</v>
      </c>
      <c r="BP155" s="57">
        <v>0</v>
      </c>
      <c r="BQ155" s="57">
        <v>0</v>
      </c>
      <c r="BR155" s="57">
        <v>0</v>
      </c>
      <c r="BS155" s="57">
        <v>0</v>
      </c>
      <c r="BT155" s="57">
        <v>0</v>
      </c>
      <c r="BU155" s="57">
        <v>0</v>
      </c>
      <c r="BV155" s="57">
        <v>0</v>
      </c>
      <c r="BW155" s="57">
        <v>0</v>
      </c>
      <c r="BX155" s="57">
        <v>0</v>
      </c>
      <c r="BY155" s="57">
        <v>0</v>
      </c>
      <c r="BZ155" s="57">
        <v>0</v>
      </c>
      <c r="CA155" s="57">
        <v>0</v>
      </c>
    </row>
    <row r="156" spans="1:79" x14ac:dyDescent="0.3">
      <c r="A156" s="19"/>
      <c r="B156" s="20" t="str">
        <f t="shared" si="38"/>
        <v>13940001</v>
      </c>
      <c r="C156" s="55" t="str">
        <f t="shared" si="68"/>
        <v>3</v>
      </c>
      <c r="D156" s="55">
        <f t="shared" si="69"/>
        <v>9</v>
      </c>
      <c r="E156" s="49">
        <v>1</v>
      </c>
      <c r="F156" s="57">
        <v>1</v>
      </c>
      <c r="G156" s="57">
        <v>9</v>
      </c>
      <c r="H156" s="57" t="str">
        <f t="shared" si="41"/>
        <v>Item_Name_13940001</v>
      </c>
      <c r="I156" s="57" t="s">
        <v>768</v>
      </c>
      <c r="J156" s="57">
        <v>10103001</v>
      </c>
      <c r="K156" s="57">
        <v>4</v>
      </c>
      <c r="L156" s="57">
        <v>0</v>
      </c>
      <c r="M156" s="57">
        <v>0</v>
      </c>
      <c r="N156" s="57">
        <v>15</v>
      </c>
      <c r="O156" s="57">
        <v>100</v>
      </c>
      <c r="P156" s="57">
        <v>1</v>
      </c>
      <c r="Q156" s="57" t="s">
        <v>771</v>
      </c>
      <c r="R156" s="57" t="s">
        <v>531</v>
      </c>
      <c r="S156" s="57" t="s">
        <v>502</v>
      </c>
      <c r="T156" s="57" t="s">
        <v>400</v>
      </c>
      <c r="U156" s="57">
        <v>0</v>
      </c>
      <c r="V156" s="57">
        <v>0</v>
      </c>
      <c r="W156" s="57">
        <v>17</v>
      </c>
      <c r="X156" s="57">
        <v>5</v>
      </c>
      <c r="Y156" s="57">
        <v>1004</v>
      </c>
      <c r="Z156" s="57">
        <v>1006</v>
      </c>
      <c r="AA156" s="57">
        <v>1106</v>
      </c>
      <c r="AB156" s="57">
        <v>1206</v>
      </c>
      <c r="AC156" s="57">
        <v>0</v>
      </c>
      <c r="AD156" s="57">
        <v>0</v>
      </c>
      <c r="AE156" s="58">
        <v>0</v>
      </c>
      <c r="AF156" s="30">
        <v>0</v>
      </c>
      <c r="AG156" s="57">
        <v>0</v>
      </c>
      <c r="AH156" s="57">
        <v>0</v>
      </c>
      <c r="AI156" s="57">
        <v>0</v>
      </c>
      <c r="AJ156" s="57">
        <v>0</v>
      </c>
      <c r="AK156" s="57">
        <v>0</v>
      </c>
      <c r="AL156" s="57">
        <v>0</v>
      </c>
      <c r="AM156" s="57">
        <v>0</v>
      </c>
      <c r="AN156" s="57">
        <v>0</v>
      </c>
      <c r="AO156" s="57">
        <v>0</v>
      </c>
      <c r="AP156" s="57">
        <v>0</v>
      </c>
      <c r="AQ156" s="57">
        <v>0</v>
      </c>
      <c r="AR156" s="57">
        <v>0</v>
      </c>
      <c r="AS156" s="57">
        <v>0</v>
      </c>
      <c r="AT156" s="57">
        <v>0</v>
      </c>
      <c r="AU156" s="57">
        <v>0</v>
      </c>
      <c r="AV156" s="57">
        <v>0</v>
      </c>
      <c r="AW156" s="57">
        <v>0</v>
      </c>
      <c r="AX156" s="57">
        <v>0</v>
      </c>
      <c r="AY156" s="57">
        <v>0</v>
      </c>
      <c r="AZ156" s="57">
        <v>0</v>
      </c>
      <c r="BA156" s="57">
        <v>0</v>
      </c>
      <c r="BB156" s="57">
        <v>0</v>
      </c>
      <c r="BC156" s="57">
        <v>0</v>
      </c>
      <c r="BD156" s="57">
        <v>0</v>
      </c>
      <c r="BE156" s="57">
        <v>0</v>
      </c>
      <c r="BF156" s="57">
        <v>0</v>
      </c>
      <c r="BG156" s="57">
        <v>0</v>
      </c>
      <c r="BH156" s="57">
        <v>0</v>
      </c>
      <c r="BI156" s="57">
        <v>0</v>
      </c>
      <c r="BJ156" s="57">
        <v>0</v>
      </c>
      <c r="BK156" s="57">
        <v>0</v>
      </c>
      <c r="BL156" s="57">
        <v>0</v>
      </c>
      <c r="BM156" s="57">
        <v>0</v>
      </c>
      <c r="BN156" s="57">
        <v>0</v>
      </c>
      <c r="BO156" s="57">
        <v>0</v>
      </c>
      <c r="BP156" s="57">
        <v>0</v>
      </c>
      <c r="BQ156" s="57">
        <v>0</v>
      </c>
      <c r="BR156" s="57">
        <v>0</v>
      </c>
      <c r="BS156" s="57">
        <v>0</v>
      </c>
      <c r="BT156" s="57">
        <v>0</v>
      </c>
      <c r="BU156" s="57">
        <v>0</v>
      </c>
      <c r="BV156" s="57">
        <v>0</v>
      </c>
      <c r="BW156" s="57">
        <v>0</v>
      </c>
      <c r="BX156" s="57">
        <v>0</v>
      </c>
      <c r="BY156" s="57">
        <v>0</v>
      </c>
      <c r="BZ156" s="57">
        <v>0</v>
      </c>
      <c r="CA156" s="57">
        <v>0</v>
      </c>
    </row>
    <row r="157" spans="1:79" x14ac:dyDescent="0.3">
      <c r="A157" s="19"/>
      <c r="B157" s="20" t="str">
        <f t="shared" si="38"/>
        <v>14910001</v>
      </c>
      <c r="C157" s="55" t="str">
        <f t="shared" si="39"/>
        <v>4</v>
      </c>
      <c r="D157" s="55">
        <f t="shared" si="40"/>
        <v>9</v>
      </c>
      <c r="E157" s="49">
        <v>1</v>
      </c>
      <c r="F157" s="20">
        <v>1</v>
      </c>
      <c r="G157" s="20">
        <v>9</v>
      </c>
      <c r="H157" s="20" t="str">
        <f t="shared" si="41"/>
        <v>Item_Name_14910001</v>
      </c>
      <c r="I157" s="20" t="s">
        <v>582</v>
      </c>
      <c r="J157" s="20">
        <v>10104001</v>
      </c>
      <c r="K157" s="20">
        <v>1</v>
      </c>
      <c r="L157" s="20">
        <v>0</v>
      </c>
      <c r="M157" s="20">
        <v>0</v>
      </c>
      <c r="N157" s="20">
        <v>15</v>
      </c>
      <c r="O157" s="20">
        <v>100</v>
      </c>
      <c r="P157" s="20">
        <v>1</v>
      </c>
      <c r="Q157" s="20" t="s">
        <v>500</v>
      </c>
      <c r="R157" s="20" t="s">
        <v>171</v>
      </c>
      <c r="S157" s="20" t="s">
        <v>502</v>
      </c>
      <c r="T157" s="20" t="s">
        <v>400</v>
      </c>
      <c r="U157" s="20">
        <v>0</v>
      </c>
      <c r="V157" s="20">
        <v>0</v>
      </c>
      <c r="W157" s="20">
        <v>17</v>
      </c>
      <c r="X157" s="20">
        <v>3</v>
      </c>
      <c r="Y157" s="20">
        <v>1004</v>
      </c>
      <c r="Z157" s="20">
        <v>0</v>
      </c>
      <c r="AA157" s="20">
        <v>0</v>
      </c>
      <c r="AB157" s="20">
        <v>0</v>
      </c>
      <c r="AC157" s="20">
        <v>0</v>
      </c>
      <c r="AD157" s="20">
        <v>0</v>
      </c>
      <c r="AE157" s="39">
        <v>0</v>
      </c>
      <c r="AF157" s="31">
        <v>0</v>
      </c>
      <c r="AG157" s="20">
        <v>0</v>
      </c>
      <c r="AH157" s="20">
        <v>0</v>
      </c>
      <c r="AI157" s="20">
        <v>0</v>
      </c>
      <c r="AJ157" s="20">
        <v>0</v>
      </c>
      <c r="AK157" s="20">
        <v>0</v>
      </c>
      <c r="AL157" s="20">
        <v>0</v>
      </c>
      <c r="AM157" s="20">
        <v>0</v>
      </c>
      <c r="AN157" s="20">
        <v>0</v>
      </c>
      <c r="AO157" s="20">
        <v>0</v>
      </c>
      <c r="AP157" s="20">
        <v>0</v>
      </c>
      <c r="AQ157" s="20">
        <v>0</v>
      </c>
      <c r="AR157" s="20">
        <v>0</v>
      </c>
      <c r="AS157" s="20">
        <v>0</v>
      </c>
      <c r="AT157" s="20">
        <v>0</v>
      </c>
      <c r="AU157" s="20">
        <v>0</v>
      </c>
      <c r="AV157" s="20">
        <v>0</v>
      </c>
      <c r="AW157" s="20">
        <v>0</v>
      </c>
      <c r="AX157" s="20">
        <v>0</v>
      </c>
      <c r="AY157" s="20">
        <v>0</v>
      </c>
      <c r="AZ157" s="20">
        <v>0</v>
      </c>
      <c r="BA157" s="20">
        <v>0</v>
      </c>
      <c r="BB157" s="20">
        <v>0</v>
      </c>
      <c r="BC157" s="20">
        <v>0</v>
      </c>
      <c r="BD157" s="20">
        <v>0</v>
      </c>
      <c r="BE157" s="20">
        <v>0</v>
      </c>
      <c r="BF157" s="20">
        <v>0</v>
      </c>
      <c r="BG157" s="20">
        <v>0</v>
      </c>
      <c r="BH157" s="20">
        <v>0</v>
      </c>
      <c r="BI157" s="20">
        <v>0</v>
      </c>
      <c r="BJ157" s="20">
        <v>0</v>
      </c>
      <c r="BK157" s="20">
        <v>0</v>
      </c>
      <c r="BL157" s="20">
        <v>0</v>
      </c>
      <c r="BM157" s="20">
        <v>0</v>
      </c>
      <c r="BN157" s="20">
        <v>0</v>
      </c>
      <c r="BO157" s="20">
        <v>0</v>
      </c>
      <c r="BP157" s="20">
        <v>0</v>
      </c>
      <c r="BQ157" s="20">
        <v>0</v>
      </c>
      <c r="BR157" s="20">
        <v>0</v>
      </c>
      <c r="BS157" s="20">
        <v>0</v>
      </c>
      <c r="BT157" s="20">
        <v>0</v>
      </c>
      <c r="BU157" s="20">
        <v>0</v>
      </c>
      <c r="BV157" s="20">
        <v>0</v>
      </c>
      <c r="BW157" s="20">
        <v>0</v>
      </c>
      <c r="BX157" s="20">
        <v>0</v>
      </c>
      <c r="BY157" s="20">
        <v>0</v>
      </c>
      <c r="BZ157" s="20">
        <v>0</v>
      </c>
      <c r="CA157" s="20">
        <v>0</v>
      </c>
    </row>
    <row r="158" spans="1:79" x14ac:dyDescent="0.3">
      <c r="A158" s="19"/>
      <c r="B158" s="20" t="str">
        <f t="shared" si="38"/>
        <v>14920001</v>
      </c>
      <c r="C158" s="55" t="str">
        <f t="shared" ref="C158:C160" si="70">IF(J158&gt;0,MID(J158,5, 1), 0)</f>
        <v>4</v>
      </c>
      <c r="D158" s="55">
        <f t="shared" ref="D158:D160" si="71">IF(G158&lt;100, G158, G158-100)</f>
        <v>9</v>
      </c>
      <c r="E158" s="49">
        <v>1</v>
      </c>
      <c r="F158" s="57">
        <v>1</v>
      </c>
      <c r="G158" s="57">
        <v>9</v>
      </c>
      <c r="H158" s="57" t="str">
        <f t="shared" si="41"/>
        <v>Item_Name_14920001</v>
      </c>
      <c r="I158" s="57" t="s">
        <v>583</v>
      </c>
      <c r="J158" s="57">
        <v>10104001</v>
      </c>
      <c r="K158" s="57">
        <v>2</v>
      </c>
      <c r="L158" s="57">
        <v>0</v>
      </c>
      <c r="M158" s="57">
        <v>0</v>
      </c>
      <c r="N158" s="57">
        <v>15</v>
      </c>
      <c r="O158" s="57">
        <v>100</v>
      </c>
      <c r="P158" s="57">
        <v>1</v>
      </c>
      <c r="Q158" s="57" t="s">
        <v>774</v>
      </c>
      <c r="R158" s="57" t="s">
        <v>542</v>
      </c>
      <c r="S158" s="57" t="s">
        <v>502</v>
      </c>
      <c r="T158" s="57" t="s">
        <v>400</v>
      </c>
      <c r="U158" s="57">
        <v>0</v>
      </c>
      <c r="V158" s="57">
        <v>0</v>
      </c>
      <c r="W158" s="57">
        <v>17</v>
      </c>
      <c r="X158" s="57">
        <v>5</v>
      </c>
      <c r="Y158" s="57">
        <v>1004</v>
      </c>
      <c r="Z158" s="57">
        <v>1006</v>
      </c>
      <c r="AA158" s="57">
        <v>0</v>
      </c>
      <c r="AB158" s="57">
        <v>0</v>
      </c>
      <c r="AC158" s="57">
        <v>0</v>
      </c>
      <c r="AD158" s="57">
        <v>0</v>
      </c>
      <c r="AE158" s="58">
        <v>0</v>
      </c>
      <c r="AF158" s="30">
        <v>0</v>
      </c>
      <c r="AG158" s="57">
        <v>0</v>
      </c>
      <c r="AH158" s="57">
        <v>0</v>
      </c>
      <c r="AI158" s="57">
        <v>0</v>
      </c>
      <c r="AJ158" s="57">
        <v>0</v>
      </c>
      <c r="AK158" s="57">
        <v>0</v>
      </c>
      <c r="AL158" s="57">
        <v>0</v>
      </c>
      <c r="AM158" s="57">
        <v>0</v>
      </c>
      <c r="AN158" s="57">
        <v>0</v>
      </c>
      <c r="AO158" s="57">
        <v>0</v>
      </c>
      <c r="AP158" s="57">
        <v>0</v>
      </c>
      <c r="AQ158" s="57">
        <v>0</v>
      </c>
      <c r="AR158" s="57">
        <v>0</v>
      </c>
      <c r="AS158" s="57">
        <v>0</v>
      </c>
      <c r="AT158" s="57">
        <v>0</v>
      </c>
      <c r="AU158" s="57">
        <v>0</v>
      </c>
      <c r="AV158" s="57">
        <v>0</v>
      </c>
      <c r="AW158" s="57">
        <v>0</v>
      </c>
      <c r="AX158" s="57">
        <v>0</v>
      </c>
      <c r="AY158" s="57">
        <v>0</v>
      </c>
      <c r="AZ158" s="57">
        <v>0</v>
      </c>
      <c r="BA158" s="57">
        <v>0</v>
      </c>
      <c r="BB158" s="57">
        <v>0</v>
      </c>
      <c r="BC158" s="57">
        <v>0</v>
      </c>
      <c r="BD158" s="57">
        <v>0</v>
      </c>
      <c r="BE158" s="57">
        <v>0</v>
      </c>
      <c r="BF158" s="57">
        <v>0</v>
      </c>
      <c r="BG158" s="57">
        <v>0</v>
      </c>
      <c r="BH158" s="57">
        <v>0</v>
      </c>
      <c r="BI158" s="57">
        <v>0</v>
      </c>
      <c r="BJ158" s="57">
        <v>0</v>
      </c>
      <c r="BK158" s="57">
        <v>0</v>
      </c>
      <c r="BL158" s="57">
        <v>0</v>
      </c>
      <c r="BM158" s="57">
        <v>0</v>
      </c>
      <c r="BN158" s="57">
        <v>0</v>
      </c>
      <c r="BO158" s="57">
        <v>0</v>
      </c>
      <c r="BP158" s="57">
        <v>0</v>
      </c>
      <c r="BQ158" s="57">
        <v>0</v>
      </c>
      <c r="BR158" s="57">
        <v>0</v>
      </c>
      <c r="BS158" s="57">
        <v>0</v>
      </c>
      <c r="BT158" s="57">
        <v>0</v>
      </c>
      <c r="BU158" s="57">
        <v>0</v>
      </c>
      <c r="BV158" s="57">
        <v>0</v>
      </c>
      <c r="BW158" s="57">
        <v>0</v>
      </c>
      <c r="BX158" s="57">
        <v>0</v>
      </c>
      <c r="BY158" s="57">
        <v>0</v>
      </c>
      <c r="BZ158" s="57">
        <v>0</v>
      </c>
      <c r="CA158" s="57">
        <v>0</v>
      </c>
    </row>
    <row r="159" spans="1:79" x14ac:dyDescent="0.3">
      <c r="A159" s="19"/>
      <c r="B159" s="20" t="str">
        <f t="shared" si="38"/>
        <v>14930001</v>
      </c>
      <c r="C159" s="55" t="str">
        <f t="shared" si="70"/>
        <v>4</v>
      </c>
      <c r="D159" s="55">
        <f t="shared" si="71"/>
        <v>9</v>
      </c>
      <c r="E159" s="49">
        <v>1</v>
      </c>
      <c r="F159" s="57">
        <v>1</v>
      </c>
      <c r="G159" s="57">
        <v>9</v>
      </c>
      <c r="H159" s="57" t="str">
        <f t="shared" si="41"/>
        <v>Item_Name_14930001</v>
      </c>
      <c r="I159" s="57" t="s">
        <v>584</v>
      </c>
      <c r="J159" s="57">
        <v>10104001</v>
      </c>
      <c r="K159" s="57">
        <v>3</v>
      </c>
      <c r="L159" s="57">
        <v>0</v>
      </c>
      <c r="M159" s="57">
        <v>0</v>
      </c>
      <c r="N159" s="57">
        <v>15</v>
      </c>
      <c r="O159" s="57">
        <v>100</v>
      </c>
      <c r="P159" s="57">
        <v>1</v>
      </c>
      <c r="Q159" s="57" t="s">
        <v>775</v>
      </c>
      <c r="R159" s="57" t="s">
        <v>543</v>
      </c>
      <c r="S159" s="57" t="s">
        <v>502</v>
      </c>
      <c r="T159" s="57" t="s">
        <v>400</v>
      </c>
      <c r="U159" s="57">
        <v>0</v>
      </c>
      <c r="V159" s="57">
        <v>0</v>
      </c>
      <c r="W159" s="57">
        <v>17</v>
      </c>
      <c r="X159" s="57">
        <v>8</v>
      </c>
      <c r="Y159" s="57">
        <v>1004</v>
      </c>
      <c r="Z159" s="57">
        <v>1006</v>
      </c>
      <c r="AA159" s="57">
        <v>1106</v>
      </c>
      <c r="AB159" s="57">
        <v>0</v>
      </c>
      <c r="AC159" s="57">
        <v>0</v>
      </c>
      <c r="AD159" s="57">
        <v>0</v>
      </c>
      <c r="AE159" s="58">
        <v>0</v>
      </c>
      <c r="AF159" s="30">
        <v>0</v>
      </c>
      <c r="AG159" s="57">
        <v>0</v>
      </c>
      <c r="AH159" s="57">
        <v>0</v>
      </c>
      <c r="AI159" s="57">
        <v>0</v>
      </c>
      <c r="AJ159" s="57">
        <v>0</v>
      </c>
      <c r="AK159" s="57">
        <v>0</v>
      </c>
      <c r="AL159" s="57">
        <v>0</v>
      </c>
      <c r="AM159" s="57">
        <v>0</v>
      </c>
      <c r="AN159" s="57">
        <v>0</v>
      </c>
      <c r="AO159" s="57">
        <v>0</v>
      </c>
      <c r="AP159" s="57">
        <v>0</v>
      </c>
      <c r="AQ159" s="57">
        <v>0</v>
      </c>
      <c r="AR159" s="57">
        <v>0</v>
      </c>
      <c r="AS159" s="57">
        <v>0</v>
      </c>
      <c r="AT159" s="57">
        <v>0</v>
      </c>
      <c r="AU159" s="57">
        <v>0</v>
      </c>
      <c r="AV159" s="57">
        <v>0</v>
      </c>
      <c r="AW159" s="57">
        <v>0</v>
      </c>
      <c r="AX159" s="57">
        <v>0</v>
      </c>
      <c r="AY159" s="57">
        <v>0</v>
      </c>
      <c r="AZ159" s="57">
        <v>0</v>
      </c>
      <c r="BA159" s="57">
        <v>0</v>
      </c>
      <c r="BB159" s="57">
        <v>0</v>
      </c>
      <c r="BC159" s="57">
        <v>0</v>
      </c>
      <c r="BD159" s="57">
        <v>0</v>
      </c>
      <c r="BE159" s="57">
        <v>0</v>
      </c>
      <c r="BF159" s="57">
        <v>0</v>
      </c>
      <c r="BG159" s="57">
        <v>0</v>
      </c>
      <c r="BH159" s="57">
        <v>0</v>
      </c>
      <c r="BI159" s="57">
        <v>0</v>
      </c>
      <c r="BJ159" s="57">
        <v>0</v>
      </c>
      <c r="BK159" s="57">
        <v>0</v>
      </c>
      <c r="BL159" s="57">
        <v>0</v>
      </c>
      <c r="BM159" s="57">
        <v>0</v>
      </c>
      <c r="BN159" s="57">
        <v>0</v>
      </c>
      <c r="BO159" s="57">
        <v>0</v>
      </c>
      <c r="BP159" s="57">
        <v>0</v>
      </c>
      <c r="BQ159" s="57">
        <v>0</v>
      </c>
      <c r="BR159" s="57">
        <v>0</v>
      </c>
      <c r="BS159" s="57">
        <v>0</v>
      </c>
      <c r="BT159" s="57">
        <v>0</v>
      </c>
      <c r="BU159" s="57">
        <v>0</v>
      </c>
      <c r="BV159" s="57">
        <v>0</v>
      </c>
      <c r="BW159" s="57">
        <v>0</v>
      </c>
      <c r="BX159" s="57">
        <v>0</v>
      </c>
      <c r="BY159" s="57">
        <v>0</v>
      </c>
      <c r="BZ159" s="57">
        <v>0</v>
      </c>
      <c r="CA159" s="57">
        <v>0</v>
      </c>
    </row>
    <row r="160" spans="1:79" x14ac:dyDescent="0.3">
      <c r="A160" s="19"/>
      <c r="B160" s="20" t="str">
        <f t="shared" si="38"/>
        <v>14940001</v>
      </c>
      <c r="C160" s="55" t="str">
        <f t="shared" si="70"/>
        <v>4</v>
      </c>
      <c r="D160" s="55">
        <f t="shared" si="71"/>
        <v>9</v>
      </c>
      <c r="E160" s="49">
        <v>1</v>
      </c>
      <c r="F160" s="57">
        <v>1</v>
      </c>
      <c r="G160" s="57">
        <v>9</v>
      </c>
      <c r="H160" s="57" t="str">
        <f t="shared" si="41"/>
        <v>Item_Name_14940001</v>
      </c>
      <c r="I160" s="57" t="s">
        <v>585</v>
      </c>
      <c r="J160" s="57">
        <v>10104001</v>
      </c>
      <c r="K160" s="57">
        <v>4</v>
      </c>
      <c r="L160" s="57">
        <v>0</v>
      </c>
      <c r="M160" s="57">
        <v>0</v>
      </c>
      <c r="N160" s="57">
        <v>15</v>
      </c>
      <c r="O160" s="57">
        <v>100</v>
      </c>
      <c r="P160" s="57">
        <v>1</v>
      </c>
      <c r="Q160" s="57" t="s">
        <v>776</v>
      </c>
      <c r="R160" s="57" t="s">
        <v>531</v>
      </c>
      <c r="S160" s="57" t="s">
        <v>502</v>
      </c>
      <c r="T160" s="57" t="s">
        <v>400</v>
      </c>
      <c r="U160" s="57">
        <v>0</v>
      </c>
      <c r="V160" s="57">
        <v>0</v>
      </c>
      <c r="W160" s="57">
        <v>17</v>
      </c>
      <c r="X160" s="57">
        <v>12</v>
      </c>
      <c r="Y160" s="57">
        <v>1004</v>
      </c>
      <c r="Z160" s="57">
        <v>1006</v>
      </c>
      <c r="AA160" s="57">
        <v>1106</v>
      </c>
      <c r="AB160" s="57">
        <v>1206</v>
      </c>
      <c r="AC160" s="57">
        <v>0</v>
      </c>
      <c r="AD160" s="57">
        <v>0</v>
      </c>
      <c r="AE160" s="58">
        <v>0</v>
      </c>
      <c r="AF160" s="30">
        <v>0</v>
      </c>
      <c r="AG160" s="57">
        <v>0</v>
      </c>
      <c r="AH160" s="57">
        <v>0</v>
      </c>
      <c r="AI160" s="57">
        <v>0</v>
      </c>
      <c r="AJ160" s="57">
        <v>0</v>
      </c>
      <c r="AK160" s="57">
        <v>0</v>
      </c>
      <c r="AL160" s="57">
        <v>0</v>
      </c>
      <c r="AM160" s="57">
        <v>0</v>
      </c>
      <c r="AN160" s="57">
        <v>0</v>
      </c>
      <c r="AO160" s="57">
        <v>0</v>
      </c>
      <c r="AP160" s="57">
        <v>0</v>
      </c>
      <c r="AQ160" s="57">
        <v>0</v>
      </c>
      <c r="AR160" s="57">
        <v>0</v>
      </c>
      <c r="AS160" s="57">
        <v>0</v>
      </c>
      <c r="AT160" s="57">
        <v>0</v>
      </c>
      <c r="AU160" s="57">
        <v>0</v>
      </c>
      <c r="AV160" s="57">
        <v>0</v>
      </c>
      <c r="AW160" s="57">
        <v>0</v>
      </c>
      <c r="AX160" s="57">
        <v>0</v>
      </c>
      <c r="AY160" s="57">
        <v>0</v>
      </c>
      <c r="AZ160" s="57">
        <v>0</v>
      </c>
      <c r="BA160" s="57">
        <v>0</v>
      </c>
      <c r="BB160" s="57">
        <v>0</v>
      </c>
      <c r="BC160" s="57">
        <v>0</v>
      </c>
      <c r="BD160" s="57">
        <v>0</v>
      </c>
      <c r="BE160" s="57">
        <v>0</v>
      </c>
      <c r="BF160" s="57">
        <v>0</v>
      </c>
      <c r="BG160" s="57">
        <v>0</v>
      </c>
      <c r="BH160" s="57">
        <v>0</v>
      </c>
      <c r="BI160" s="57">
        <v>0</v>
      </c>
      <c r="BJ160" s="57">
        <v>0</v>
      </c>
      <c r="BK160" s="57">
        <v>0</v>
      </c>
      <c r="BL160" s="57">
        <v>0</v>
      </c>
      <c r="BM160" s="57">
        <v>0</v>
      </c>
      <c r="BN160" s="57">
        <v>0</v>
      </c>
      <c r="BO160" s="57">
        <v>0</v>
      </c>
      <c r="BP160" s="57">
        <v>0</v>
      </c>
      <c r="BQ160" s="57">
        <v>0</v>
      </c>
      <c r="BR160" s="57">
        <v>0</v>
      </c>
      <c r="BS160" s="57">
        <v>0</v>
      </c>
      <c r="BT160" s="57">
        <v>0</v>
      </c>
      <c r="BU160" s="57">
        <v>0</v>
      </c>
      <c r="BV160" s="57">
        <v>0</v>
      </c>
      <c r="BW160" s="57">
        <v>0</v>
      </c>
      <c r="BX160" s="57">
        <v>0</v>
      </c>
      <c r="BY160" s="57">
        <v>0</v>
      </c>
      <c r="BZ160" s="57">
        <v>0</v>
      </c>
      <c r="CA160" s="57">
        <v>0</v>
      </c>
    </row>
    <row r="161" spans="1:79" x14ac:dyDescent="0.3">
      <c r="A161" s="19"/>
      <c r="B161" s="20" t="str">
        <f t="shared" si="38"/>
        <v>10710001</v>
      </c>
      <c r="C161" s="55">
        <f t="shared" si="39"/>
        <v>0</v>
      </c>
      <c r="D161" s="55">
        <f t="shared" si="40"/>
        <v>7</v>
      </c>
      <c r="E161" s="49">
        <v>1</v>
      </c>
      <c r="F161" s="20">
        <v>1</v>
      </c>
      <c r="G161" s="20">
        <v>7</v>
      </c>
      <c r="H161" s="20" t="str">
        <f t="shared" si="41"/>
        <v>Item_Name_10710001</v>
      </c>
      <c r="I161" s="20" t="s">
        <v>428</v>
      </c>
      <c r="J161" s="20">
        <v>0</v>
      </c>
      <c r="K161" s="20">
        <v>1</v>
      </c>
      <c r="L161" s="20">
        <v>0</v>
      </c>
      <c r="M161" s="20">
        <v>0</v>
      </c>
      <c r="N161" s="20">
        <v>15</v>
      </c>
      <c r="O161" s="20">
        <v>100</v>
      </c>
      <c r="P161" s="20">
        <v>1</v>
      </c>
      <c r="Q161" s="20" t="s">
        <v>238</v>
      </c>
      <c r="R161" s="20" t="s">
        <v>171</v>
      </c>
      <c r="S161" s="20" t="s">
        <v>327</v>
      </c>
      <c r="T161" s="20" t="s">
        <v>429</v>
      </c>
      <c r="U161" s="20">
        <v>0</v>
      </c>
      <c r="V161" s="20">
        <v>0</v>
      </c>
      <c r="W161" s="20">
        <v>23</v>
      </c>
      <c r="X161" s="20">
        <v>25</v>
      </c>
      <c r="Y161" s="20">
        <v>1001</v>
      </c>
      <c r="Z161" s="20">
        <v>0</v>
      </c>
      <c r="AA161" s="20">
        <v>0</v>
      </c>
      <c r="AB161" s="20">
        <v>0</v>
      </c>
      <c r="AC161" s="20">
        <v>0</v>
      </c>
      <c r="AD161" s="20">
        <v>0</v>
      </c>
      <c r="AE161" s="39">
        <v>0</v>
      </c>
      <c r="AF161" s="31">
        <v>0</v>
      </c>
      <c r="AG161" s="20">
        <v>0</v>
      </c>
      <c r="AH161" s="20">
        <v>0</v>
      </c>
      <c r="AI161" s="20">
        <v>0</v>
      </c>
      <c r="AJ161" s="20">
        <v>0</v>
      </c>
      <c r="AK161" s="20">
        <v>0</v>
      </c>
      <c r="AL161" s="20">
        <v>0</v>
      </c>
      <c r="AM161" s="20">
        <v>0</v>
      </c>
      <c r="AN161" s="20">
        <v>0</v>
      </c>
      <c r="AO161" s="20">
        <v>0</v>
      </c>
      <c r="AP161" s="20">
        <v>0</v>
      </c>
      <c r="AQ161" s="20">
        <v>0</v>
      </c>
      <c r="AR161" s="20">
        <v>0</v>
      </c>
      <c r="AS161" s="20">
        <v>0</v>
      </c>
      <c r="AT161" s="20">
        <v>0</v>
      </c>
      <c r="AU161" s="20">
        <v>0</v>
      </c>
      <c r="AV161" s="20">
        <v>0</v>
      </c>
      <c r="AW161" s="20">
        <v>0</v>
      </c>
      <c r="AX161" s="20">
        <v>0</v>
      </c>
      <c r="AY161" s="20">
        <v>0</v>
      </c>
      <c r="AZ161" s="20">
        <v>0</v>
      </c>
      <c r="BA161" s="20">
        <v>0</v>
      </c>
      <c r="BB161" s="20">
        <v>0</v>
      </c>
      <c r="BC161" s="20">
        <v>0</v>
      </c>
      <c r="BD161" s="20">
        <v>0</v>
      </c>
      <c r="BE161" s="20">
        <v>0</v>
      </c>
      <c r="BF161" s="20">
        <v>0</v>
      </c>
      <c r="BG161" s="20">
        <v>0</v>
      </c>
      <c r="BH161" s="20">
        <v>0</v>
      </c>
      <c r="BI161" s="20">
        <v>0</v>
      </c>
      <c r="BJ161" s="20">
        <v>0</v>
      </c>
      <c r="BK161" s="20">
        <v>0</v>
      </c>
      <c r="BL161" s="20">
        <v>0</v>
      </c>
      <c r="BM161" s="20">
        <v>0</v>
      </c>
      <c r="BN161" s="20">
        <v>0</v>
      </c>
      <c r="BO161" s="20">
        <v>0</v>
      </c>
      <c r="BP161" s="20">
        <v>0</v>
      </c>
      <c r="BQ161" s="20">
        <v>0</v>
      </c>
      <c r="BR161" s="20">
        <v>0</v>
      </c>
      <c r="BS161" s="20">
        <v>0</v>
      </c>
      <c r="BT161" s="20">
        <v>0</v>
      </c>
      <c r="BU161" s="20">
        <v>0</v>
      </c>
      <c r="BV161" s="20">
        <v>0</v>
      </c>
      <c r="BW161" s="20">
        <v>0</v>
      </c>
      <c r="BX161" s="20">
        <v>0</v>
      </c>
      <c r="BY161" s="20">
        <v>0</v>
      </c>
      <c r="BZ161" s="20">
        <v>0</v>
      </c>
      <c r="CA161" s="20">
        <v>0</v>
      </c>
    </row>
    <row r="162" spans="1:79" x14ac:dyDescent="0.3">
      <c r="A162" s="19"/>
      <c r="B162" s="20" t="str">
        <f t="shared" si="38"/>
        <v>10710002</v>
      </c>
      <c r="C162" s="55">
        <f t="shared" si="39"/>
        <v>0</v>
      </c>
      <c r="D162" s="55">
        <f t="shared" si="40"/>
        <v>7</v>
      </c>
      <c r="E162" s="49">
        <v>2</v>
      </c>
      <c r="F162" s="20">
        <v>1</v>
      </c>
      <c r="G162" s="20">
        <v>7</v>
      </c>
      <c r="H162" s="20" t="str">
        <f t="shared" si="41"/>
        <v>Item_Name_10710002</v>
      </c>
      <c r="I162" s="20" t="s">
        <v>430</v>
      </c>
      <c r="J162" s="20">
        <v>0</v>
      </c>
      <c r="K162" s="20">
        <v>1</v>
      </c>
      <c r="L162" s="20">
        <v>0</v>
      </c>
      <c r="M162" s="20">
        <v>0</v>
      </c>
      <c r="N162" s="20">
        <v>15</v>
      </c>
      <c r="O162" s="20">
        <v>100</v>
      </c>
      <c r="P162" s="20">
        <v>1</v>
      </c>
      <c r="Q162" s="20" t="s">
        <v>239</v>
      </c>
      <c r="R162" s="20" t="s">
        <v>171</v>
      </c>
      <c r="S162" s="20" t="s">
        <v>327</v>
      </c>
      <c r="T162" s="20" t="s">
        <v>429</v>
      </c>
      <c r="U162" s="20">
        <v>0</v>
      </c>
      <c r="V162" s="20">
        <v>0</v>
      </c>
      <c r="W162" s="20">
        <v>23</v>
      </c>
      <c r="X162" s="20">
        <v>25</v>
      </c>
      <c r="Y162" s="20">
        <v>1003</v>
      </c>
      <c r="Z162" s="20">
        <v>0</v>
      </c>
      <c r="AA162" s="20">
        <v>0</v>
      </c>
      <c r="AB162" s="20">
        <v>0</v>
      </c>
      <c r="AC162" s="20">
        <v>0</v>
      </c>
      <c r="AD162" s="20">
        <v>0</v>
      </c>
      <c r="AE162" s="39">
        <v>0</v>
      </c>
      <c r="AF162" s="31">
        <v>0</v>
      </c>
      <c r="AG162" s="20">
        <v>0</v>
      </c>
      <c r="AH162" s="20">
        <v>0</v>
      </c>
      <c r="AI162" s="20">
        <v>0</v>
      </c>
      <c r="AJ162" s="20">
        <v>0</v>
      </c>
      <c r="AK162" s="20">
        <v>0</v>
      </c>
      <c r="AL162" s="20">
        <v>0</v>
      </c>
      <c r="AM162" s="20">
        <v>0</v>
      </c>
      <c r="AN162" s="20">
        <v>0</v>
      </c>
      <c r="AO162" s="20">
        <v>0</v>
      </c>
      <c r="AP162" s="20">
        <v>0</v>
      </c>
      <c r="AQ162" s="20">
        <v>0</v>
      </c>
      <c r="AR162" s="20">
        <v>0</v>
      </c>
      <c r="AS162" s="20">
        <v>0</v>
      </c>
      <c r="AT162" s="20">
        <v>0</v>
      </c>
      <c r="AU162" s="20">
        <v>0</v>
      </c>
      <c r="AV162" s="20">
        <v>0</v>
      </c>
      <c r="AW162" s="20">
        <v>0</v>
      </c>
      <c r="AX162" s="20">
        <v>0</v>
      </c>
      <c r="AY162" s="20">
        <v>0</v>
      </c>
      <c r="AZ162" s="20">
        <v>0</v>
      </c>
      <c r="BA162" s="20">
        <v>0</v>
      </c>
      <c r="BB162" s="20">
        <v>0</v>
      </c>
      <c r="BC162" s="20">
        <v>0</v>
      </c>
      <c r="BD162" s="20">
        <v>0</v>
      </c>
      <c r="BE162" s="20">
        <v>0</v>
      </c>
      <c r="BF162" s="20">
        <v>0</v>
      </c>
      <c r="BG162" s="20">
        <v>0</v>
      </c>
      <c r="BH162" s="20">
        <v>0</v>
      </c>
      <c r="BI162" s="20">
        <v>0</v>
      </c>
      <c r="BJ162" s="20">
        <v>0</v>
      </c>
      <c r="BK162" s="20">
        <v>0</v>
      </c>
      <c r="BL162" s="20">
        <v>0</v>
      </c>
      <c r="BM162" s="20">
        <v>0</v>
      </c>
      <c r="BN162" s="20">
        <v>0</v>
      </c>
      <c r="BO162" s="20">
        <v>0</v>
      </c>
      <c r="BP162" s="20">
        <v>0</v>
      </c>
      <c r="BQ162" s="20">
        <v>0</v>
      </c>
      <c r="BR162" s="20">
        <v>0</v>
      </c>
      <c r="BS162" s="20">
        <v>0</v>
      </c>
      <c r="BT162" s="20">
        <v>0</v>
      </c>
      <c r="BU162" s="20">
        <v>0</v>
      </c>
      <c r="BV162" s="20">
        <v>0</v>
      </c>
      <c r="BW162" s="20">
        <v>0</v>
      </c>
      <c r="BX162" s="20">
        <v>0</v>
      </c>
      <c r="BY162" s="20">
        <v>0</v>
      </c>
      <c r="BZ162" s="20">
        <v>0</v>
      </c>
      <c r="CA162" s="20">
        <v>0</v>
      </c>
    </row>
    <row r="163" spans="1:79" x14ac:dyDescent="0.3">
      <c r="A163" s="19"/>
      <c r="B163" s="20" t="str">
        <f t="shared" si="38"/>
        <v>10710003</v>
      </c>
      <c r="C163" s="55">
        <f t="shared" si="39"/>
        <v>0</v>
      </c>
      <c r="D163" s="55">
        <f t="shared" si="40"/>
        <v>7</v>
      </c>
      <c r="E163" s="49">
        <v>3</v>
      </c>
      <c r="F163" s="20">
        <v>1</v>
      </c>
      <c r="G163" s="20">
        <v>7</v>
      </c>
      <c r="H163" s="20" t="str">
        <f t="shared" si="41"/>
        <v>Item_Name_10710003</v>
      </c>
      <c r="I163" s="20" t="s">
        <v>431</v>
      </c>
      <c r="J163" s="20">
        <v>0</v>
      </c>
      <c r="K163" s="20">
        <v>1</v>
      </c>
      <c r="L163" s="20">
        <v>0</v>
      </c>
      <c r="M163" s="20">
        <v>0</v>
      </c>
      <c r="N163" s="20">
        <v>15</v>
      </c>
      <c r="O163" s="20">
        <v>100</v>
      </c>
      <c r="P163" s="20">
        <v>1</v>
      </c>
      <c r="Q163" s="20" t="s">
        <v>240</v>
      </c>
      <c r="R163" s="20" t="s">
        <v>171</v>
      </c>
      <c r="S163" s="20" t="s">
        <v>327</v>
      </c>
      <c r="T163" s="20" t="s">
        <v>429</v>
      </c>
      <c r="U163" s="20">
        <v>0</v>
      </c>
      <c r="V163" s="20">
        <v>0</v>
      </c>
      <c r="W163" s="20">
        <v>23</v>
      </c>
      <c r="X163" s="20">
        <v>25</v>
      </c>
      <c r="Y163" s="20">
        <v>1002</v>
      </c>
      <c r="Z163" s="20">
        <v>0</v>
      </c>
      <c r="AA163" s="20">
        <v>0</v>
      </c>
      <c r="AB163" s="20">
        <v>0</v>
      </c>
      <c r="AC163" s="20">
        <v>0</v>
      </c>
      <c r="AD163" s="20">
        <v>0</v>
      </c>
      <c r="AE163" s="39">
        <v>0</v>
      </c>
      <c r="AF163" s="31">
        <v>0</v>
      </c>
      <c r="AG163" s="20">
        <v>0</v>
      </c>
      <c r="AH163" s="20">
        <v>0</v>
      </c>
      <c r="AI163" s="20">
        <v>0</v>
      </c>
      <c r="AJ163" s="20">
        <v>0</v>
      </c>
      <c r="AK163" s="20">
        <v>0</v>
      </c>
      <c r="AL163" s="20">
        <v>0</v>
      </c>
      <c r="AM163" s="20">
        <v>0</v>
      </c>
      <c r="AN163" s="20">
        <v>0</v>
      </c>
      <c r="AO163" s="20">
        <v>0</v>
      </c>
      <c r="AP163" s="20">
        <v>0</v>
      </c>
      <c r="AQ163" s="20">
        <v>0</v>
      </c>
      <c r="AR163" s="20">
        <v>0</v>
      </c>
      <c r="AS163" s="20">
        <v>0</v>
      </c>
      <c r="AT163" s="20">
        <v>0</v>
      </c>
      <c r="AU163" s="20">
        <v>0</v>
      </c>
      <c r="AV163" s="20">
        <v>0</v>
      </c>
      <c r="AW163" s="20">
        <v>0</v>
      </c>
      <c r="AX163" s="20">
        <v>0</v>
      </c>
      <c r="AY163" s="20">
        <v>0</v>
      </c>
      <c r="AZ163" s="20">
        <v>0</v>
      </c>
      <c r="BA163" s="20">
        <v>0</v>
      </c>
      <c r="BB163" s="20">
        <v>0</v>
      </c>
      <c r="BC163" s="20">
        <v>0</v>
      </c>
      <c r="BD163" s="20">
        <v>0</v>
      </c>
      <c r="BE163" s="20">
        <v>0</v>
      </c>
      <c r="BF163" s="20">
        <v>0</v>
      </c>
      <c r="BG163" s="20">
        <v>0</v>
      </c>
      <c r="BH163" s="20">
        <v>0</v>
      </c>
      <c r="BI163" s="20">
        <v>0</v>
      </c>
      <c r="BJ163" s="20">
        <v>0</v>
      </c>
      <c r="BK163" s="20">
        <v>0</v>
      </c>
      <c r="BL163" s="20">
        <v>0</v>
      </c>
      <c r="BM163" s="20">
        <v>0</v>
      </c>
      <c r="BN163" s="20">
        <v>0</v>
      </c>
      <c r="BO163" s="20">
        <v>0</v>
      </c>
      <c r="BP163" s="20">
        <v>0</v>
      </c>
      <c r="BQ163" s="20">
        <v>0</v>
      </c>
      <c r="BR163" s="20">
        <v>0</v>
      </c>
      <c r="BS163" s="20">
        <v>0</v>
      </c>
      <c r="BT163" s="20">
        <v>0</v>
      </c>
      <c r="BU163" s="20">
        <v>0</v>
      </c>
      <c r="BV163" s="20">
        <v>0</v>
      </c>
      <c r="BW163" s="20">
        <v>0</v>
      </c>
      <c r="BX163" s="20">
        <v>0</v>
      </c>
      <c r="BY163" s="20">
        <v>0</v>
      </c>
      <c r="BZ163" s="20">
        <v>0</v>
      </c>
      <c r="CA163" s="20">
        <v>0</v>
      </c>
    </row>
    <row r="164" spans="1:79" x14ac:dyDescent="0.3">
      <c r="A164" s="19"/>
      <c r="B164" s="20" t="str">
        <f t="shared" si="38"/>
        <v>10710004</v>
      </c>
      <c r="C164" s="55">
        <f t="shared" si="39"/>
        <v>0</v>
      </c>
      <c r="D164" s="55">
        <f t="shared" si="40"/>
        <v>7</v>
      </c>
      <c r="E164" s="49">
        <v>4</v>
      </c>
      <c r="F164" s="20">
        <v>1</v>
      </c>
      <c r="G164" s="20">
        <v>7</v>
      </c>
      <c r="H164" s="20" t="str">
        <f t="shared" si="41"/>
        <v>Item_Name_10710004</v>
      </c>
      <c r="I164" s="20" t="s">
        <v>432</v>
      </c>
      <c r="J164" s="20">
        <v>0</v>
      </c>
      <c r="K164" s="20">
        <v>1</v>
      </c>
      <c r="L164" s="20">
        <v>0</v>
      </c>
      <c r="M164" s="20">
        <v>0</v>
      </c>
      <c r="N164" s="20">
        <v>15</v>
      </c>
      <c r="O164" s="20">
        <v>100</v>
      </c>
      <c r="P164" s="20">
        <v>1</v>
      </c>
      <c r="Q164" s="20" t="s">
        <v>241</v>
      </c>
      <c r="R164" s="20" t="s">
        <v>171</v>
      </c>
      <c r="S164" s="20" t="s">
        <v>327</v>
      </c>
      <c r="T164" s="20" t="s">
        <v>429</v>
      </c>
      <c r="U164" s="20">
        <v>0</v>
      </c>
      <c r="V164" s="20">
        <v>0</v>
      </c>
      <c r="W164" s="20">
        <v>23</v>
      </c>
      <c r="X164" s="20">
        <v>25</v>
      </c>
      <c r="Y164" s="20">
        <v>1004</v>
      </c>
      <c r="Z164" s="20">
        <v>0</v>
      </c>
      <c r="AA164" s="20">
        <v>0</v>
      </c>
      <c r="AB164" s="20">
        <v>0</v>
      </c>
      <c r="AC164" s="20">
        <v>0</v>
      </c>
      <c r="AD164" s="20">
        <v>0</v>
      </c>
      <c r="AE164" s="39">
        <v>0</v>
      </c>
      <c r="AF164" s="31">
        <v>0</v>
      </c>
      <c r="AG164" s="20">
        <v>0</v>
      </c>
      <c r="AH164" s="20">
        <v>0</v>
      </c>
      <c r="AI164" s="20">
        <v>0</v>
      </c>
      <c r="AJ164" s="20">
        <v>0</v>
      </c>
      <c r="AK164" s="20">
        <v>0</v>
      </c>
      <c r="AL164" s="20">
        <v>0</v>
      </c>
      <c r="AM164" s="20">
        <v>0</v>
      </c>
      <c r="AN164" s="20">
        <v>0</v>
      </c>
      <c r="AO164" s="20">
        <v>0</v>
      </c>
      <c r="AP164" s="20">
        <v>0</v>
      </c>
      <c r="AQ164" s="20">
        <v>0</v>
      </c>
      <c r="AR164" s="20">
        <v>0</v>
      </c>
      <c r="AS164" s="20">
        <v>0</v>
      </c>
      <c r="AT164" s="20">
        <v>0</v>
      </c>
      <c r="AU164" s="20">
        <v>0</v>
      </c>
      <c r="AV164" s="20">
        <v>0</v>
      </c>
      <c r="AW164" s="20">
        <v>0</v>
      </c>
      <c r="AX164" s="20">
        <v>0</v>
      </c>
      <c r="AY164" s="20">
        <v>0</v>
      </c>
      <c r="AZ164" s="20">
        <v>0</v>
      </c>
      <c r="BA164" s="20">
        <v>0</v>
      </c>
      <c r="BB164" s="20">
        <v>0</v>
      </c>
      <c r="BC164" s="20">
        <v>0</v>
      </c>
      <c r="BD164" s="20">
        <v>0</v>
      </c>
      <c r="BE164" s="20">
        <v>0</v>
      </c>
      <c r="BF164" s="20">
        <v>0</v>
      </c>
      <c r="BG164" s="20">
        <v>0</v>
      </c>
      <c r="BH164" s="20">
        <v>0</v>
      </c>
      <c r="BI164" s="20">
        <v>0</v>
      </c>
      <c r="BJ164" s="20">
        <v>0</v>
      </c>
      <c r="BK164" s="20">
        <v>0</v>
      </c>
      <c r="BL164" s="20">
        <v>0</v>
      </c>
      <c r="BM164" s="20">
        <v>0</v>
      </c>
      <c r="BN164" s="20">
        <v>0</v>
      </c>
      <c r="BO164" s="20">
        <v>0</v>
      </c>
      <c r="BP164" s="20">
        <v>0</v>
      </c>
      <c r="BQ164" s="20">
        <v>0</v>
      </c>
      <c r="BR164" s="20">
        <v>0</v>
      </c>
      <c r="BS164" s="20">
        <v>0</v>
      </c>
      <c r="BT164" s="20">
        <v>0</v>
      </c>
      <c r="BU164" s="20">
        <v>0</v>
      </c>
      <c r="BV164" s="20">
        <v>0</v>
      </c>
      <c r="BW164" s="20">
        <v>0</v>
      </c>
      <c r="BX164" s="20">
        <v>0</v>
      </c>
      <c r="BY164" s="20">
        <v>0</v>
      </c>
      <c r="BZ164" s="20">
        <v>0</v>
      </c>
      <c r="CA164" s="20">
        <v>0</v>
      </c>
    </row>
    <row r="165" spans="1:79" x14ac:dyDescent="0.3">
      <c r="A165" s="19"/>
      <c r="B165" s="20" t="str">
        <f t="shared" si="38"/>
        <v>10710005</v>
      </c>
      <c r="C165" s="55">
        <f t="shared" si="39"/>
        <v>0</v>
      </c>
      <c r="D165" s="55">
        <f t="shared" si="40"/>
        <v>7</v>
      </c>
      <c r="E165" s="49">
        <v>5</v>
      </c>
      <c r="F165" s="20">
        <v>1</v>
      </c>
      <c r="G165" s="20">
        <v>7</v>
      </c>
      <c r="H165" s="20" t="str">
        <f t="shared" si="41"/>
        <v>Item_Name_10710005</v>
      </c>
      <c r="I165" s="20" t="s">
        <v>433</v>
      </c>
      <c r="J165" s="20">
        <v>0</v>
      </c>
      <c r="K165" s="20">
        <v>1</v>
      </c>
      <c r="L165" s="20">
        <v>0</v>
      </c>
      <c r="M165" s="20">
        <v>0</v>
      </c>
      <c r="N165" s="20">
        <v>15</v>
      </c>
      <c r="O165" s="20">
        <v>100</v>
      </c>
      <c r="P165" s="20">
        <v>1</v>
      </c>
      <c r="Q165" s="20" t="s">
        <v>242</v>
      </c>
      <c r="R165" s="20" t="s">
        <v>171</v>
      </c>
      <c r="S165" s="20" t="s">
        <v>327</v>
      </c>
      <c r="T165" s="20" t="s">
        <v>429</v>
      </c>
      <c r="U165" s="20">
        <v>0</v>
      </c>
      <c r="V165" s="20">
        <v>0</v>
      </c>
      <c r="W165" s="20">
        <v>23</v>
      </c>
      <c r="X165" s="20">
        <v>25</v>
      </c>
      <c r="Y165" s="20">
        <v>1004</v>
      </c>
      <c r="Z165" s="20">
        <v>0</v>
      </c>
      <c r="AA165" s="20">
        <v>0</v>
      </c>
      <c r="AB165" s="20">
        <v>0</v>
      </c>
      <c r="AC165" s="20">
        <v>0</v>
      </c>
      <c r="AD165" s="20">
        <v>0</v>
      </c>
      <c r="AE165" s="39">
        <v>0</v>
      </c>
      <c r="AF165" s="31">
        <v>0</v>
      </c>
      <c r="AG165" s="20">
        <v>0</v>
      </c>
      <c r="AH165" s="20">
        <v>0</v>
      </c>
      <c r="AI165" s="20">
        <v>0</v>
      </c>
      <c r="AJ165" s="20">
        <v>0</v>
      </c>
      <c r="AK165" s="20">
        <v>0</v>
      </c>
      <c r="AL165" s="20">
        <v>0</v>
      </c>
      <c r="AM165" s="20">
        <v>0</v>
      </c>
      <c r="AN165" s="20">
        <v>0</v>
      </c>
      <c r="AO165" s="20">
        <v>0</v>
      </c>
      <c r="AP165" s="20">
        <v>0</v>
      </c>
      <c r="AQ165" s="20">
        <v>0</v>
      </c>
      <c r="AR165" s="20">
        <v>0</v>
      </c>
      <c r="AS165" s="20">
        <v>0</v>
      </c>
      <c r="AT165" s="20">
        <v>0</v>
      </c>
      <c r="AU165" s="20">
        <v>0</v>
      </c>
      <c r="AV165" s="20">
        <v>0</v>
      </c>
      <c r="AW165" s="20">
        <v>0</v>
      </c>
      <c r="AX165" s="20">
        <v>0</v>
      </c>
      <c r="AY165" s="20">
        <v>0</v>
      </c>
      <c r="AZ165" s="20">
        <v>0</v>
      </c>
      <c r="BA165" s="20">
        <v>0</v>
      </c>
      <c r="BB165" s="20">
        <v>0</v>
      </c>
      <c r="BC165" s="20">
        <v>0</v>
      </c>
      <c r="BD165" s="20">
        <v>0</v>
      </c>
      <c r="BE165" s="20">
        <v>0</v>
      </c>
      <c r="BF165" s="20">
        <v>0</v>
      </c>
      <c r="BG165" s="20">
        <v>0</v>
      </c>
      <c r="BH165" s="20">
        <v>0</v>
      </c>
      <c r="BI165" s="20">
        <v>0</v>
      </c>
      <c r="BJ165" s="20">
        <v>0</v>
      </c>
      <c r="BK165" s="20">
        <v>0</v>
      </c>
      <c r="BL165" s="20">
        <v>0</v>
      </c>
      <c r="BM165" s="20">
        <v>0</v>
      </c>
      <c r="BN165" s="20">
        <v>0</v>
      </c>
      <c r="BO165" s="20">
        <v>0</v>
      </c>
      <c r="BP165" s="20">
        <v>0</v>
      </c>
      <c r="BQ165" s="20">
        <v>0</v>
      </c>
      <c r="BR165" s="20">
        <v>0</v>
      </c>
      <c r="BS165" s="20">
        <v>0</v>
      </c>
      <c r="BT165" s="20">
        <v>0</v>
      </c>
      <c r="BU165" s="20">
        <v>0</v>
      </c>
      <c r="BV165" s="20">
        <v>0</v>
      </c>
      <c r="BW165" s="20">
        <v>0</v>
      </c>
      <c r="BX165" s="20">
        <v>0</v>
      </c>
      <c r="BY165" s="20">
        <v>0</v>
      </c>
      <c r="BZ165" s="20">
        <v>0</v>
      </c>
      <c r="CA165" s="20">
        <v>0</v>
      </c>
    </row>
    <row r="166" spans="1:79" x14ac:dyDescent="0.3">
      <c r="A166" s="19"/>
      <c r="B166" s="20" t="str">
        <f t="shared" si="38"/>
        <v>10710006</v>
      </c>
      <c r="C166" s="55">
        <f t="shared" si="39"/>
        <v>0</v>
      </c>
      <c r="D166" s="55">
        <f t="shared" si="40"/>
        <v>7</v>
      </c>
      <c r="E166" s="49">
        <v>6</v>
      </c>
      <c r="F166" s="20">
        <v>1</v>
      </c>
      <c r="G166" s="20">
        <v>7</v>
      </c>
      <c r="H166" s="20" t="str">
        <f t="shared" si="41"/>
        <v>Item_Name_10710006</v>
      </c>
      <c r="I166" s="20" t="s">
        <v>434</v>
      </c>
      <c r="J166" s="20">
        <v>0</v>
      </c>
      <c r="K166" s="20">
        <v>1</v>
      </c>
      <c r="L166" s="20">
        <v>0</v>
      </c>
      <c r="M166" s="20">
        <v>0</v>
      </c>
      <c r="N166" s="20">
        <v>15</v>
      </c>
      <c r="O166" s="20">
        <v>100</v>
      </c>
      <c r="P166" s="20">
        <v>1</v>
      </c>
      <c r="Q166" s="20" t="s">
        <v>243</v>
      </c>
      <c r="R166" s="20" t="s">
        <v>171</v>
      </c>
      <c r="S166" s="20" t="s">
        <v>327</v>
      </c>
      <c r="T166" s="20" t="s">
        <v>429</v>
      </c>
      <c r="U166" s="20">
        <v>0</v>
      </c>
      <c r="V166" s="20">
        <v>0</v>
      </c>
      <c r="W166" s="20">
        <v>23</v>
      </c>
      <c r="X166" s="20">
        <v>25</v>
      </c>
      <c r="Y166" s="20">
        <v>1004</v>
      </c>
      <c r="Z166" s="20">
        <v>0</v>
      </c>
      <c r="AA166" s="20">
        <v>0</v>
      </c>
      <c r="AB166" s="20">
        <v>0</v>
      </c>
      <c r="AC166" s="20">
        <v>0</v>
      </c>
      <c r="AD166" s="20">
        <v>0</v>
      </c>
      <c r="AE166" s="39">
        <v>0</v>
      </c>
      <c r="AF166" s="31">
        <v>0</v>
      </c>
      <c r="AG166" s="20">
        <v>0</v>
      </c>
      <c r="AH166" s="20">
        <v>0</v>
      </c>
      <c r="AI166" s="20">
        <v>0</v>
      </c>
      <c r="AJ166" s="20">
        <v>0</v>
      </c>
      <c r="AK166" s="20">
        <v>0</v>
      </c>
      <c r="AL166" s="20">
        <v>0</v>
      </c>
      <c r="AM166" s="20">
        <v>0</v>
      </c>
      <c r="AN166" s="20">
        <v>0</v>
      </c>
      <c r="AO166" s="20">
        <v>0</v>
      </c>
      <c r="AP166" s="20">
        <v>0</v>
      </c>
      <c r="AQ166" s="20">
        <v>0</v>
      </c>
      <c r="AR166" s="20">
        <v>0</v>
      </c>
      <c r="AS166" s="20">
        <v>0</v>
      </c>
      <c r="AT166" s="20">
        <v>0</v>
      </c>
      <c r="AU166" s="20">
        <v>0</v>
      </c>
      <c r="AV166" s="20">
        <v>0</v>
      </c>
      <c r="AW166" s="20">
        <v>0</v>
      </c>
      <c r="AX166" s="20">
        <v>0</v>
      </c>
      <c r="AY166" s="20">
        <v>0</v>
      </c>
      <c r="AZ166" s="20">
        <v>0</v>
      </c>
      <c r="BA166" s="20">
        <v>0</v>
      </c>
      <c r="BB166" s="20">
        <v>0</v>
      </c>
      <c r="BC166" s="20">
        <v>0</v>
      </c>
      <c r="BD166" s="20">
        <v>0</v>
      </c>
      <c r="BE166" s="20">
        <v>0</v>
      </c>
      <c r="BF166" s="20">
        <v>0</v>
      </c>
      <c r="BG166" s="20">
        <v>0</v>
      </c>
      <c r="BH166" s="20">
        <v>0</v>
      </c>
      <c r="BI166" s="20">
        <v>0</v>
      </c>
      <c r="BJ166" s="20">
        <v>0</v>
      </c>
      <c r="BK166" s="20">
        <v>0</v>
      </c>
      <c r="BL166" s="20">
        <v>0</v>
      </c>
      <c r="BM166" s="20">
        <v>0</v>
      </c>
      <c r="BN166" s="20">
        <v>0</v>
      </c>
      <c r="BO166" s="20">
        <v>0</v>
      </c>
      <c r="BP166" s="20">
        <v>0</v>
      </c>
      <c r="BQ166" s="20">
        <v>0</v>
      </c>
      <c r="BR166" s="20">
        <v>0</v>
      </c>
      <c r="BS166" s="20">
        <v>0</v>
      </c>
      <c r="BT166" s="20">
        <v>0</v>
      </c>
      <c r="BU166" s="20">
        <v>0</v>
      </c>
      <c r="BV166" s="20">
        <v>0</v>
      </c>
      <c r="BW166" s="20">
        <v>0</v>
      </c>
      <c r="BX166" s="20">
        <v>0</v>
      </c>
      <c r="BY166" s="20">
        <v>0</v>
      </c>
      <c r="BZ166" s="20">
        <v>0</v>
      </c>
      <c r="CA166" s="20">
        <v>0</v>
      </c>
    </row>
    <row r="167" spans="1:79" x14ac:dyDescent="0.3">
      <c r="A167" s="19"/>
      <c r="B167" s="20" t="str">
        <f t="shared" si="38"/>
        <v>10710007</v>
      </c>
      <c r="C167" s="55">
        <f t="shared" si="39"/>
        <v>0</v>
      </c>
      <c r="D167" s="55">
        <f t="shared" si="40"/>
        <v>7</v>
      </c>
      <c r="E167" s="49">
        <v>7</v>
      </c>
      <c r="F167" s="20">
        <v>1</v>
      </c>
      <c r="G167" s="20">
        <v>7</v>
      </c>
      <c r="H167" s="20" t="str">
        <f t="shared" si="41"/>
        <v>Item_Name_10710007</v>
      </c>
      <c r="I167" s="20" t="s">
        <v>435</v>
      </c>
      <c r="J167" s="20">
        <v>0</v>
      </c>
      <c r="K167" s="20">
        <v>1</v>
      </c>
      <c r="L167" s="20">
        <v>0</v>
      </c>
      <c r="M167" s="20">
        <v>0</v>
      </c>
      <c r="N167" s="20">
        <v>15</v>
      </c>
      <c r="O167" s="20">
        <v>100</v>
      </c>
      <c r="P167" s="20">
        <v>1</v>
      </c>
      <c r="Q167" s="20" t="s">
        <v>244</v>
      </c>
      <c r="R167" s="20" t="s">
        <v>171</v>
      </c>
      <c r="S167" s="20" t="s">
        <v>327</v>
      </c>
      <c r="T167" s="20" t="s">
        <v>429</v>
      </c>
      <c r="U167" s="20">
        <v>0</v>
      </c>
      <c r="V167" s="20">
        <v>0</v>
      </c>
      <c r="W167" s="20">
        <v>23</v>
      </c>
      <c r="X167" s="20">
        <v>25</v>
      </c>
      <c r="Y167" s="20">
        <v>1005</v>
      </c>
      <c r="Z167" s="20">
        <v>0</v>
      </c>
      <c r="AA167" s="20">
        <v>0</v>
      </c>
      <c r="AB167" s="20">
        <v>0</v>
      </c>
      <c r="AC167" s="20">
        <v>0</v>
      </c>
      <c r="AD167" s="20">
        <v>0</v>
      </c>
      <c r="AE167" s="39">
        <v>0</v>
      </c>
      <c r="AF167" s="31">
        <v>0</v>
      </c>
      <c r="AG167" s="20">
        <v>0</v>
      </c>
      <c r="AH167" s="20">
        <v>0</v>
      </c>
      <c r="AI167" s="20">
        <v>0</v>
      </c>
      <c r="AJ167" s="20">
        <v>0</v>
      </c>
      <c r="AK167" s="20">
        <v>0</v>
      </c>
      <c r="AL167" s="20">
        <v>0</v>
      </c>
      <c r="AM167" s="20">
        <v>0</v>
      </c>
      <c r="AN167" s="20">
        <v>0</v>
      </c>
      <c r="AO167" s="20">
        <v>0</v>
      </c>
      <c r="AP167" s="20">
        <v>0</v>
      </c>
      <c r="AQ167" s="20">
        <v>0</v>
      </c>
      <c r="AR167" s="20">
        <v>0</v>
      </c>
      <c r="AS167" s="20">
        <v>0</v>
      </c>
      <c r="AT167" s="20">
        <v>0</v>
      </c>
      <c r="AU167" s="20">
        <v>0</v>
      </c>
      <c r="AV167" s="20">
        <v>0</v>
      </c>
      <c r="AW167" s="20">
        <v>0</v>
      </c>
      <c r="AX167" s="20">
        <v>0</v>
      </c>
      <c r="AY167" s="20">
        <v>0</v>
      </c>
      <c r="AZ167" s="20">
        <v>0</v>
      </c>
      <c r="BA167" s="20">
        <v>0</v>
      </c>
      <c r="BB167" s="20">
        <v>0</v>
      </c>
      <c r="BC167" s="20">
        <v>0</v>
      </c>
      <c r="BD167" s="20">
        <v>0</v>
      </c>
      <c r="BE167" s="20">
        <v>0</v>
      </c>
      <c r="BF167" s="20">
        <v>0</v>
      </c>
      <c r="BG167" s="20">
        <v>0</v>
      </c>
      <c r="BH167" s="20">
        <v>0</v>
      </c>
      <c r="BI167" s="20">
        <v>0</v>
      </c>
      <c r="BJ167" s="20">
        <v>0</v>
      </c>
      <c r="BK167" s="20">
        <v>0</v>
      </c>
      <c r="BL167" s="20">
        <v>0</v>
      </c>
      <c r="BM167" s="20">
        <v>0</v>
      </c>
      <c r="BN167" s="20">
        <v>0</v>
      </c>
      <c r="BO167" s="20">
        <v>0</v>
      </c>
      <c r="BP167" s="20">
        <v>0</v>
      </c>
      <c r="BQ167" s="20">
        <v>0</v>
      </c>
      <c r="BR167" s="20">
        <v>0</v>
      </c>
      <c r="BS167" s="20">
        <v>0</v>
      </c>
      <c r="BT167" s="20">
        <v>0</v>
      </c>
      <c r="BU167" s="20">
        <v>0</v>
      </c>
      <c r="BV167" s="20">
        <v>0</v>
      </c>
      <c r="BW167" s="20">
        <v>0</v>
      </c>
      <c r="BX167" s="20">
        <v>0</v>
      </c>
      <c r="BY167" s="20">
        <v>0</v>
      </c>
      <c r="BZ167" s="20">
        <v>0</v>
      </c>
      <c r="CA167" s="20">
        <v>0</v>
      </c>
    </row>
    <row r="168" spans="1:79" x14ac:dyDescent="0.3">
      <c r="A168" s="19"/>
      <c r="B168" s="20" t="str">
        <f t="shared" si="38"/>
        <v>10710008</v>
      </c>
      <c r="C168" s="55">
        <f t="shared" si="39"/>
        <v>0</v>
      </c>
      <c r="D168" s="55">
        <f t="shared" si="40"/>
        <v>7</v>
      </c>
      <c r="E168" s="49">
        <v>8</v>
      </c>
      <c r="F168" s="20">
        <v>1</v>
      </c>
      <c r="G168" s="20">
        <v>7</v>
      </c>
      <c r="H168" s="20" t="str">
        <f t="shared" si="41"/>
        <v>Item_Name_10710008</v>
      </c>
      <c r="I168" s="20" t="s">
        <v>436</v>
      </c>
      <c r="J168" s="20">
        <v>0</v>
      </c>
      <c r="K168" s="20">
        <v>1</v>
      </c>
      <c r="L168" s="20">
        <v>0</v>
      </c>
      <c r="M168" s="20">
        <v>0</v>
      </c>
      <c r="N168" s="20">
        <v>15</v>
      </c>
      <c r="O168" s="20">
        <v>100</v>
      </c>
      <c r="P168" s="20">
        <v>1</v>
      </c>
      <c r="Q168" s="20" t="s">
        <v>245</v>
      </c>
      <c r="R168" s="20" t="s">
        <v>171</v>
      </c>
      <c r="S168" s="20" t="s">
        <v>327</v>
      </c>
      <c r="T168" s="20" t="s">
        <v>429</v>
      </c>
      <c r="U168" s="20">
        <v>0</v>
      </c>
      <c r="V168" s="20">
        <v>0</v>
      </c>
      <c r="W168" s="20">
        <v>23</v>
      </c>
      <c r="X168" s="20">
        <v>25</v>
      </c>
      <c r="Y168" s="20">
        <v>1007</v>
      </c>
      <c r="Z168" s="20">
        <v>0</v>
      </c>
      <c r="AA168" s="20">
        <v>0</v>
      </c>
      <c r="AB168" s="20">
        <v>0</v>
      </c>
      <c r="AC168" s="20">
        <v>0</v>
      </c>
      <c r="AD168" s="20">
        <v>0</v>
      </c>
      <c r="AE168" s="39">
        <v>0</v>
      </c>
      <c r="AF168" s="31">
        <v>0</v>
      </c>
      <c r="AG168" s="20">
        <v>0</v>
      </c>
      <c r="AH168" s="20">
        <v>0</v>
      </c>
      <c r="AI168" s="20">
        <v>0</v>
      </c>
      <c r="AJ168" s="20">
        <v>0</v>
      </c>
      <c r="AK168" s="20">
        <v>0</v>
      </c>
      <c r="AL168" s="20">
        <v>0</v>
      </c>
      <c r="AM168" s="20">
        <v>0</v>
      </c>
      <c r="AN168" s="20">
        <v>0</v>
      </c>
      <c r="AO168" s="20">
        <v>0</v>
      </c>
      <c r="AP168" s="20">
        <v>0</v>
      </c>
      <c r="AQ168" s="20">
        <v>0</v>
      </c>
      <c r="AR168" s="20">
        <v>0</v>
      </c>
      <c r="AS168" s="20">
        <v>0</v>
      </c>
      <c r="AT168" s="20">
        <v>0</v>
      </c>
      <c r="AU168" s="20">
        <v>0</v>
      </c>
      <c r="AV168" s="20">
        <v>0</v>
      </c>
      <c r="AW168" s="20">
        <v>0</v>
      </c>
      <c r="AX168" s="20">
        <v>0</v>
      </c>
      <c r="AY168" s="20">
        <v>0</v>
      </c>
      <c r="AZ168" s="20">
        <v>0</v>
      </c>
      <c r="BA168" s="20">
        <v>0</v>
      </c>
      <c r="BB168" s="20">
        <v>0</v>
      </c>
      <c r="BC168" s="20">
        <v>0</v>
      </c>
      <c r="BD168" s="20">
        <v>0</v>
      </c>
      <c r="BE168" s="20">
        <v>0</v>
      </c>
      <c r="BF168" s="20">
        <v>0</v>
      </c>
      <c r="BG168" s="20">
        <v>0</v>
      </c>
      <c r="BH168" s="20">
        <v>0</v>
      </c>
      <c r="BI168" s="20">
        <v>0</v>
      </c>
      <c r="BJ168" s="20">
        <v>0</v>
      </c>
      <c r="BK168" s="20">
        <v>0</v>
      </c>
      <c r="BL168" s="20">
        <v>0</v>
      </c>
      <c r="BM168" s="20">
        <v>0</v>
      </c>
      <c r="BN168" s="20">
        <v>0</v>
      </c>
      <c r="BO168" s="20">
        <v>0</v>
      </c>
      <c r="BP168" s="20">
        <v>0</v>
      </c>
      <c r="BQ168" s="20">
        <v>0</v>
      </c>
      <c r="BR168" s="20">
        <v>0</v>
      </c>
      <c r="BS168" s="20">
        <v>0</v>
      </c>
      <c r="BT168" s="20">
        <v>0</v>
      </c>
      <c r="BU168" s="20">
        <v>0</v>
      </c>
      <c r="BV168" s="20">
        <v>0</v>
      </c>
      <c r="BW168" s="20">
        <v>0</v>
      </c>
      <c r="BX168" s="20">
        <v>0</v>
      </c>
      <c r="BY168" s="20">
        <v>0</v>
      </c>
      <c r="BZ168" s="20">
        <v>0</v>
      </c>
      <c r="CA168" s="20">
        <v>0</v>
      </c>
    </row>
    <row r="169" spans="1:79" x14ac:dyDescent="0.3">
      <c r="A169" s="19"/>
      <c r="B169" s="20" t="str">
        <f t="shared" si="38"/>
        <v>10710009</v>
      </c>
      <c r="C169" s="55">
        <f t="shared" si="39"/>
        <v>0</v>
      </c>
      <c r="D169" s="55">
        <f t="shared" si="40"/>
        <v>7</v>
      </c>
      <c r="E169" s="49">
        <v>9</v>
      </c>
      <c r="F169" s="20">
        <v>1</v>
      </c>
      <c r="G169" s="20">
        <v>7</v>
      </c>
      <c r="H169" s="20" t="str">
        <f t="shared" si="41"/>
        <v>Item_Name_10710009</v>
      </c>
      <c r="I169" s="20" t="s">
        <v>437</v>
      </c>
      <c r="J169" s="20">
        <v>0</v>
      </c>
      <c r="K169" s="20">
        <v>1</v>
      </c>
      <c r="L169" s="20">
        <v>0</v>
      </c>
      <c r="M169" s="20">
        <v>0</v>
      </c>
      <c r="N169" s="20">
        <v>15</v>
      </c>
      <c r="O169" s="20">
        <v>100</v>
      </c>
      <c r="P169" s="20">
        <v>1</v>
      </c>
      <c r="Q169" s="20" t="s">
        <v>246</v>
      </c>
      <c r="R169" s="20" t="s">
        <v>171</v>
      </c>
      <c r="S169" s="20" t="s">
        <v>327</v>
      </c>
      <c r="T169" s="20" t="s">
        <v>429</v>
      </c>
      <c r="U169" s="20">
        <v>0</v>
      </c>
      <c r="V169" s="20">
        <v>0</v>
      </c>
      <c r="W169" s="20">
        <v>23</v>
      </c>
      <c r="X169" s="20">
        <v>25</v>
      </c>
      <c r="Y169" s="20">
        <v>1006</v>
      </c>
      <c r="Z169" s="20">
        <v>0</v>
      </c>
      <c r="AA169" s="20">
        <v>0</v>
      </c>
      <c r="AB169" s="20">
        <v>0</v>
      </c>
      <c r="AC169" s="20">
        <v>0</v>
      </c>
      <c r="AD169" s="20">
        <v>0</v>
      </c>
      <c r="AE169" s="39">
        <v>0</v>
      </c>
      <c r="AF169" s="31">
        <v>0</v>
      </c>
      <c r="AG169" s="20">
        <v>0</v>
      </c>
      <c r="AH169" s="20">
        <v>0</v>
      </c>
      <c r="AI169" s="20">
        <v>0</v>
      </c>
      <c r="AJ169" s="20">
        <v>0</v>
      </c>
      <c r="AK169" s="20">
        <v>0</v>
      </c>
      <c r="AL169" s="20">
        <v>0</v>
      </c>
      <c r="AM169" s="20">
        <v>0</v>
      </c>
      <c r="AN169" s="20">
        <v>0</v>
      </c>
      <c r="AO169" s="20">
        <v>0</v>
      </c>
      <c r="AP169" s="20">
        <v>0</v>
      </c>
      <c r="AQ169" s="20">
        <v>0</v>
      </c>
      <c r="AR169" s="20">
        <v>0</v>
      </c>
      <c r="AS169" s="20">
        <v>0</v>
      </c>
      <c r="AT169" s="20">
        <v>0</v>
      </c>
      <c r="AU169" s="20">
        <v>0</v>
      </c>
      <c r="AV169" s="20">
        <v>0</v>
      </c>
      <c r="AW169" s="20">
        <v>0</v>
      </c>
      <c r="AX169" s="20">
        <v>0</v>
      </c>
      <c r="AY169" s="20">
        <v>0</v>
      </c>
      <c r="AZ169" s="20">
        <v>0</v>
      </c>
      <c r="BA169" s="20">
        <v>0</v>
      </c>
      <c r="BB169" s="20">
        <v>0</v>
      </c>
      <c r="BC169" s="20">
        <v>0</v>
      </c>
      <c r="BD169" s="20">
        <v>0</v>
      </c>
      <c r="BE169" s="20">
        <v>0</v>
      </c>
      <c r="BF169" s="20">
        <v>0</v>
      </c>
      <c r="BG169" s="20">
        <v>0</v>
      </c>
      <c r="BH169" s="20">
        <v>0</v>
      </c>
      <c r="BI169" s="20">
        <v>0</v>
      </c>
      <c r="BJ169" s="20">
        <v>0</v>
      </c>
      <c r="BK169" s="20">
        <v>0</v>
      </c>
      <c r="BL169" s="20">
        <v>0</v>
      </c>
      <c r="BM169" s="20">
        <v>0</v>
      </c>
      <c r="BN169" s="20">
        <v>0</v>
      </c>
      <c r="BO169" s="20">
        <v>0</v>
      </c>
      <c r="BP169" s="20">
        <v>0</v>
      </c>
      <c r="BQ169" s="20">
        <v>0</v>
      </c>
      <c r="BR169" s="20">
        <v>0</v>
      </c>
      <c r="BS169" s="20">
        <v>0</v>
      </c>
      <c r="BT169" s="20">
        <v>0</v>
      </c>
      <c r="BU169" s="20">
        <v>0</v>
      </c>
      <c r="BV169" s="20">
        <v>0</v>
      </c>
      <c r="BW169" s="20">
        <v>0</v>
      </c>
      <c r="BX169" s="20">
        <v>0</v>
      </c>
      <c r="BY169" s="20">
        <v>0</v>
      </c>
      <c r="BZ169" s="20">
        <v>0</v>
      </c>
      <c r="CA169" s="20">
        <v>0</v>
      </c>
    </row>
    <row r="170" spans="1:79" x14ac:dyDescent="0.3">
      <c r="A170" s="19"/>
      <c r="B170" s="20" t="str">
        <f t="shared" si="38"/>
        <v>10810001</v>
      </c>
      <c r="C170" s="55">
        <f t="shared" si="39"/>
        <v>0</v>
      </c>
      <c r="D170" s="55">
        <f t="shared" si="40"/>
        <v>8</v>
      </c>
      <c r="E170" s="49">
        <v>1</v>
      </c>
      <c r="F170" s="20">
        <v>1</v>
      </c>
      <c r="G170" s="20">
        <v>8</v>
      </c>
      <c r="H170" s="20" t="str">
        <f t="shared" si="41"/>
        <v>Item_Name_10810001</v>
      </c>
      <c r="I170" s="20" t="s">
        <v>438</v>
      </c>
      <c r="J170" s="20">
        <v>0</v>
      </c>
      <c r="K170" s="20">
        <v>1</v>
      </c>
      <c r="L170" s="20">
        <v>0</v>
      </c>
      <c r="M170" s="20">
        <v>0</v>
      </c>
      <c r="N170" s="20">
        <v>15</v>
      </c>
      <c r="O170" s="20">
        <v>100</v>
      </c>
      <c r="P170" s="20">
        <v>1</v>
      </c>
      <c r="Q170" s="20" t="s">
        <v>247</v>
      </c>
      <c r="R170" s="20" t="s">
        <v>171</v>
      </c>
      <c r="S170" s="20" t="s">
        <v>328</v>
      </c>
      <c r="T170" s="20" t="s">
        <v>429</v>
      </c>
      <c r="U170" s="20">
        <v>0</v>
      </c>
      <c r="V170" s="20">
        <v>0</v>
      </c>
      <c r="W170" s="20">
        <v>23</v>
      </c>
      <c r="X170" s="20">
        <v>10</v>
      </c>
      <c r="Y170" s="20">
        <v>1001</v>
      </c>
      <c r="Z170" s="20">
        <v>0</v>
      </c>
      <c r="AA170" s="20">
        <v>0</v>
      </c>
      <c r="AB170" s="20">
        <v>0</v>
      </c>
      <c r="AC170" s="20">
        <v>0</v>
      </c>
      <c r="AD170" s="20">
        <v>0</v>
      </c>
      <c r="AE170" s="39">
        <v>0</v>
      </c>
      <c r="AF170" s="31">
        <v>0</v>
      </c>
      <c r="AG170" s="20">
        <v>0</v>
      </c>
      <c r="AH170" s="20">
        <v>0</v>
      </c>
      <c r="AI170" s="20">
        <v>0</v>
      </c>
      <c r="AJ170" s="20">
        <v>0</v>
      </c>
      <c r="AK170" s="20">
        <v>0</v>
      </c>
      <c r="AL170" s="20">
        <v>0</v>
      </c>
      <c r="AM170" s="20">
        <v>0</v>
      </c>
      <c r="AN170" s="20">
        <v>0</v>
      </c>
      <c r="AO170" s="20">
        <v>0</v>
      </c>
      <c r="AP170" s="20">
        <v>0</v>
      </c>
      <c r="AQ170" s="20">
        <v>0</v>
      </c>
      <c r="AR170" s="20">
        <v>0</v>
      </c>
      <c r="AS170" s="20">
        <v>0</v>
      </c>
      <c r="AT170" s="20">
        <v>0</v>
      </c>
      <c r="AU170" s="20">
        <v>0</v>
      </c>
      <c r="AV170" s="20">
        <v>0</v>
      </c>
      <c r="AW170" s="20">
        <v>0</v>
      </c>
      <c r="AX170" s="20">
        <v>0</v>
      </c>
      <c r="AY170" s="20">
        <v>0</v>
      </c>
      <c r="AZ170" s="20">
        <v>0</v>
      </c>
      <c r="BA170" s="20">
        <v>0</v>
      </c>
      <c r="BB170" s="20">
        <v>0</v>
      </c>
      <c r="BC170" s="20">
        <v>0</v>
      </c>
      <c r="BD170" s="20">
        <v>0</v>
      </c>
      <c r="BE170" s="20">
        <v>0</v>
      </c>
      <c r="BF170" s="20">
        <v>0</v>
      </c>
      <c r="BG170" s="20">
        <v>0</v>
      </c>
      <c r="BH170" s="20">
        <v>0</v>
      </c>
      <c r="BI170" s="20">
        <v>0</v>
      </c>
      <c r="BJ170" s="20">
        <v>0</v>
      </c>
      <c r="BK170" s="20">
        <v>0</v>
      </c>
      <c r="BL170" s="20">
        <v>0</v>
      </c>
      <c r="BM170" s="20">
        <v>0</v>
      </c>
      <c r="BN170" s="20">
        <v>0</v>
      </c>
      <c r="BO170" s="20">
        <v>0</v>
      </c>
      <c r="BP170" s="20">
        <v>0</v>
      </c>
      <c r="BQ170" s="20">
        <v>0</v>
      </c>
      <c r="BR170" s="20">
        <v>0</v>
      </c>
      <c r="BS170" s="20">
        <v>0</v>
      </c>
      <c r="BT170" s="20">
        <v>0</v>
      </c>
      <c r="BU170" s="20">
        <v>0</v>
      </c>
      <c r="BV170" s="20">
        <v>0</v>
      </c>
      <c r="BW170" s="20">
        <v>0</v>
      </c>
      <c r="BX170" s="20">
        <v>0</v>
      </c>
      <c r="BY170" s="20">
        <v>0</v>
      </c>
      <c r="BZ170" s="20">
        <v>0</v>
      </c>
      <c r="CA170" s="20">
        <v>0</v>
      </c>
    </row>
    <row r="171" spans="1:79" x14ac:dyDescent="0.3">
      <c r="A171" s="19"/>
      <c r="B171" s="20" t="str">
        <f t="shared" si="38"/>
        <v>10810002</v>
      </c>
      <c r="C171" s="55">
        <f t="shared" si="39"/>
        <v>0</v>
      </c>
      <c r="D171" s="55">
        <f t="shared" si="40"/>
        <v>8</v>
      </c>
      <c r="E171" s="49">
        <v>2</v>
      </c>
      <c r="F171" s="20">
        <v>1</v>
      </c>
      <c r="G171" s="20">
        <v>8</v>
      </c>
      <c r="H171" s="20" t="str">
        <f t="shared" si="41"/>
        <v>Item_Name_10810002</v>
      </c>
      <c r="I171" s="20" t="s">
        <v>439</v>
      </c>
      <c r="J171" s="20">
        <v>0</v>
      </c>
      <c r="K171" s="20">
        <v>1</v>
      </c>
      <c r="L171" s="20">
        <v>0</v>
      </c>
      <c r="M171" s="20">
        <v>0</v>
      </c>
      <c r="N171" s="20">
        <v>15</v>
      </c>
      <c r="O171" s="20">
        <v>100</v>
      </c>
      <c r="P171" s="20">
        <v>1</v>
      </c>
      <c r="Q171" s="20" t="s">
        <v>248</v>
      </c>
      <c r="R171" s="20" t="s">
        <v>171</v>
      </c>
      <c r="S171" s="20" t="s">
        <v>328</v>
      </c>
      <c r="T171" s="20" t="s">
        <v>429</v>
      </c>
      <c r="U171" s="20">
        <v>0</v>
      </c>
      <c r="V171" s="20">
        <v>0</v>
      </c>
      <c r="W171" s="20">
        <v>23</v>
      </c>
      <c r="X171" s="20">
        <v>10</v>
      </c>
      <c r="Y171" s="20">
        <v>1003</v>
      </c>
      <c r="Z171" s="20">
        <v>0</v>
      </c>
      <c r="AA171" s="20">
        <v>0</v>
      </c>
      <c r="AB171" s="20">
        <v>0</v>
      </c>
      <c r="AC171" s="20">
        <v>0</v>
      </c>
      <c r="AD171" s="20">
        <v>0</v>
      </c>
      <c r="AE171" s="39">
        <v>0</v>
      </c>
      <c r="AF171" s="31">
        <v>0</v>
      </c>
      <c r="AG171" s="20">
        <v>0</v>
      </c>
      <c r="AH171" s="20">
        <v>0</v>
      </c>
      <c r="AI171" s="20">
        <v>0</v>
      </c>
      <c r="AJ171" s="20">
        <v>0</v>
      </c>
      <c r="AK171" s="20">
        <v>0</v>
      </c>
      <c r="AL171" s="20">
        <v>0</v>
      </c>
      <c r="AM171" s="20">
        <v>0</v>
      </c>
      <c r="AN171" s="20">
        <v>0</v>
      </c>
      <c r="AO171" s="20">
        <v>0</v>
      </c>
      <c r="AP171" s="20">
        <v>0</v>
      </c>
      <c r="AQ171" s="20">
        <v>0</v>
      </c>
      <c r="AR171" s="20">
        <v>0</v>
      </c>
      <c r="AS171" s="20">
        <v>0</v>
      </c>
      <c r="AT171" s="20">
        <v>0</v>
      </c>
      <c r="AU171" s="20">
        <v>0</v>
      </c>
      <c r="AV171" s="20">
        <v>0</v>
      </c>
      <c r="AW171" s="20">
        <v>0</v>
      </c>
      <c r="AX171" s="20">
        <v>0</v>
      </c>
      <c r="AY171" s="20">
        <v>0</v>
      </c>
      <c r="AZ171" s="20">
        <v>0</v>
      </c>
      <c r="BA171" s="20">
        <v>0</v>
      </c>
      <c r="BB171" s="20">
        <v>0</v>
      </c>
      <c r="BC171" s="20">
        <v>0</v>
      </c>
      <c r="BD171" s="20">
        <v>0</v>
      </c>
      <c r="BE171" s="20">
        <v>0</v>
      </c>
      <c r="BF171" s="20">
        <v>0</v>
      </c>
      <c r="BG171" s="20">
        <v>0</v>
      </c>
      <c r="BH171" s="20">
        <v>0</v>
      </c>
      <c r="BI171" s="20">
        <v>0</v>
      </c>
      <c r="BJ171" s="20">
        <v>0</v>
      </c>
      <c r="BK171" s="20">
        <v>0</v>
      </c>
      <c r="BL171" s="20">
        <v>0</v>
      </c>
      <c r="BM171" s="20">
        <v>0</v>
      </c>
      <c r="BN171" s="20">
        <v>0</v>
      </c>
      <c r="BO171" s="20">
        <v>0</v>
      </c>
      <c r="BP171" s="20">
        <v>0</v>
      </c>
      <c r="BQ171" s="20">
        <v>0</v>
      </c>
      <c r="BR171" s="20">
        <v>0</v>
      </c>
      <c r="BS171" s="20">
        <v>0</v>
      </c>
      <c r="BT171" s="20">
        <v>0</v>
      </c>
      <c r="BU171" s="20">
        <v>0</v>
      </c>
      <c r="BV171" s="20">
        <v>0</v>
      </c>
      <c r="BW171" s="20">
        <v>0</v>
      </c>
      <c r="BX171" s="20">
        <v>0</v>
      </c>
      <c r="BY171" s="20">
        <v>0</v>
      </c>
      <c r="BZ171" s="20">
        <v>0</v>
      </c>
      <c r="CA171" s="20">
        <v>0</v>
      </c>
    </row>
    <row r="172" spans="1:79" x14ac:dyDescent="0.3">
      <c r="A172" s="19"/>
      <c r="B172" s="20" t="str">
        <f t="shared" si="38"/>
        <v>10810003</v>
      </c>
      <c r="C172" s="55">
        <f t="shared" si="39"/>
        <v>0</v>
      </c>
      <c r="D172" s="55">
        <f t="shared" si="40"/>
        <v>8</v>
      </c>
      <c r="E172" s="49">
        <v>3</v>
      </c>
      <c r="F172" s="20">
        <v>1</v>
      </c>
      <c r="G172" s="20">
        <v>8</v>
      </c>
      <c r="H172" s="20" t="str">
        <f t="shared" si="41"/>
        <v>Item_Name_10810003</v>
      </c>
      <c r="I172" s="20" t="s">
        <v>440</v>
      </c>
      <c r="J172" s="20">
        <v>0</v>
      </c>
      <c r="K172" s="20">
        <v>1</v>
      </c>
      <c r="L172" s="20">
        <v>0</v>
      </c>
      <c r="M172" s="20">
        <v>0</v>
      </c>
      <c r="N172" s="20">
        <v>15</v>
      </c>
      <c r="O172" s="20">
        <v>100</v>
      </c>
      <c r="P172" s="20">
        <v>1</v>
      </c>
      <c r="Q172" s="20" t="s">
        <v>249</v>
      </c>
      <c r="R172" s="20" t="s">
        <v>171</v>
      </c>
      <c r="S172" s="20" t="s">
        <v>328</v>
      </c>
      <c r="T172" s="20" t="s">
        <v>429</v>
      </c>
      <c r="U172" s="20">
        <v>0</v>
      </c>
      <c r="V172" s="20">
        <v>0</v>
      </c>
      <c r="W172" s="20">
        <v>23</v>
      </c>
      <c r="X172" s="20">
        <v>10</v>
      </c>
      <c r="Y172" s="20">
        <v>1002</v>
      </c>
      <c r="Z172" s="20">
        <v>0</v>
      </c>
      <c r="AA172" s="20">
        <v>0</v>
      </c>
      <c r="AB172" s="20">
        <v>0</v>
      </c>
      <c r="AC172" s="20">
        <v>0</v>
      </c>
      <c r="AD172" s="20">
        <v>0</v>
      </c>
      <c r="AE172" s="39">
        <v>0</v>
      </c>
      <c r="AF172" s="31">
        <v>0</v>
      </c>
      <c r="AG172" s="20">
        <v>0</v>
      </c>
      <c r="AH172" s="20">
        <v>0</v>
      </c>
      <c r="AI172" s="20">
        <v>0</v>
      </c>
      <c r="AJ172" s="20">
        <v>0</v>
      </c>
      <c r="AK172" s="20">
        <v>0</v>
      </c>
      <c r="AL172" s="20">
        <v>0</v>
      </c>
      <c r="AM172" s="20">
        <v>0</v>
      </c>
      <c r="AN172" s="20">
        <v>0</v>
      </c>
      <c r="AO172" s="20">
        <v>0</v>
      </c>
      <c r="AP172" s="20">
        <v>0</v>
      </c>
      <c r="AQ172" s="20">
        <v>0</v>
      </c>
      <c r="AR172" s="20">
        <v>0</v>
      </c>
      <c r="AS172" s="20">
        <v>0</v>
      </c>
      <c r="AT172" s="20">
        <v>0</v>
      </c>
      <c r="AU172" s="20">
        <v>0</v>
      </c>
      <c r="AV172" s="20">
        <v>0</v>
      </c>
      <c r="AW172" s="20">
        <v>0</v>
      </c>
      <c r="AX172" s="20">
        <v>0</v>
      </c>
      <c r="AY172" s="20">
        <v>0</v>
      </c>
      <c r="AZ172" s="20">
        <v>0</v>
      </c>
      <c r="BA172" s="20">
        <v>0</v>
      </c>
      <c r="BB172" s="20">
        <v>0</v>
      </c>
      <c r="BC172" s="20">
        <v>0</v>
      </c>
      <c r="BD172" s="20">
        <v>0</v>
      </c>
      <c r="BE172" s="20">
        <v>0</v>
      </c>
      <c r="BF172" s="20">
        <v>0</v>
      </c>
      <c r="BG172" s="20">
        <v>0</v>
      </c>
      <c r="BH172" s="20">
        <v>0</v>
      </c>
      <c r="BI172" s="20">
        <v>0</v>
      </c>
      <c r="BJ172" s="20">
        <v>0</v>
      </c>
      <c r="BK172" s="20">
        <v>0</v>
      </c>
      <c r="BL172" s="20">
        <v>0</v>
      </c>
      <c r="BM172" s="20">
        <v>0</v>
      </c>
      <c r="BN172" s="20">
        <v>0</v>
      </c>
      <c r="BO172" s="20">
        <v>0</v>
      </c>
      <c r="BP172" s="20">
        <v>0</v>
      </c>
      <c r="BQ172" s="20">
        <v>0</v>
      </c>
      <c r="BR172" s="20">
        <v>0</v>
      </c>
      <c r="BS172" s="20">
        <v>0</v>
      </c>
      <c r="BT172" s="20">
        <v>0</v>
      </c>
      <c r="BU172" s="20">
        <v>0</v>
      </c>
      <c r="BV172" s="20">
        <v>0</v>
      </c>
      <c r="BW172" s="20">
        <v>0</v>
      </c>
      <c r="BX172" s="20">
        <v>0</v>
      </c>
      <c r="BY172" s="20">
        <v>0</v>
      </c>
      <c r="BZ172" s="20">
        <v>0</v>
      </c>
      <c r="CA172" s="20">
        <v>0</v>
      </c>
    </row>
    <row r="173" spans="1:79" x14ac:dyDescent="0.3">
      <c r="A173" s="19"/>
      <c r="B173" s="20" t="str">
        <f t="shared" si="38"/>
        <v>10810004</v>
      </c>
      <c r="C173" s="55">
        <f t="shared" si="39"/>
        <v>0</v>
      </c>
      <c r="D173" s="55">
        <f t="shared" si="40"/>
        <v>8</v>
      </c>
      <c r="E173" s="49">
        <v>4</v>
      </c>
      <c r="F173" s="20">
        <v>1</v>
      </c>
      <c r="G173" s="20">
        <v>8</v>
      </c>
      <c r="H173" s="20" t="str">
        <f t="shared" si="41"/>
        <v>Item_Name_10810004</v>
      </c>
      <c r="I173" s="20" t="s">
        <v>441</v>
      </c>
      <c r="J173" s="20">
        <v>0</v>
      </c>
      <c r="K173" s="20">
        <v>1</v>
      </c>
      <c r="L173" s="20">
        <v>0</v>
      </c>
      <c r="M173" s="20">
        <v>0</v>
      </c>
      <c r="N173" s="20">
        <v>15</v>
      </c>
      <c r="O173" s="20">
        <v>100</v>
      </c>
      <c r="P173" s="20">
        <v>1</v>
      </c>
      <c r="Q173" s="20" t="s">
        <v>250</v>
      </c>
      <c r="R173" s="20" t="s">
        <v>171</v>
      </c>
      <c r="S173" s="20" t="s">
        <v>328</v>
      </c>
      <c r="T173" s="20" t="s">
        <v>429</v>
      </c>
      <c r="U173" s="20">
        <v>0</v>
      </c>
      <c r="V173" s="20">
        <v>0</v>
      </c>
      <c r="W173" s="20">
        <v>23</v>
      </c>
      <c r="X173" s="20">
        <v>10</v>
      </c>
      <c r="Y173" s="20">
        <v>1004</v>
      </c>
      <c r="Z173" s="20">
        <v>0</v>
      </c>
      <c r="AA173" s="20">
        <v>0</v>
      </c>
      <c r="AB173" s="20">
        <v>0</v>
      </c>
      <c r="AC173" s="20">
        <v>0</v>
      </c>
      <c r="AD173" s="20">
        <v>0</v>
      </c>
      <c r="AE173" s="39">
        <v>0</v>
      </c>
      <c r="AF173" s="31">
        <v>0</v>
      </c>
      <c r="AG173" s="20">
        <v>0</v>
      </c>
      <c r="AH173" s="20">
        <v>0</v>
      </c>
      <c r="AI173" s="20">
        <v>0</v>
      </c>
      <c r="AJ173" s="20">
        <v>0</v>
      </c>
      <c r="AK173" s="20">
        <v>0</v>
      </c>
      <c r="AL173" s="20">
        <v>0</v>
      </c>
      <c r="AM173" s="20">
        <v>0</v>
      </c>
      <c r="AN173" s="20">
        <v>0</v>
      </c>
      <c r="AO173" s="20">
        <v>0</v>
      </c>
      <c r="AP173" s="20">
        <v>0</v>
      </c>
      <c r="AQ173" s="20">
        <v>0</v>
      </c>
      <c r="AR173" s="20">
        <v>0</v>
      </c>
      <c r="AS173" s="20">
        <v>0</v>
      </c>
      <c r="AT173" s="20">
        <v>0</v>
      </c>
      <c r="AU173" s="20">
        <v>0</v>
      </c>
      <c r="AV173" s="20">
        <v>0</v>
      </c>
      <c r="AW173" s="20">
        <v>0</v>
      </c>
      <c r="AX173" s="20">
        <v>0</v>
      </c>
      <c r="AY173" s="20">
        <v>0</v>
      </c>
      <c r="AZ173" s="20">
        <v>0</v>
      </c>
      <c r="BA173" s="20">
        <v>0</v>
      </c>
      <c r="BB173" s="20">
        <v>0</v>
      </c>
      <c r="BC173" s="20">
        <v>0</v>
      </c>
      <c r="BD173" s="20">
        <v>0</v>
      </c>
      <c r="BE173" s="20">
        <v>0</v>
      </c>
      <c r="BF173" s="20">
        <v>0</v>
      </c>
      <c r="BG173" s="20">
        <v>0</v>
      </c>
      <c r="BH173" s="20">
        <v>0</v>
      </c>
      <c r="BI173" s="20">
        <v>0</v>
      </c>
      <c r="BJ173" s="20">
        <v>0</v>
      </c>
      <c r="BK173" s="20">
        <v>0</v>
      </c>
      <c r="BL173" s="20">
        <v>0</v>
      </c>
      <c r="BM173" s="20">
        <v>0</v>
      </c>
      <c r="BN173" s="20">
        <v>0</v>
      </c>
      <c r="BO173" s="20">
        <v>0</v>
      </c>
      <c r="BP173" s="20">
        <v>0</v>
      </c>
      <c r="BQ173" s="20">
        <v>0</v>
      </c>
      <c r="BR173" s="20">
        <v>0</v>
      </c>
      <c r="BS173" s="20">
        <v>0</v>
      </c>
      <c r="BT173" s="20">
        <v>0</v>
      </c>
      <c r="BU173" s="20">
        <v>0</v>
      </c>
      <c r="BV173" s="20">
        <v>0</v>
      </c>
      <c r="BW173" s="20">
        <v>0</v>
      </c>
      <c r="BX173" s="20">
        <v>0</v>
      </c>
      <c r="BY173" s="20">
        <v>0</v>
      </c>
      <c r="BZ173" s="20">
        <v>0</v>
      </c>
      <c r="CA173" s="20">
        <v>0</v>
      </c>
    </row>
    <row r="174" spans="1:79" x14ac:dyDescent="0.3">
      <c r="A174" s="19"/>
      <c r="B174" s="20" t="str">
        <f t="shared" si="38"/>
        <v>10810005</v>
      </c>
      <c r="C174" s="55">
        <f t="shared" si="39"/>
        <v>0</v>
      </c>
      <c r="D174" s="55">
        <f t="shared" si="40"/>
        <v>8</v>
      </c>
      <c r="E174" s="49">
        <v>5</v>
      </c>
      <c r="F174" s="20">
        <v>1</v>
      </c>
      <c r="G174" s="20">
        <v>8</v>
      </c>
      <c r="H174" s="20" t="str">
        <f t="shared" si="41"/>
        <v>Item_Name_10810005</v>
      </c>
      <c r="I174" s="20" t="s">
        <v>442</v>
      </c>
      <c r="J174" s="20">
        <v>0</v>
      </c>
      <c r="K174" s="20">
        <v>1</v>
      </c>
      <c r="L174" s="20">
        <v>0</v>
      </c>
      <c r="M174" s="20">
        <v>0</v>
      </c>
      <c r="N174" s="20">
        <v>15</v>
      </c>
      <c r="O174" s="20">
        <v>100</v>
      </c>
      <c r="P174" s="20">
        <v>1</v>
      </c>
      <c r="Q174" s="20" t="s">
        <v>251</v>
      </c>
      <c r="R174" s="20" t="s">
        <v>171</v>
      </c>
      <c r="S174" s="20" t="s">
        <v>328</v>
      </c>
      <c r="T174" s="20" t="s">
        <v>429</v>
      </c>
      <c r="U174" s="20">
        <v>0</v>
      </c>
      <c r="V174" s="20">
        <v>0</v>
      </c>
      <c r="W174" s="20">
        <v>23</v>
      </c>
      <c r="X174" s="20">
        <v>10</v>
      </c>
      <c r="Y174" s="20">
        <v>1004</v>
      </c>
      <c r="Z174" s="20">
        <v>0</v>
      </c>
      <c r="AA174" s="20">
        <v>0</v>
      </c>
      <c r="AB174" s="20">
        <v>0</v>
      </c>
      <c r="AC174" s="20">
        <v>0</v>
      </c>
      <c r="AD174" s="20">
        <v>0</v>
      </c>
      <c r="AE174" s="39">
        <v>0</v>
      </c>
      <c r="AF174" s="31">
        <v>0</v>
      </c>
      <c r="AG174" s="20">
        <v>0</v>
      </c>
      <c r="AH174" s="20">
        <v>0</v>
      </c>
      <c r="AI174" s="20">
        <v>0</v>
      </c>
      <c r="AJ174" s="20">
        <v>0</v>
      </c>
      <c r="AK174" s="20">
        <v>0</v>
      </c>
      <c r="AL174" s="20">
        <v>0</v>
      </c>
      <c r="AM174" s="20">
        <v>0</v>
      </c>
      <c r="AN174" s="20">
        <v>0</v>
      </c>
      <c r="AO174" s="20">
        <v>0</v>
      </c>
      <c r="AP174" s="20">
        <v>0</v>
      </c>
      <c r="AQ174" s="20">
        <v>0</v>
      </c>
      <c r="AR174" s="20">
        <v>0</v>
      </c>
      <c r="AS174" s="20">
        <v>0</v>
      </c>
      <c r="AT174" s="20">
        <v>0</v>
      </c>
      <c r="AU174" s="20">
        <v>0</v>
      </c>
      <c r="AV174" s="20">
        <v>0</v>
      </c>
      <c r="AW174" s="20">
        <v>0</v>
      </c>
      <c r="AX174" s="20">
        <v>0</v>
      </c>
      <c r="AY174" s="20">
        <v>0</v>
      </c>
      <c r="AZ174" s="20">
        <v>0</v>
      </c>
      <c r="BA174" s="20">
        <v>0</v>
      </c>
      <c r="BB174" s="20">
        <v>0</v>
      </c>
      <c r="BC174" s="20">
        <v>0</v>
      </c>
      <c r="BD174" s="20">
        <v>0</v>
      </c>
      <c r="BE174" s="20">
        <v>0</v>
      </c>
      <c r="BF174" s="20">
        <v>0</v>
      </c>
      <c r="BG174" s="20">
        <v>0</v>
      </c>
      <c r="BH174" s="20">
        <v>0</v>
      </c>
      <c r="BI174" s="20">
        <v>0</v>
      </c>
      <c r="BJ174" s="20">
        <v>0</v>
      </c>
      <c r="BK174" s="20">
        <v>0</v>
      </c>
      <c r="BL174" s="20">
        <v>0</v>
      </c>
      <c r="BM174" s="20">
        <v>0</v>
      </c>
      <c r="BN174" s="20">
        <v>0</v>
      </c>
      <c r="BO174" s="20">
        <v>0</v>
      </c>
      <c r="BP174" s="20">
        <v>0</v>
      </c>
      <c r="BQ174" s="20">
        <v>0</v>
      </c>
      <c r="BR174" s="20">
        <v>0</v>
      </c>
      <c r="BS174" s="20">
        <v>0</v>
      </c>
      <c r="BT174" s="20">
        <v>0</v>
      </c>
      <c r="BU174" s="20">
        <v>0</v>
      </c>
      <c r="BV174" s="20">
        <v>0</v>
      </c>
      <c r="BW174" s="20">
        <v>0</v>
      </c>
      <c r="BX174" s="20">
        <v>0</v>
      </c>
      <c r="BY174" s="20">
        <v>0</v>
      </c>
      <c r="BZ174" s="20">
        <v>0</v>
      </c>
      <c r="CA174" s="20">
        <v>0</v>
      </c>
    </row>
    <row r="175" spans="1:79" x14ac:dyDescent="0.3">
      <c r="A175" s="19"/>
      <c r="B175" s="20" t="str">
        <f t="shared" si="38"/>
        <v>10810006</v>
      </c>
      <c r="C175" s="55">
        <f t="shared" si="39"/>
        <v>0</v>
      </c>
      <c r="D175" s="55">
        <f t="shared" si="40"/>
        <v>8</v>
      </c>
      <c r="E175" s="49">
        <v>6</v>
      </c>
      <c r="F175" s="20">
        <v>1</v>
      </c>
      <c r="G175" s="20">
        <v>8</v>
      </c>
      <c r="H175" s="20" t="str">
        <f t="shared" si="41"/>
        <v>Item_Name_10810006</v>
      </c>
      <c r="I175" s="20" t="s">
        <v>443</v>
      </c>
      <c r="J175" s="20">
        <v>0</v>
      </c>
      <c r="K175" s="20">
        <v>1</v>
      </c>
      <c r="L175" s="20">
        <v>0</v>
      </c>
      <c r="M175" s="20">
        <v>0</v>
      </c>
      <c r="N175" s="20">
        <v>15</v>
      </c>
      <c r="O175" s="20">
        <v>100</v>
      </c>
      <c r="P175" s="20">
        <v>1</v>
      </c>
      <c r="Q175" s="20" t="s">
        <v>252</v>
      </c>
      <c r="R175" s="20" t="s">
        <v>171</v>
      </c>
      <c r="S175" s="20" t="s">
        <v>328</v>
      </c>
      <c r="T175" s="20" t="s">
        <v>429</v>
      </c>
      <c r="U175" s="20">
        <v>0</v>
      </c>
      <c r="V175" s="20">
        <v>0</v>
      </c>
      <c r="W175" s="20">
        <v>23</v>
      </c>
      <c r="X175" s="20">
        <v>10</v>
      </c>
      <c r="Y175" s="20">
        <v>1004</v>
      </c>
      <c r="Z175" s="20">
        <v>0</v>
      </c>
      <c r="AA175" s="20">
        <v>0</v>
      </c>
      <c r="AB175" s="20">
        <v>0</v>
      </c>
      <c r="AC175" s="20">
        <v>0</v>
      </c>
      <c r="AD175" s="20">
        <v>0</v>
      </c>
      <c r="AE175" s="39">
        <v>0</v>
      </c>
      <c r="AF175" s="31">
        <v>0</v>
      </c>
      <c r="AG175" s="20">
        <v>0</v>
      </c>
      <c r="AH175" s="20">
        <v>0</v>
      </c>
      <c r="AI175" s="20">
        <v>0</v>
      </c>
      <c r="AJ175" s="20">
        <v>0</v>
      </c>
      <c r="AK175" s="20">
        <v>0</v>
      </c>
      <c r="AL175" s="20">
        <v>0</v>
      </c>
      <c r="AM175" s="20">
        <v>0</v>
      </c>
      <c r="AN175" s="20">
        <v>0</v>
      </c>
      <c r="AO175" s="20">
        <v>0</v>
      </c>
      <c r="AP175" s="20">
        <v>0</v>
      </c>
      <c r="AQ175" s="20">
        <v>0</v>
      </c>
      <c r="AR175" s="20">
        <v>0</v>
      </c>
      <c r="AS175" s="20">
        <v>0</v>
      </c>
      <c r="AT175" s="20">
        <v>0</v>
      </c>
      <c r="AU175" s="20">
        <v>0</v>
      </c>
      <c r="AV175" s="20">
        <v>0</v>
      </c>
      <c r="AW175" s="20">
        <v>0</v>
      </c>
      <c r="AX175" s="20">
        <v>0</v>
      </c>
      <c r="AY175" s="20">
        <v>0</v>
      </c>
      <c r="AZ175" s="20">
        <v>0</v>
      </c>
      <c r="BA175" s="20">
        <v>0</v>
      </c>
      <c r="BB175" s="20">
        <v>0</v>
      </c>
      <c r="BC175" s="20">
        <v>0</v>
      </c>
      <c r="BD175" s="20">
        <v>0</v>
      </c>
      <c r="BE175" s="20">
        <v>0</v>
      </c>
      <c r="BF175" s="20">
        <v>0</v>
      </c>
      <c r="BG175" s="20">
        <v>0</v>
      </c>
      <c r="BH175" s="20">
        <v>0</v>
      </c>
      <c r="BI175" s="20">
        <v>0</v>
      </c>
      <c r="BJ175" s="20">
        <v>0</v>
      </c>
      <c r="BK175" s="20">
        <v>0</v>
      </c>
      <c r="BL175" s="20">
        <v>0</v>
      </c>
      <c r="BM175" s="20">
        <v>0</v>
      </c>
      <c r="BN175" s="20">
        <v>0</v>
      </c>
      <c r="BO175" s="20">
        <v>0</v>
      </c>
      <c r="BP175" s="20">
        <v>0</v>
      </c>
      <c r="BQ175" s="20">
        <v>0</v>
      </c>
      <c r="BR175" s="20">
        <v>0</v>
      </c>
      <c r="BS175" s="20">
        <v>0</v>
      </c>
      <c r="BT175" s="20">
        <v>0</v>
      </c>
      <c r="BU175" s="20">
        <v>0</v>
      </c>
      <c r="BV175" s="20">
        <v>0</v>
      </c>
      <c r="BW175" s="20">
        <v>0</v>
      </c>
      <c r="BX175" s="20">
        <v>0</v>
      </c>
      <c r="BY175" s="20">
        <v>0</v>
      </c>
      <c r="BZ175" s="20">
        <v>0</v>
      </c>
      <c r="CA175" s="20">
        <v>0</v>
      </c>
    </row>
    <row r="176" spans="1:79" x14ac:dyDescent="0.3">
      <c r="A176" s="19"/>
      <c r="B176" s="20" t="str">
        <f t="shared" si="38"/>
        <v>10810007</v>
      </c>
      <c r="C176" s="55">
        <f t="shared" si="39"/>
        <v>0</v>
      </c>
      <c r="D176" s="55">
        <f t="shared" si="40"/>
        <v>8</v>
      </c>
      <c r="E176" s="49">
        <v>7</v>
      </c>
      <c r="F176" s="20">
        <v>1</v>
      </c>
      <c r="G176" s="20">
        <v>8</v>
      </c>
      <c r="H176" s="20" t="str">
        <f t="shared" si="41"/>
        <v>Item_Name_10810007</v>
      </c>
      <c r="I176" s="20" t="s">
        <v>444</v>
      </c>
      <c r="J176" s="20">
        <v>0</v>
      </c>
      <c r="K176" s="20">
        <v>1</v>
      </c>
      <c r="L176" s="20">
        <v>0</v>
      </c>
      <c r="M176" s="20">
        <v>0</v>
      </c>
      <c r="N176" s="20">
        <v>15</v>
      </c>
      <c r="O176" s="20">
        <v>100</v>
      </c>
      <c r="P176" s="20">
        <v>1</v>
      </c>
      <c r="Q176" s="20" t="s">
        <v>253</v>
      </c>
      <c r="R176" s="20" t="s">
        <v>171</v>
      </c>
      <c r="S176" s="20" t="s">
        <v>328</v>
      </c>
      <c r="T176" s="20" t="s">
        <v>429</v>
      </c>
      <c r="U176" s="20">
        <v>0</v>
      </c>
      <c r="V176" s="20">
        <v>0</v>
      </c>
      <c r="W176" s="20">
        <v>23</v>
      </c>
      <c r="X176" s="20">
        <v>10</v>
      </c>
      <c r="Y176" s="20">
        <v>1005</v>
      </c>
      <c r="Z176" s="20">
        <v>0</v>
      </c>
      <c r="AA176" s="20">
        <v>0</v>
      </c>
      <c r="AB176" s="20">
        <v>0</v>
      </c>
      <c r="AC176" s="20">
        <v>0</v>
      </c>
      <c r="AD176" s="20">
        <v>0</v>
      </c>
      <c r="AE176" s="39">
        <v>0</v>
      </c>
      <c r="AF176" s="31">
        <v>0</v>
      </c>
      <c r="AG176" s="20">
        <v>0</v>
      </c>
      <c r="AH176" s="20">
        <v>0</v>
      </c>
      <c r="AI176" s="20">
        <v>0</v>
      </c>
      <c r="AJ176" s="20">
        <v>0</v>
      </c>
      <c r="AK176" s="20">
        <v>0</v>
      </c>
      <c r="AL176" s="20">
        <v>0</v>
      </c>
      <c r="AM176" s="20">
        <v>0</v>
      </c>
      <c r="AN176" s="20">
        <v>0</v>
      </c>
      <c r="AO176" s="20">
        <v>0</v>
      </c>
      <c r="AP176" s="20">
        <v>0</v>
      </c>
      <c r="AQ176" s="20">
        <v>0</v>
      </c>
      <c r="AR176" s="20">
        <v>0</v>
      </c>
      <c r="AS176" s="20">
        <v>0</v>
      </c>
      <c r="AT176" s="20">
        <v>0</v>
      </c>
      <c r="AU176" s="20">
        <v>0</v>
      </c>
      <c r="AV176" s="20">
        <v>0</v>
      </c>
      <c r="AW176" s="20">
        <v>0</v>
      </c>
      <c r="AX176" s="20">
        <v>0</v>
      </c>
      <c r="AY176" s="20">
        <v>0</v>
      </c>
      <c r="AZ176" s="20">
        <v>0</v>
      </c>
      <c r="BA176" s="20">
        <v>0</v>
      </c>
      <c r="BB176" s="20">
        <v>0</v>
      </c>
      <c r="BC176" s="20">
        <v>0</v>
      </c>
      <c r="BD176" s="20">
        <v>0</v>
      </c>
      <c r="BE176" s="20">
        <v>0</v>
      </c>
      <c r="BF176" s="20">
        <v>0</v>
      </c>
      <c r="BG176" s="20">
        <v>0</v>
      </c>
      <c r="BH176" s="20">
        <v>0</v>
      </c>
      <c r="BI176" s="20">
        <v>0</v>
      </c>
      <c r="BJ176" s="20">
        <v>0</v>
      </c>
      <c r="BK176" s="20">
        <v>0</v>
      </c>
      <c r="BL176" s="20">
        <v>0</v>
      </c>
      <c r="BM176" s="20">
        <v>0</v>
      </c>
      <c r="BN176" s="20">
        <v>0</v>
      </c>
      <c r="BO176" s="20">
        <v>0</v>
      </c>
      <c r="BP176" s="20">
        <v>0</v>
      </c>
      <c r="BQ176" s="20">
        <v>0</v>
      </c>
      <c r="BR176" s="20">
        <v>0</v>
      </c>
      <c r="BS176" s="20">
        <v>0</v>
      </c>
      <c r="BT176" s="20">
        <v>0</v>
      </c>
      <c r="BU176" s="20">
        <v>0</v>
      </c>
      <c r="BV176" s="20">
        <v>0</v>
      </c>
      <c r="BW176" s="20">
        <v>0</v>
      </c>
      <c r="BX176" s="20">
        <v>0</v>
      </c>
      <c r="BY176" s="20">
        <v>0</v>
      </c>
      <c r="BZ176" s="20">
        <v>0</v>
      </c>
      <c r="CA176" s="20">
        <v>0</v>
      </c>
    </row>
    <row r="177" spans="1:79" x14ac:dyDescent="0.3">
      <c r="A177" s="19"/>
      <c r="B177" s="20" t="str">
        <f t="shared" si="38"/>
        <v>10810008</v>
      </c>
      <c r="C177" s="55">
        <f t="shared" si="39"/>
        <v>0</v>
      </c>
      <c r="D177" s="55">
        <f t="shared" si="40"/>
        <v>8</v>
      </c>
      <c r="E177" s="49">
        <v>8</v>
      </c>
      <c r="F177" s="20">
        <v>1</v>
      </c>
      <c r="G177" s="20">
        <v>8</v>
      </c>
      <c r="H177" s="20" t="str">
        <f t="shared" si="41"/>
        <v>Item_Name_10810008</v>
      </c>
      <c r="I177" s="20" t="s">
        <v>445</v>
      </c>
      <c r="J177" s="20">
        <v>0</v>
      </c>
      <c r="K177" s="20">
        <v>1</v>
      </c>
      <c r="L177" s="20">
        <v>0</v>
      </c>
      <c r="M177" s="20">
        <v>0</v>
      </c>
      <c r="N177" s="20">
        <v>15</v>
      </c>
      <c r="O177" s="20">
        <v>100</v>
      </c>
      <c r="P177" s="20">
        <v>1</v>
      </c>
      <c r="Q177" s="20" t="s">
        <v>254</v>
      </c>
      <c r="R177" s="20" t="s">
        <v>171</v>
      </c>
      <c r="S177" s="20" t="s">
        <v>328</v>
      </c>
      <c r="T177" s="20" t="s">
        <v>429</v>
      </c>
      <c r="U177" s="20">
        <v>0</v>
      </c>
      <c r="V177" s="20">
        <v>0</v>
      </c>
      <c r="W177" s="20">
        <v>23</v>
      </c>
      <c r="X177" s="20">
        <v>10</v>
      </c>
      <c r="Y177" s="20">
        <v>1007</v>
      </c>
      <c r="Z177" s="20">
        <v>0</v>
      </c>
      <c r="AA177" s="20">
        <v>0</v>
      </c>
      <c r="AB177" s="20">
        <v>0</v>
      </c>
      <c r="AC177" s="20">
        <v>0</v>
      </c>
      <c r="AD177" s="20">
        <v>0</v>
      </c>
      <c r="AE177" s="39">
        <v>0</v>
      </c>
      <c r="AF177" s="31">
        <v>0</v>
      </c>
      <c r="AG177" s="20">
        <v>0</v>
      </c>
      <c r="AH177" s="20">
        <v>0</v>
      </c>
      <c r="AI177" s="20">
        <v>0</v>
      </c>
      <c r="AJ177" s="20">
        <v>0</v>
      </c>
      <c r="AK177" s="20">
        <v>0</v>
      </c>
      <c r="AL177" s="20">
        <v>0</v>
      </c>
      <c r="AM177" s="20">
        <v>0</v>
      </c>
      <c r="AN177" s="20">
        <v>0</v>
      </c>
      <c r="AO177" s="20">
        <v>0</v>
      </c>
      <c r="AP177" s="20">
        <v>0</v>
      </c>
      <c r="AQ177" s="20">
        <v>0</v>
      </c>
      <c r="AR177" s="20">
        <v>0</v>
      </c>
      <c r="AS177" s="20">
        <v>0</v>
      </c>
      <c r="AT177" s="20">
        <v>0</v>
      </c>
      <c r="AU177" s="20">
        <v>0</v>
      </c>
      <c r="AV177" s="20">
        <v>0</v>
      </c>
      <c r="AW177" s="20">
        <v>0</v>
      </c>
      <c r="AX177" s="20">
        <v>0</v>
      </c>
      <c r="AY177" s="20">
        <v>0</v>
      </c>
      <c r="AZ177" s="20">
        <v>0</v>
      </c>
      <c r="BA177" s="20">
        <v>0</v>
      </c>
      <c r="BB177" s="20">
        <v>0</v>
      </c>
      <c r="BC177" s="20">
        <v>0</v>
      </c>
      <c r="BD177" s="20">
        <v>0</v>
      </c>
      <c r="BE177" s="20">
        <v>0</v>
      </c>
      <c r="BF177" s="20">
        <v>0</v>
      </c>
      <c r="BG177" s="20">
        <v>0</v>
      </c>
      <c r="BH177" s="20">
        <v>0</v>
      </c>
      <c r="BI177" s="20">
        <v>0</v>
      </c>
      <c r="BJ177" s="20">
        <v>0</v>
      </c>
      <c r="BK177" s="20">
        <v>0</v>
      </c>
      <c r="BL177" s="20">
        <v>0</v>
      </c>
      <c r="BM177" s="20">
        <v>0</v>
      </c>
      <c r="BN177" s="20">
        <v>0</v>
      </c>
      <c r="BO177" s="20">
        <v>0</v>
      </c>
      <c r="BP177" s="20">
        <v>0</v>
      </c>
      <c r="BQ177" s="20">
        <v>0</v>
      </c>
      <c r="BR177" s="20">
        <v>0</v>
      </c>
      <c r="BS177" s="20">
        <v>0</v>
      </c>
      <c r="BT177" s="20">
        <v>0</v>
      </c>
      <c r="BU177" s="20">
        <v>0</v>
      </c>
      <c r="BV177" s="20">
        <v>0</v>
      </c>
      <c r="BW177" s="20">
        <v>0</v>
      </c>
      <c r="BX177" s="20">
        <v>0</v>
      </c>
      <c r="BY177" s="20">
        <v>0</v>
      </c>
      <c r="BZ177" s="20">
        <v>0</v>
      </c>
      <c r="CA177" s="20">
        <v>0</v>
      </c>
    </row>
    <row r="178" spans="1:79" x14ac:dyDescent="0.3">
      <c r="A178" s="19"/>
      <c r="B178" s="20" t="str">
        <f t="shared" si="38"/>
        <v>10810009</v>
      </c>
      <c r="C178" s="55">
        <f t="shared" si="39"/>
        <v>0</v>
      </c>
      <c r="D178" s="55">
        <f t="shared" si="40"/>
        <v>8</v>
      </c>
      <c r="E178" s="49">
        <v>9</v>
      </c>
      <c r="F178" s="20">
        <v>1</v>
      </c>
      <c r="G178" s="20">
        <v>8</v>
      </c>
      <c r="H178" s="20" t="str">
        <f t="shared" si="41"/>
        <v>Item_Name_10810009</v>
      </c>
      <c r="I178" s="20" t="s">
        <v>446</v>
      </c>
      <c r="J178" s="20">
        <v>0</v>
      </c>
      <c r="K178" s="20">
        <v>1</v>
      </c>
      <c r="L178" s="20">
        <v>0</v>
      </c>
      <c r="M178" s="20">
        <v>0</v>
      </c>
      <c r="N178" s="20">
        <v>15</v>
      </c>
      <c r="O178" s="20">
        <v>100</v>
      </c>
      <c r="P178" s="20">
        <v>1</v>
      </c>
      <c r="Q178" s="20" t="s">
        <v>255</v>
      </c>
      <c r="R178" s="20" t="s">
        <v>171</v>
      </c>
      <c r="S178" s="20" t="s">
        <v>328</v>
      </c>
      <c r="T178" s="20" t="s">
        <v>429</v>
      </c>
      <c r="U178" s="20">
        <v>0</v>
      </c>
      <c r="V178" s="20">
        <v>0</v>
      </c>
      <c r="W178" s="20">
        <v>23</v>
      </c>
      <c r="X178" s="20">
        <v>10</v>
      </c>
      <c r="Y178" s="20">
        <v>1006</v>
      </c>
      <c r="Z178" s="20">
        <v>0</v>
      </c>
      <c r="AA178" s="20">
        <v>0</v>
      </c>
      <c r="AB178" s="20">
        <v>0</v>
      </c>
      <c r="AC178" s="20">
        <v>0</v>
      </c>
      <c r="AD178" s="20">
        <v>0</v>
      </c>
      <c r="AE178" s="39">
        <v>0</v>
      </c>
      <c r="AF178" s="31">
        <v>0</v>
      </c>
      <c r="AG178" s="20">
        <v>0</v>
      </c>
      <c r="AH178" s="20">
        <v>0</v>
      </c>
      <c r="AI178" s="20">
        <v>0</v>
      </c>
      <c r="AJ178" s="20">
        <v>0</v>
      </c>
      <c r="AK178" s="20">
        <v>0</v>
      </c>
      <c r="AL178" s="20">
        <v>0</v>
      </c>
      <c r="AM178" s="20">
        <v>0</v>
      </c>
      <c r="AN178" s="20">
        <v>0</v>
      </c>
      <c r="AO178" s="20">
        <v>0</v>
      </c>
      <c r="AP178" s="20">
        <v>0</v>
      </c>
      <c r="AQ178" s="20">
        <v>0</v>
      </c>
      <c r="AR178" s="20">
        <v>0</v>
      </c>
      <c r="AS178" s="20">
        <v>0</v>
      </c>
      <c r="AT178" s="20">
        <v>0</v>
      </c>
      <c r="AU178" s="20">
        <v>0</v>
      </c>
      <c r="AV178" s="20">
        <v>0</v>
      </c>
      <c r="AW178" s="20">
        <v>0</v>
      </c>
      <c r="AX178" s="20">
        <v>0</v>
      </c>
      <c r="AY178" s="20">
        <v>0</v>
      </c>
      <c r="AZ178" s="20">
        <v>0</v>
      </c>
      <c r="BA178" s="20">
        <v>0</v>
      </c>
      <c r="BB178" s="20">
        <v>0</v>
      </c>
      <c r="BC178" s="20">
        <v>0</v>
      </c>
      <c r="BD178" s="20">
        <v>0</v>
      </c>
      <c r="BE178" s="20">
        <v>0</v>
      </c>
      <c r="BF178" s="20">
        <v>0</v>
      </c>
      <c r="BG178" s="20">
        <v>0</v>
      </c>
      <c r="BH178" s="20">
        <v>0</v>
      </c>
      <c r="BI178" s="20">
        <v>0</v>
      </c>
      <c r="BJ178" s="20">
        <v>0</v>
      </c>
      <c r="BK178" s="20">
        <v>0</v>
      </c>
      <c r="BL178" s="20">
        <v>0</v>
      </c>
      <c r="BM178" s="20">
        <v>0</v>
      </c>
      <c r="BN178" s="20">
        <v>0</v>
      </c>
      <c r="BO178" s="20">
        <v>0</v>
      </c>
      <c r="BP178" s="20">
        <v>0</v>
      </c>
      <c r="BQ178" s="20">
        <v>0</v>
      </c>
      <c r="BR178" s="20">
        <v>0</v>
      </c>
      <c r="BS178" s="20">
        <v>0</v>
      </c>
      <c r="BT178" s="20">
        <v>0</v>
      </c>
      <c r="BU178" s="20">
        <v>0</v>
      </c>
      <c r="BV178" s="20">
        <v>0</v>
      </c>
      <c r="BW178" s="20">
        <v>0</v>
      </c>
      <c r="BX178" s="20">
        <v>0</v>
      </c>
      <c r="BY178" s="20">
        <v>0</v>
      </c>
      <c r="BZ178" s="20">
        <v>0</v>
      </c>
      <c r="CA178" s="20">
        <v>0</v>
      </c>
    </row>
    <row r="179" spans="1:79" x14ac:dyDescent="0.3">
      <c r="A179" s="19"/>
      <c r="B179" s="20" t="str">
        <f t="shared" si="38"/>
        <v>10720001</v>
      </c>
      <c r="C179" s="55">
        <f t="shared" ref="C179:C196" si="72">IF(J179&gt;0,MID(J179,5, 1), 0)</f>
        <v>0</v>
      </c>
      <c r="D179" s="55">
        <f t="shared" ref="D179:D196" si="73">IF(G179&lt;100, G179, G179-100)</f>
        <v>7</v>
      </c>
      <c r="E179" s="49">
        <v>1</v>
      </c>
      <c r="F179" s="20">
        <v>1</v>
      </c>
      <c r="G179" s="20">
        <v>7</v>
      </c>
      <c r="H179" s="20" t="str">
        <f t="shared" si="41"/>
        <v>Item_Name_10720001</v>
      </c>
      <c r="I179" s="20" t="s">
        <v>886</v>
      </c>
      <c r="J179" s="20">
        <v>0</v>
      </c>
      <c r="K179" s="20">
        <v>2</v>
      </c>
      <c r="L179" s="20">
        <v>0</v>
      </c>
      <c r="M179" s="20">
        <v>0</v>
      </c>
      <c r="N179" s="20">
        <v>15</v>
      </c>
      <c r="O179" s="20">
        <v>100</v>
      </c>
      <c r="P179" s="20">
        <v>1</v>
      </c>
      <c r="Q179" s="20" t="s">
        <v>238</v>
      </c>
      <c r="R179" s="20" t="s">
        <v>171</v>
      </c>
      <c r="S179" s="20" t="s">
        <v>327</v>
      </c>
      <c r="T179" s="20" t="s">
        <v>429</v>
      </c>
      <c r="U179" s="20">
        <v>0</v>
      </c>
      <c r="V179" s="20">
        <v>0</v>
      </c>
      <c r="W179" s="20">
        <v>23</v>
      </c>
      <c r="X179" s="20">
        <v>28</v>
      </c>
      <c r="Y179" s="20">
        <v>1001</v>
      </c>
      <c r="Z179" s="20">
        <v>0</v>
      </c>
      <c r="AA179" s="20">
        <v>0</v>
      </c>
      <c r="AB179" s="20">
        <v>0</v>
      </c>
      <c r="AC179" s="20">
        <v>0</v>
      </c>
      <c r="AD179" s="20">
        <v>0</v>
      </c>
      <c r="AE179" s="39">
        <v>0</v>
      </c>
      <c r="AF179" s="31">
        <v>0</v>
      </c>
      <c r="AG179" s="20">
        <v>0</v>
      </c>
      <c r="AH179" s="20">
        <v>0</v>
      </c>
      <c r="AI179" s="20">
        <v>0</v>
      </c>
      <c r="AJ179" s="20">
        <v>0</v>
      </c>
      <c r="AK179" s="20">
        <v>0</v>
      </c>
      <c r="AL179" s="20">
        <v>0</v>
      </c>
      <c r="AM179" s="20">
        <v>0</v>
      </c>
      <c r="AN179" s="20">
        <v>0</v>
      </c>
      <c r="AO179" s="20">
        <v>0</v>
      </c>
      <c r="AP179" s="20">
        <v>0</v>
      </c>
      <c r="AQ179" s="20">
        <v>0</v>
      </c>
      <c r="AR179" s="20">
        <v>0</v>
      </c>
      <c r="AS179" s="20">
        <v>0</v>
      </c>
      <c r="AT179" s="20">
        <v>0</v>
      </c>
      <c r="AU179" s="20">
        <v>0</v>
      </c>
      <c r="AV179" s="20">
        <v>0</v>
      </c>
      <c r="AW179" s="20">
        <v>0</v>
      </c>
      <c r="AX179" s="20">
        <v>0</v>
      </c>
      <c r="AY179" s="20">
        <v>0</v>
      </c>
      <c r="AZ179" s="20">
        <v>0</v>
      </c>
      <c r="BA179" s="20">
        <v>0</v>
      </c>
      <c r="BB179" s="20">
        <v>0</v>
      </c>
      <c r="BC179" s="20">
        <v>0</v>
      </c>
      <c r="BD179" s="20">
        <v>0</v>
      </c>
      <c r="BE179" s="20">
        <v>0</v>
      </c>
      <c r="BF179" s="20">
        <v>0</v>
      </c>
      <c r="BG179" s="20">
        <v>0</v>
      </c>
      <c r="BH179" s="20">
        <v>0</v>
      </c>
      <c r="BI179" s="20">
        <v>0</v>
      </c>
      <c r="BJ179" s="20">
        <v>0</v>
      </c>
      <c r="BK179" s="20">
        <v>0</v>
      </c>
      <c r="BL179" s="20">
        <v>0</v>
      </c>
      <c r="BM179" s="20">
        <v>0</v>
      </c>
      <c r="BN179" s="20">
        <v>0</v>
      </c>
      <c r="BO179" s="20">
        <v>0</v>
      </c>
      <c r="BP179" s="20">
        <v>0</v>
      </c>
      <c r="BQ179" s="20">
        <v>0</v>
      </c>
      <c r="BR179" s="20">
        <v>0</v>
      </c>
      <c r="BS179" s="20">
        <v>0</v>
      </c>
      <c r="BT179" s="20">
        <v>0</v>
      </c>
      <c r="BU179" s="20">
        <v>0</v>
      </c>
      <c r="BV179" s="20">
        <v>0</v>
      </c>
      <c r="BW179" s="20">
        <v>0</v>
      </c>
      <c r="BX179" s="20">
        <v>0</v>
      </c>
      <c r="BY179" s="20">
        <v>0</v>
      </c>
      <c r="BZ179" s="20">
        <v>0</v>
      </c>
      <c r="CA179" s="20">
        <v>0</v>
      </c>
    </row>
    <row r="180" spans="1:79" x14ac:dyDescent="0.3">
      <c r="A180" s="19"/>
      <c r="B180" s="20" t="str">
        <f t="shared" si="38"/>
        <v>10720002</v>
      </c>
      <c r="C180" s="55">
        <f t="shared" si="72"/>
        <v>0</v>
      </c>
      <c r="D180" s="55">
        <f t="shared" si="73"/>
        <v>7</v>
      </c>
      <c r="E180" s="49">
        <v>2</v>
      </c>
      <c r="F180" s="20">
        <v>1</v>
      </c>
      <c r="G180" s="20">
        <v>7</v>
      </c>
      <c r="H180" s="20" t="str">
        <f t="shared" si="41"/>
        <v>Item_Name_10720002</v>
      </c>
      <c r="I180" s="20" t="s">
        <v>887</v>
      </c>
      <c r="J180" s="20">
        <v>0</v>
      </c>
      <c r="K180" s="20">
        <v>2</v>
      </c>
      <c r="L180" s="20">
        <v>0</v>
      </c>
      <c r="M180" s="20">
        <v>0</v>
      </c>
      <c r="N180" s="20">
        <v>15</v>
      </c>
      <c r="O180" s="20">
        <v>100</v>
      </c>
      <c r="P180" s="20">
        <v>1</v>
      </c>
      <c r="Q180" s="20" t="s">
        <v>239</v>
      </c>
      <c r="R180" s="20" t="s">
        <v>171</v>
      </c>
      <c r="S180" s="20" t="s">
        <v>327</v>
      </c>
      <c r="T180" s="20" t="s">
        <v>429</v>
      </c>
      <c r="U180" s="20">
        <v>0</v>
      </c>
      <c r="V180" s="20">
        <v>0</v>
      </c>
      <c r="W180" s="20">
        <v>23</v>
      </c>
      <c r="X180" s="20">
        <v>28</v>
      </c>
      <c r="Y180" s="20">
        <v>1003</v>
      </c>
      <c r="Z180" s="20">
        <v>0</v>
      </c>
      <c r="AA180" s="20">
        <v>0</v>
      </c>
      <c r="AB180" s="20">
        <v>0</v>
      </c>
      <c r="AC180" s="20">
        <v>0</v>
      </c>
      <c r="AD180" s="20">
        <v>0</v>
      </c>
      <c r="AE180" s="39">
        <v>0</v>
      </c>
      <c r="AF180" s="31">
        <v>0</v>
      </c>
      <c r="AG180" s="20">
        <v>0</v>
      </c>
      <c r="AH180" s="20">
        <v>0</v>
      </c>
      <c r="AI180" s="20">
        <v>0</v>
      </c>
      <c r="AJ180" s="20">
        <v>0</v>
      </c>
      <c r="AK180" s="20">
        <v>0</v>
      </c>
      <c r="AL180" s="20">
        <v>0</v>
      </c>
      <c r="AM180" s="20">
        <v>0</v>
      </c>
      <c r="AN180" s="20">
        <v>0</v>
      </c>
      <c r="AO180" s="20">
        <v>0</v>
      </c>
      <c r="AP180" s="20">
        <v>0</v>
      </c>
      <c r="AQ180" s="20">
        <v>0</v>
      </c>
      <c r="AR180" s="20">
        <v>0</v>
      </c>
      <c r="AS180" s="20">
        <v>0</v>
      </c>
      <c r="AT180" s="20">
        <v>0</v>
      </c>
      <c r="AU180" s="20">
        <v>0</v>
      </c>
      <c r="AV180" s="20">
        <v>0</v>
      </c>
      <c r="AW180" s="20">
        <v>0</v>
      </c>
      <c r="AX180" s="20">
        <v>0</v>
      </c>
      <c r="AY180" s="20">
        <v>0</v>
      </c>
      <c r="AZ180" s="20">
        <v>0</v>
      </c>
      <c r="BA180" s="20">
        <v>0</v>
      </c>
      <c r="BB180" s="20">
        <v>0</v>
      </c>
      <c r="BC180" s="20">
        <v>0</v>
      </c>
      <c r="BD180" s="20">
        <v>0</v>
      </c>
      <c r="BE180" s="20">
        <v>0</v>
      </c>
      <c r="BF180" s="20">
        <v>0</v>
      </c>
      <c r="BG180" s="20">
        <v>0</v>
      </c>
      <c r="BH180" s="20">
        <v>0</v>
      </c>
      <c r="BI180" s="20">
        <v>0</v>
      </c>
      <c r="BJ180" s="20">
        <v>0</v>
      </c>
      <c r="BK180" s="20">
        <v>0</v>
      </c>
      <c r="BL180" s="20">
        <v>0</v>
      </c>
      <c r="BM180" s="20">
        <v>0</v>
      </c>
      <c r="BN180" s="20">
        <v>0</v>
      </c>
      <c r="BO180" s="20">
        <v>0</v>
      </c>
      <c r="BP180" s="20">
        <v>0</v>
      </c>
      <c r="BQ180" s="20">
        <v>0</v>
      </c>
      <c r="BR180" s="20">
        <v>0</v>
      </c>
      <c r="BS180" s="20">
        <v>0</v>
      </c>
      <c r="BT180" s="20">
        <v>0</v>
      </c>
      <c r="BU180" s="20">
        <v>0</v>
      </c>
      <c r="BV180" s="20">
        <v>0</v>
      </c>
      <c r="BW180" s="20">
        <v>0</v>
      </c>
      <c r="BX180" s="20">
        <v>0</v>
      </c>
      <c r="BY180" s="20">
        <v>0</v>
      </c>
      <c r="BZ180" s="20">
        <v>0</v>
      </c>
      <c r="CA180" s="20">
        <v>0</v>
      </c>
    </row>
    <row r="181" spans="1:79" x14ac:dyDescent="0.3">
      <c r="A181" s="19"/>
      <c r="B181" s="20" t="str">
        <f t="shared" si="38"/>
        <v>10720003</v>
      </c>
      <c r="C181" s="55">
        <f t="shared" si="72"/>
        <v>0</v>
      </c>
      <c r="D181" s="55">
        <f t="shared" si="73"/>
        <v>7</v>
      </c>
      <c r="E181" s="49">
        <v>3</v>
      </c>
      <c r="F181" s="20">
        <v>1</v>
      </c>
      <c r="G181" s="20">
        <v>7</v>
      </c>
      <c r="H181" s="20" t="str">
        <f t="shared" si="41"/>
        <v>Item_Name_10720003</v>
      </c>
      <c r="I181" s="20" t="s">
        <v>888</v>
      </c>
      <c r="J181" s="20">
        <v>0</v>
      </c>
      <c r="K181" s="20">
        <v>2</v>
      </c>
      <c r="L181" s="20">
        <v>0</v>
      </c>
      <c r="M181" s="20">
        <v>0</v>
      </c>
      <c r="N181" s="20">
        <v>15</v>
      </c>
      <c r="O181" s="20">
        <v>100</v>
      </c>
      <c r="P181" s="20">
        <v>1</v>
      </c>
      <c r="Q181" s="20" t="s">
        <v>240</v>
      </c>
      <c r="R181" s="20" t="s">
        <v>171</v>
      </c>
      <c r="S181" s="20" t="s">
        <v>327</v>
      </c>
      <c r="T181" s="20" t="s">
        <v>429</v>
      </c>
      <c r="U181" s="20">
        <v>0</v>
      </c>
      <c r="V181" s="20">
        <v>0</v>
      </c>
      <c r="W181" s="20">
        <v>23</v>
      </c>
      <c r="X181" s="20">
        <v>28</v>
      </c>
      <c r="Y181" s="20">
        <v>1002</v>
      </c>
      <c r="Z181" s="20">
        <v>0</v>
      </c>
      <c r="AA181" s="20">
        <v>0</v>
      </c>
      <c r="AB181" s="20">
        <v>0</v>
      </c>
      <c r="AC181" s="20">
        <v>0</v>
      </c>
      <c r="AD181" s="20">
        <v>0</v>
      </c>
      <c r="AE181" s="39">
        <v>0</v>
      </c>
      <c r="AF181" s="31">
        <v>0</v>
      </c>
      <c r="AG181" s="20">
        <v>0</v>
      </c>
      <c r="AH181" s="20">
        <v>0</v>
      </c>
      <c r="AI181" s="20">
        <v>0</v>
      </c>
      <c r="AJ181" s="20">
        <v>0</v>
      </c>
      <c r="AK181" s="20">
        <v>0</v>
      </c>
      <c r="AL181" s="20">
        <v>0</v>
      </c>
      <c r="AM181" s="20">
        <v>0</v>
      </c>
      <c r="AN181" s="20">
        <v>0</v>
      </c>
      <c r="AO181" s="20">
        <v>0</v>
      </c>
      <c r="AP181" s="20">
        <v>0</v>
      </c>
      <c r="AQ181" s="20">
        <v>0</v>
      </c>
      <c r="AR181" s="20">
        <v>0</v>
      </c>
      <c r="AS181" s="20">
        <v>0</v>
      </c>
      <c r="AT181" s="20">
        <v>0</v>
      </c>
      <c r="AU181" s="20">
        <v>0</v>
      </c>
      <c r="AV181" s="20">
        <v>0</v>
      </c>
      <c r="AW181" s="20">
        <v>0</v>
      </c>
      <c r="AX181" s="20">
        <v>0</v>
      </c>
      <c r="AY181" s="20">
        <v>0</v>
      </c>
      <c r="AZ181" s="20">
        <v>0</v>
      </c>
      <c r="BA181" s="20">
        <v>0</v>
      </c>
      <c r="BB181" s="20">
        <v>0</v>
      </c>
      <c r="BC181" s="20">
        <v>0</v>
      </c>
      <c r="BD181" s="20">
        <v>0</v>
      </c>
      <c r="BE181" s="20">
        <v>0</v>
      </c>
      <c r="BF181" s="20">
        <v>0</v>
      </c>
      <c r="BG181" s="20">
        <v>0</v>
      </c>
      <c r="BH181" s="20">
        <v>0</v>
      </c>
      <c r="BI181" s="20">
        <v>0</v>
      </c>
      <c r="BJ181" s="20">
        <v>0</v>
      </c>
      <c r="BK181" s="20">
        <v>0</v>
      </c>
      <c r="BL181" s="20">
        <v>0</v>
      </c>
      <c r="BM181" s="20">
        <v>0</v>
      </c>
      <c r="BN181" s="20">
        <v>0</v>
      </c>
      <c r="BO181" s="20">
        <v>0</v>
      </c>
      <c r="BP181" s="20">
        <v>0</v>
      </c>
      <c r="BQ181" s="20">
        <v>0</v>
      </c>
      <c r="BR181" s="20">
        <v>0</v>
      </c>
      <c r="BS181" s="20">
        <v>0</v>
      </c>
      <c r="BT181" s="20">
        <v>0</v>
      </c>
      <c r="BU181" s="20">
        <v>0</v>
      </c>
      <c r="BV181" s="20">
        <v>0</v>
      </c>
      <c r="BW181" s="20">
        <v>0</v>
      </c>
      <c r="BX181" s="20">
        <v>0</v>
      </c>
      <c r="BY181" s="20">
        <v>0</v>
      </c>
      <c r="BZ181" s="20">
        <v>0</v>
      </c>
      <c r="CA181" s="20">
        <v>0</v>
      </c>
    </row>
    <row r="182" spans="1:79" x14ac:dyDescent="0.3">
      <c r="A182" s="19"/>
      <c r="B182" s="20" t="str">
        <f t="shared" si="38"/>
        <v>10720004</v>
      </c>
      <c r="C182" s="55">
        <f t="shared" si="72"/>
        <v>0</v>
      </c>
      <c r="D182" s="55">
        <f t="shared" si="73"/>
        <v>7</v>
      </c>
      <c r="E182" s="49">
        <v>4</v>
      </c>
      <c r="F182" s="20">
        <v>1</v>
      </c>
      <c r="G182" s="20">
        <v>7</v>
      </c>
      <c r="H182" s="20" t="str">
        <f t="shared" si="41"/>
        <v>Item_Name_10720004</v>
      </c>
      <c r="I182" s="20" t="s">
        <v>889</v>
      </c>
      <c r="J182" s="20">
        <v>0</v>
      </c>
      <c r="K182" s="20">
        <v>2</v>
      </c>
      <c r="L182" s="20">
        <v>0</v>
      </c>
      <c r="M182" s="20">
        <v>0</v>
      </c>
      <c r="N182" s="20">
        <v>15</v>
      </c>
      <c r="O182" s="20">
        <v>100</v>
      </c>
      <c r="P182" s="20">
        <v>1</v>
      </c>
      <c r="Q182" s="20" t="s">
        <v>241</v>
      </c>
      <c r="R182" s="20" t="s">
        <v>171</v>
      </c>
      <c r="S182" s="20" t="s">
        <v>327</v>
      </c>
      <c r="T182" s="20" t="s">
        <v>429</v>
      </c>
      <c r="U182" s="20">
        <v>0</v>
      </c>
      <c r="V182" s="20">
        <v>0</v>
      </c>
      <c r="W182" s="20">
        <v>23</v>
      </c>
      <c r="X182" s="20">
        <v>28</v>
      </c>
      <c r="Y182" s="20">
        <v>1004</v>
      </c>
      <c r="Z182" s="20">
        <v>0</v>
      </c>
      <c r="AA182" s="20">
        <v>0</v>
      </c>
      <c r="AB182" s="20">
        <v>0</v>
      </c>
      <c r="AC182" s="20">
        <v>0</v>
      </c>
      <c r="AD182" s="20">
        <v>0</v>
      </c>
      <c r="AE182" s="39">
        <v>0</v>
      </c>
      <c r="AF182" s="31">
        <v>0</v>
      </c>
      <c r="AG182" s="20">
        <v>0</v>
      </c>
      <c r="AH182" s="20">
        <v>0</v>
      </c>
      <c r="AI182" s="20">
        <v>0</v>
      </c>
      <c r="AJ182" s="20">
        <v>0</v>
      </c>
      <c r="AK182" s="20">
        <v>0</v>
      </c>
      <c r="AL182" s="20">
        <v>0</v>
      </c>
      <c r="AM182" s="20">
        <v>0</v>
      </c>
      <c r="AN182" s="20">
        <v>0</v>
      </c>
      <c r="AO182" s="20">
        <v>0</v>
      </c>
      <c r="AP182" s="20">
        <v>0</v>
      </c>
      <c r="AQ182" s="20">
        <v>0</v>
      </c>
      <c r="AR182" s="20">
        <v>0</v>
      </c>
      <c r="AS182" s="20">
        <v>0</v>
      </c>
      <c r="AT182" s="20">
        <v>0</v>
      </c>
      <c r="AU182" s="20">
        <v>0</v>
      </c>
      <c r="AV182" s="20">
        <v>0</v>
      </c>
      <c r="AW182" s="20">
        <v>0</v>
      </c>
      <c r="AX182" s="20">
        <v>0</v>
      </c>
      <c r="AY182" s="20">
        <v>0</v>
      </c>
      <c r="AZ182" s="20">
        <v>0</v>
      </c>
      <c r="BA182" s="20">
        <v>0</v>
      </c>
      <c r="BB182" s="20">
        <v>0</v>
      </c>
      <c r="BC182" s="20">
        <v>0</v>
      </c>
      <c r="BD182" s="20">
        <v>0</v>
      </c>
      <c r="BE182" s="20">
        <v>0</v>
      </c>
      <c r="BF182" s="20">
        <v>0</v>
      </c>
      <c r="BG182" s="20">
        <v>0</v>
      </c>
      <c r="BH182" s="20">
        <v>0</v>
      </c>
      <c r="BI182" s="20">
        <v>0</v>
      </c>
      <c r="BJ182" s="20">
        <v>0</v>
      </c>
      <c r="BK182" s="20">
        <v>0</v>
      </c>
      <c r="BL182" s="20">
        <v>0</v>
      </c>
      <c r="BM182" s="20">
        <v>0</v>
      </c>
      <c r="BN182" s="20">
        <v>0</v>
      </c>
      <c r="BO182" s="20">
        <v>0</v>
      </c>
      <c r="BP182" s="20">
        <v>0</v>
      </c>
      <c r="BQ182" s="20">
        <v>0</v>
      </c>
      <c r="BR182" s="20">
        <v>0</v>
      </c>
      <c r="BS182" s="20">
        <v>0</v>
      </c>
      <c r="BT182" s="20">
        <v>0</v>
      </c>
      <c r="BU182" s="20">
        <v>0</v>
      </c>
      <c r="BV182" s="20">
        <v>0</v>
      </c>
      <c r="BW182" s="20">
        <v>0</v>
      </c>
      <c r="BX182" s="20">
        <v>0</v>
      </c>
      <c r="BY182" s="20">
        <v>0</v>
      </c>
      <c r="BZ182" s="20">
        <v>0</v>
      </c>
      <c r="CA182" s="20">
        <v>0</v>
      </c>
    </row>
    <row r="183" spans="1:79" x14ac:dyDescent="0.3">
      <c r="A183" s="19"/>
      <c r="B183" s="20" t="str">
        <f t="shared" si="38"/>
        <v>10720005</v>
      </c>
      <c r="C183" s="55">
        <f t="shared" si="72"/>
        <v>0</v>
      </c>
      <c r="D183" s="55">
        <f t="shared" si="73"/>
        <v>7</v>
      </c>
      <c r="E183" s="49">
        <v>5</v>
      </c>
      <c r="F183" s="20">
        <v>1</v>
      </c>
      <c r="G183" s="20">
        <v>7</v>
      </c>
      <c r="H183" s="20" t="str">
        <f t="shared" si="41"/>
        <v>Item_Name_10720005</v>
      </c>
      <c r="I183" s="20" t="s">
        <v>890</v>
      </c>
      <c r="J183" s="20">
        <v>0</v>
      </c>
      <c r="K183" s="20">
        <v>2</v>
      </c>
      <c r="L183" s="20">
        <v>0</v>
      </c>
      <c r="M183" s="20">
        <v>0</v>
      </c>
      <c r="N183" s="20">
        <v>15</v>
      </c>
      <c r="O183" s="20">
        <v>100</v>
      </c>
      <c r="P183" s="20">
        <v>1</v>
      </c>
      <c r="Q183" s="20" t="s">
        <v>242</v>
      </c>
      <c r="R183" s="20" t="s">
        <v>171</v>
      </c>
      <c r="S183" s="20" t="s">
        <v>327</v>
      </c>
      <c r="T183" s="20" t="s">
        <v>429</v>
      </c>
      <c r="U183" s="20">
        <v>0</v>
      </c>
      <c r="V183" s="20">
        <v>0</v>
      </c>
      <c r="W183" s="20">
        <v>23</v>
      </c>
      <c r="X183" s="20">
        <v>28</v>
      </c>
      <c r="Y183" s="20">
        <v>1004</v>
      </c>
      <c r="Z183" s="20">
        <v>0</v>
      </c>
      <c r="AA183" s="20">
        <v>0</v>
      </c>
      <c r="AB183" s="20">
        <v>0</v>
      </c>
      <c r="AC183" s="20">
        <v>0</v>
      </c>
      <c r="AD183" s="20">
        <v>0</v>
      </c>
      <c r="AE183" s="39">
        <v>0</v>
      </c>
      <c r="AF183" s="31">
        <v>0</v>
      </c>
      <c r="AG183" s="20">
        <v>0</v>
      </c>
      <c r="AH183" s="20">
        <v>0</v>
      </c>
      <c r="AI183" s="20">
        <v>0</v>
      </c>
      <c r="AJ183" s="20">
        <v>0</v>
      </c>
      <c r="AK183" s="20">
        <v>0</v>
      </c>
      <c r="AL183" s="20">
        <v>0</v>
      </c>
      <c r="AM183" s="20">
        <v>0</v>
      </c>
      <c r="AN183" s="20">
        <v>0</v>
      </c>
      <c r="AO183" s="20">
        <v>0</v>
      </c>
      <c r="AP183" s="20">
        <v>0</v>
      </c>
      <c r="AQ183" s="20">
        <v>0</v>
      </c>
      <c r="AR183" s="20">
        <v>0</v>
      </c>
      <c r="AS183" s="20">
        <v>0</v>
      </c>
      <c r="AT183" s="20">
        <v>0</v>
      </c>
      <c r="AU183" s="20">
        <v>0</v>
      </c>
      <c r="AV183" s="20">
        <v>0</v>
      </c>
      <c r="AW183" s="20">
        <v>0</v>
      </c>
      <c r="AX183" s="20">
        <v>0</v>
      </c>
      <c r="AY183" s="20">
        <v>0</v>
      </c>
      <c r="AZ183" s="20">
        <v>0</v>
      </c>
      <c r="BA183" s="20">
        <v>0</v>
      </c>
      <c r="BB183" s="20">
        <v>0</v>
      </c>
      <c r="BC183" s="20">
        <v>0</v>
      </c>
      <c r="BD183" s="20">
        <v>0</v>
      </c>
      <c r="BE183" s="20">
        <v>0</v>
      </c>
      <c r="BF183" s="20">
        <v>0</v>
      </c>
      <c r="BG183" s="20">
        <v>0</v>
      </c>
      <c r="BH183" s="20">
        <v>0</v>
      </c>
      <c r="BI183" s="20">
        <v>0</v>
      </c>
      <c r="BJ183" s="20">
        <v>0</v>
      </c>
      <c r="BK183" s="20">
        <v>0</v>
      </c>
      <c r="BL183" s="20">
        <v>0</v>
      </c>
      <c r="BM183" s="20">
        <v>0</v>
      </c>
      <c r="BN183" s="20">
        <v>0</v>
      </c>
      <c r="BO183" s="20">
        <v>0</v>
      </c>
      <c r="BP183" s="20">
        <v>0</v>
      </c>
      <c r="BQ183" s="20">
        <v>0</v>
      </c>
      <c r="BR183" s="20">
        <v>0</v>
      </c>
      <c r="BS183" s="20">
        <v>0</v>
      </c>
      <c r="BT183" s="20">
        <v>0</v>
      </c>
      <c r="BU183" s="20">
        <v>0</v>
      </c>
      <c r="BV183" s="20">
        <v>0</v>
      </c>
      <c r="BW183" s="20">
        <v>0</v>
      </c>
      <c r="BX183" s="20">
        <v>0</v>
      </c>
      <c r="BY183" s="20">
        <v>0</v>
      </c>
      <c r="BZ183" s="20">
        <v>0</v>
      </c>
      <c r="CA183" s="20">
        <v>0</v>
      </c>
    </row>
    <row r="184" spans="1:79" x14ac:dyDescent="0.3">
      <c r="A184" s="19"/>
      <c r="B184" s="20" t="str">
        <f t="shared" si="38"/>
        <v>10720006</v>
      </c>
      <c r="C184" s="55">
        <f t="shared" si="72"/>
        <v>0</v>
      </c>
      <c r="D184" s="55">
        <f t="shared" si="73"/>
        <v>7</v>
      </c>
      <c r="E184" s="49">
        <v>6</v>
      </c>
      <c r="F184" s="20">
        <v>1</v>
      </c>
      <c r="G184" s="20">
        <v>7</v>
      </c>
      <c r="H184" s="20" t="str">
        <f t="shared" si="41"/>
        <v>Item_Name_10720006</v>
      </c>
      <c r="I184" s="20" t="s">
        <v>891</v>
      </c>
      <c r="J184" s="20">
        <v>0</v>
      </c>
      <c r="K184" s="20">
        <v>2</v>
      </c>
      <c r="L184" s="20">
        <v>0</v>
      </c>
      <c r="M184" s="20">
        <v>0</v>
      </c>
      <c r="N184" s="20">
        <v>15</v>
      </c>
      <c r="O184" s="20">
        <v>100</v>
      </c>
      <c r="P184" s="20">
        <v>1</v>
      </c>
      <c r="Q184" s="20" t="s">
        <v>243</v>
      </c>
      <c r="R184" s="20" t="s">
        <v>171</v>
      </c>
      <c r="S184" s="20" t="s">
        <v>327</v>
      </c>
      <c r="T184" s="20" t="s">
        <v>429</v>
      </c>
      <c r="U184" s="20">
        <v>0</v>
      </c>
      <c r="V184" s="20">
        <v>0</v>
      </c>
      <c r="W184" s="20">
        <v>23</v>
      </c>
      <c r="X184" s="20">
        <v>28</v>
      </c>
      <c r="Y184" s="20">
        <v>1004</v>
      </c>
      <c r="Z184" s="20">
        <v>0</v>
      </c>
      <c r="AA184" s="20">
        <v>0</v>
      </c>
      <c r="AB184" s="20">
        <v>0</v>
      </c>
      <c r="AC184" s="20">
        <v>0</v>
      </c>
      <c r="AD184" s="20">
        <v>0</v>
      </c>
      <c r="AE184" s="39">
        <v>0</v>
      </c>
      <c r="AF184" s="31">
        <v>0</v>
      </c>
      <c r="AG184" s="20">
        <v>0</v>
      </c>
      <c r="AH184" s="20">
        <v>0</v>
      </c>
      <c r="AI184" s="20">
        <v>0</v>
      </c>
      <c r="AJ184" s="20">
        <v>0</v>
      </c>
      <c r="AK184" s="20">
        <v>0</v>
      </c>
      <c r="AL184" s="20">
        <v>0</v>
      </c>
      <c r="AM184" s="20">
        <v>0</v>
      </c>
      <c r="AN184" s="20">
        <v>0</v>
      </c>
      <c r="AO184" s="20">
        <v>0</v>
      </c>
      <c r="AP184" s="20">
        <v>0</v>
      </c>
      <c r="AQ184" s="20">
        <v>0</v>
      </c>
      <c r="AR184" s="20">
        <v>0</v>
      </c>
      <c r="AS184" s="20">
        <v>0</v>
      </c>
      <c r="AT184" s="20">
        <v>0</v>
      </c>
      <c r="AU184" s="20">
        <v>0</v>
      </c>
      <c r="AV184" s="20">
        <v>0</v>
      </c>
      <c r="AW184" s="20">
        <v>0</v>
      </c>
      <c r="AX184" s="20">
        <v>0</v>
      </c>
      <c r="AY184" s="20">
        <v>0</v>
      </c>
      <c r="AZ184" s="20">
        <v>0</v>
      </c>
      <c r="BA184" s="20">
        <v>0</v>
      </c>
      <c r="BB184" s="20">
        <v>0</v>
      </c>
      <c r="BC184" s="20">
        <v>0</v>
      </c>
      <c r="BD184" s="20">
        <v>0</v>
      </c>
      <c r="BE184" s="20">
        <v>0</v>
      </c>
      <c r="BF184" s="20">
        <v>0</v>
      </c>
      <c r="BG184" s="20">
        <v>0</v>
      </c>
      <c r="BH184" s="20">
        <v>0</v>
      </c>
      <c r="BI184" s="20">
        <v>0</v>
      </c>
      <c r="BJ184" s="20">
        <v>0</v>
      </c>
      <c r="BK184" s="20">
        <v>0</v>
      </c>
      <c r="BL184" s="20">
        <v>0</v>
      </c>
      <c r="BM184" s="20">
        <v>0</v>
      </c>
      <c r="BN184" s="20">
        <v>0</v>
      </c>
      <c r="BO184" s="20">
        <v>0</v>
      </c>
      <c r="BP184" s="20">
        <v>0</v>
      </c>
      <c r="BQ184" s="20">
        <v>0</v>
      </c>
      <c r="BR184" s="20">
        <v>0</v>
      </c>
      <c r="BS184" s="20">
        <v>0</v>
      </c>
      <c r="BT184" s="20">
        <v>0</v>
      </c>
      <c r="BU184" s="20">
        <v>0</v>
      </c>
      <c r="BV184" s="20">
        <v>0</v>
      </c>
      <c r="BW184" s="20">
        <v>0</v>
      </c>
      <c r="BX184" s="20">
        <v>0</v>
      </c>
      <c r="BY184" s="20">
        <v>0</v>
      </c>
      <c r="BZ184" s="20">
        <v>0</v>
      </c>
      <c r="CA184" s="20">
        <v>0</v>
      </c>
    </row>
    <row r="185" spans="1:79" x14ac:dyDescent="0.3">
      <c r="A185" s="19"/>
      <c r="B185" s="20" t="str">
        <f t="shared" si="38"/>
        <v>10720007</v>
      </c>
      <c r="C185" s="55">
        <f t="shared" si="72"/>
        <v>0</v>
      </c>
      <c r="D185" s="55">
        <f t="shared" si="73"/>
        <v>7</v>
      </c>
      <c r="E185" s="49">
        <v>7</v>
      </c>
      <c r="F185" s="20">
        <v>1</v>
      </c>
      <c r="G185" s="20">
        <v>7</v>
      </c>
      <c r="H185" s="20" t="str">
        <f t="shared" si="41"/>
        <v>Item_Name_10720007</v>
      </c>
      <c r="I185" s="20" t="s">
        <v>892</v>
      </c>
      <c r="J185" s="20">
        <v>0</v>
      </c>
      <c r="K185" s="20">
        <v>2</v>
      </c>
      <c r="L185" s="20">
        <v>0</v>
      </c>
      <c r="M185" s="20">
        <v>0</v>
      </c>
      <c r="N185" s="20">
        <v>15</v>
      </c>
      <c r="O185" s="20">
        <v>100</v>
      </c>
      <c r="P185" s="20">
        <v>1</v>
      </c>
      <c r="Q185" s="20" t="s">
        <v>244</v>
      </c>
      <c r="R185" s="20" t="s">
        <v>171</v>
      </c>
      <c r="S185" s="20" t="s">
        <v>327</v>
      </c>
      <c r="T185" s="20" t="s">
        <v>429</v>
      </c>
      <c r="U185" s="20">
        <v>0</v>
      </c>
      <c r="V185" s="20">
        <v>0</v>
      </c>
      <c r="W185" s="20">
        <v>23</v>
      </c>
      <c r="X185" s="20">
        <v>28</v>
      </c>
      <c r="Y185" s="20">
        <v>1005</v>
      </c>
      <c r="Z185" s="20">
        <v>0</v>
      </c>
      <c r="AA185" s="20">
        <v>0</v>
      </c>
      <c r="AB185" s="20">
        <v>0</v>
      </c>
      <c r="AC185" s="20">
        <v>0</v>
      </c>
      <c r="AD185" s="20">
        <v>0</v>
      </c>
      <c r="AE185" s="39">
        <v>0</v>
      </c>
      <c r="AF185" s="31">
        <v>0</v>
      </c>
      <c r="AG185" s="20">
        <v>0</v>
      </c>
      <c r="AH185" s="20">
        <v>0</v>
      </c>
      <c r="AI185" s="20">
        <v>0</v>
      </c>
      <c r="AJ185" s="20">
        <v>0</v>
      </c>
      <c r="AK185" s="20">
        <v>0</v>
      </c>
      <c r="AL185" s="20">
        <v>0</v>
      </c>
      <c r="AM185" s="20">
        <v>0</v>
      </c>
      <c r="AN185" s="20">
        <v>0</v>
      </c>
      <c r="AO185" s="20">
        <v>0</v>
      </c>
      <c r="AP185" s="20">
        <v>0</v>
      </c>
      <c r="AQ185" s="20">
        <v>0</v>
      </c>
      <c r="AR185" s="20">
        <v>0</v>
      </c>
      <c r="AS185" s="20">
        <v>0</v>
      </c>
      <c r="AT185" s="20">
        <v>0</v>
      </c>
      <c r="AU185" s="20">
        <v>0</v>
      </c>
      <c r="AV185" s="20">
        <v>0</v>
      </c>
      <c r="AW185" s="20">
        <v>0</v>
      </c>
      <c r="AX185" s="20">
        <v>0</v>
      </c>
      <c r="AY185" s="20">
        <v>0</v>
      </c>
      <c r="AZ185" s="20">
        <v>0</v>
      </c>
      <c r="BA185" s="20">
        <v>0</v>
      </c>
      <c r="BB185" s="20">
        <v>0</v>
      </c>
      <c r="BC185" s="20">
        <v>0</v>
      </c>
      <c r="BD185" s="20">
        <v>0</v>
      </c>
      <c r="BE185" s="20">
        <v>0</v>
      </c>
      <c r="BF185" s="20">
        <v>0</v>
      </c>
      <c r="BG185" s="20">
        <v>0</v>
      </c>
      <c r="BH185" s="20">
        <v>0</v>
      </c>
      <c r="BI185" s="20">
        <v>0</v>
      </c>
      <c r="BJ185" s="20">
        <v>0</v>
      </c>
      <c r="BK185" s="20">
        <v>0</v>
      </c>
      <c r="BL185" s="20">
        <v>0</v>
      </c>
      <c r="BM185" s="20">
        <v>0</v>
      </c>
      <c r="BN185" s="20">
        <v>0</v>
      </c>
      <c r="BO185" s="20">
        <v>0</v>
      </c>
      <c r="BP185" s="20">
        <v>0</v>
      </c>
      <c r="BQ185" s="20">
        <v>0</v>
      </c>
      <c r="BR185" s="20">
        <v>0</v>
      </c>
      <c r="BS185" s="20">
        <v>0</v>
      </c>
      <c r="BT185" s="20">
        <v>0</v>
      </c>
      <c r="BU185" s="20">
        <v>0</v>
      </c>
      <c r="BV185" s="20">
        <v>0</v>
      </c>
      <c r="BW185" s="20">
        <v>0</v>
      </c>
      <c r="BX185" s="20">
        <v>0</v>
      </c>
      <c r="BY185" s="20">
        <v>0</v>
      </c>
      <c r="BZ185" s="20">
        <v>0</v>
      </c>
      <c r="CA185" s="20">
        <v>0</v>
      </c>
    </row>
    <row r="186" spans="1:79" x14ac:dyDescent="0.3">
      <c r="A186" s="19"/>
      <c r="B186" s="20" t="str">
        <f t="shared" si="38"/>
        <v>10720008</v>
      </c>
      <c r="C186" s="55">
        <f t="shared" si="72"/>
        <v>0</v>
      </c>
      <c r="D186" s="55">
        <f t="shared" si="73"/>
        <v>7</v>
      </c>
      <c r="E186" s="49">
        <v>8</v>
      </c>
      <c r="F186" s="20">
        <v>1</v>
      </c>
      <c r="G186" s="20">
        <v>7</v>
      </c>
      <c r="H186" s="20" t="str">
        <f t="shared" si="41"/>
        <v>Item_Name_10720008</v>
      </c>
      <c r="I186" s="20" t="s">
        <v>893</v>
      </c>
      <c r="J186" s="20">
        <v>0</v>
      </c>
      <c r="K186" s="20">
        <v>2</v>
      </c>
      <c r="L186" s="20">
        <v>0</v>
      </c>
      <c r="M186" s="20">
        <v>0</v>
      </c>
      <c r="N186" s="20">
        <v>15</v>
      </c>
      <c r="O186" s="20">
        <v>100</v>
      </c>
      <c r="P186" s="20">
        <v>1</v>
      </c>
      <c r="Q186" s="20" t="s">
        <v>245</v>
      </c>
      <c r="R186" s="20" t="s">
        <v>171</v>
      </c>
      <c r="S186" s="20" t="s">
        <v>327</v>
      </c>
      <c r="T186" s="20" t="s">
        <v>429</v>
      </c>
      <c r="U186" s="20">
        <v>0</v>
      </c>
      <c r="V186" s="20">
        <v>0</v>
      </c>
      <c r="W186" s="20">
        <v>23</v>
      </c>
      <c r="X186" s="20">
        <v>28</v>
      </c>
      <c r="Y186" s="20">
        <v>1007</v>
      </c>
      <c r="Z186" s="20">
        <v>0</v>
      </c>
      <c r="AA186" s="20">
        <v>0</v>
      </c>
      <c r="AB186" s="20">
        <v>0</v>
      </c>
      <c r="AC186" s="20">
        <v>0</v>
      </c>
      <c r="AD186" s="20">
        <v>0</v>
      </c>
      <c r="AE186" s="39">
        <v>0</v>
      </c>
      <c r="AF186" s="31">
        <v>0</v>
      </c>
      <c r="AG186" s="20">
        <v>0</v>
      </c>
      <c r="AH186" s="20">
        <v>0</v>
      </c>
      <c r="AI186" s="20">
        <v>0</v>
      </c>
      <c r="AJ186" s="20">
        <v>0</v>
      </c>
      <c r="AK186" s="20">
        <v>0</v>
      </c>
      <c r="AL186" s="20">
        <v>0</v>
      </c>
      <c r="AM186" s="20">
        <v>0</v>
      </c>
      <c r="AN186" s="20">
        <v>0</v>
      </c>
      <c r="AO186" s="20">
        <v>0</v>
      </c>
      <c r="AP186" s="20">
        <v>0</v>
      </c>
      <c r="AQ186" s="20">
        <v>0</v>
      </c>
      <c r="AR186" s="20">
        <v>0</v>
      </c>
      <c r="AS186" s="20">
        <v>0</v>
      </c>
      <c r="AT186" s="20">
        <v>0</v>
      </c>
      <c r="AU186" s="20">
        <v>0</v>
      </c>
      <c r="AV186" s="20">
        <v>0</v>
      </c>
      <c r="AW186" s="20">
        <v>0</v>
      </c>
      <c r="AX186" s="20">
        <v>0</v>
      </c>
      <c r="AY186" s="20">
        <v>0</v>
      </c>
      <c r="AZ186" s="20">
        <v>0</v>
      </c>
      <c r="BA186" s="20">
        <v>0</v>
      </c>
      <c r="BB186" s="20">
        <v>0</v>
      </c>
      <c r="BC186" s="20">
        <v>0</v>
      </c>
      <c r="BD186" s="20">
        <v>0</v>
      </c>
      <c r="BE186" s="20">
        <v>0</v>
      </c>
      <c r="BF186" s="20">
        <v>0</v>
      </c>
      <c r="BG186" s="20">
        <v>0</v>
      </c>
      <c r="BH186" s="20">
        <v>0</v>
      </c>
      <c r="BI186" s="20">
        <v>0</v>
      </c>
      <c r="BJ186" s="20">
        <v>0</v>
      </c>
      <c r="BK186" s="20">
        <v>0</v>
      </c>
      <c r="BL186" s="20">
        <v>0</v>
      </c>
      <c r="BM186" s="20">
        <v>0</v>
      </c>
      <c r="BN186" s="20">
        <v>0</v>
      </c>
      <c r="BO186" s="20">
        <v>0</v>
      </c>
      <c r="BP186" s="20">
        <v>0</v>
      </c>
      <c r="BQ186" s="20">
        <v>0</v>
      </c>
      <c r="BR186" s="20">
        <v>0</v>
      </c>
      <c r="BS186" s="20">
        <v>0</v>
      </c>
      <c r="BT186" s="20">
        <v>0</v>
      </c>
      <c r="BU186" s="20">
        <v>0</v>
      </c>
      <c r="BV186" s="20">
        <v>0</v>
      </c>
      <c r="BW186" s="20">
        <v>0</v>
      </c>
      <c r="BX186" s="20">
        <v>0</v>
      </c>
      <c r="BY186" s="20">
        <v>0</v>
      </c>
      <c r="BZ186" s="20">
        <v>0</v>
      </c>
      <c r="CA186" s="20">
        <v>0</v>
      </c>
    </row>
    <row r="187" spans="1:79" x14ac:dyDescent="0.3">
      <c r="A187" s="19"/>
      <c r="B187" s="20" t="str">
        <f t="shared" si="38"/>
        <v>10720009</v>
      </c>
      <c r="C187" s="55">
        <f t="shared" si="72"/>
        <v>0</v>
      </c>
      <c r="D187" s="55">
        <f t="shared" si="73"/>
        <v>7</v>
      </c>
      <c r="E187" s="49">
        <v>9</v>
      </c>
      <c r="F187" s="20">
        <v>1</v>
      </c>
      <c r="G187" s="20">
        <v>7</v>
      </c>
      <c r="H187" s="20" t="str">
        <f t="shared" si="41"/>
        <v>Item_Name_10720009</v>
      </c>
      <c r="I187" s="20" t="s">
        <v>894</v>
      </c>
      <c r="J187" s="20">
        <v>0</v>
      </c>
      <c r="K187" s="20">
        <v>2</v>
      </c>
      <c r="L187" s="20">
        <v>0</v>
      </c>
      <c r="M187" s="20">
        <v>0</v>
      </c>
      <c r="N187" s="20">
        <v>15</v>
      </c>
      <c r="O187" s="20">
        <v>100</v>
      </c>
      <c r="P187" s="20">
        <v>1</v>
      </c>
      <c r="Q187" s="20" t="s">
        <v>246</v>
      </c>
      <c r="R187" s="20" t="s">
        <v>171</v>
      </c>
      <c r="S187" s="20" t="s">
        <v>327</v>
      </c>
      <c r="T187" s="20" t="s">
        <v>429</v>
      </c>
      <c r="U187" s="20">
        <v>0</v>
      </c>
      <c r="V187" s="20">
        <v>0</v>
      </c>
      <c r="W187" s="20">
        <v>23</v>
      </c>
      <c r="X187" s="20">
        <v>28</v>
      </c>
      <c r="Y187" s="20">
        <v>1006</v>
      </c>
      <c r="Z187" s="20">
        <v>0</v>
      </c>
      <c r="AA187" s="20">
        <v>0</v>
      </c>
      <c r="AB187" s="20">
        <v>0</v>
      </c>
      <c r="AC187" s="20">
        <v>0</v>
      </c>
      <c r="AD187" s="20">
        <v>0</v>
      </c>
      <c r="AE187" s="39">
        <v>0</v>
      </c>
      <c r="AF187" s="31">
        <v>0</v>
      </c>
      <c r="AG187" s="20">
        <v>0</v>
      </c>
      <c r="AH187" s="20">
        <v>0</v>
      </c>
      <c r="AI187" s="20">
        <v>0</v>
      </c>
      <c r="AJ187" s="20">
        <v>0</v>
      </c>
      <c r="AK187" s="20">
        <v>0</v>
      </c>
      <c r="AL187" s="20">
        <v>0</v>
      </c>
      <c r="AM187" s="20">
        <v>0</v>
      </c>
      <c r="AN187" s="20">
        <v>0</v>
      </c>
      <c r="AO187" s="20">
        <v>0</v>
      </c>
      <c r="AP187" s="20">
        <v>0</v>
      </c>
      <c r="AQ187" s="20">
        <v>0</v>
      </c>
      <c r="AR187" s="20">
        <v>0</v>
      </c>
      <c r="AS187" s="20">
        <v>0</v>
      </c>
      <c r="AT187" s="20">
        <v>0</v>
      </c>
      <c r="AU187" s="20">
        <v>0</v>
      </c>
      <c r="AV187" s="20">
        <v>0</v>
      </c>
      <c r="AW187" s="20">
        <v>0</v>
      </c>
      <c r="AX187" s="20">
        <v>0</v>
      </c>
      <c r="AY187" s="20">
        <v>0</v>
      </c>
      <c r="AZ187" s="20">
        <v>0</v>
      </c>
      <c r="BA187" s="20">
        <v>0</v>
      </c>
      <c r="BB187" s="20">
        <v>0</v>
      </c>
      <c r="BC187" s="20">
        <v>0</v>
      </c>
      <c r="BD187" s="20">
        <v>0</v>
      </c>
      <c r="BE187" s="20">
        <v>0</v>
      </c>
      <c r="BF187" s="20">
        <v>0</v>
      </c>
      <c r="BG187" s="20">
        <v>0</v>
      </c>
      <c r="BH187" s="20">
        <v>0</v>
      </c>
      <c r="BI187" s="20">
        <v>0</v>
      </c>
      <c r="BJ187" s="20">
        <v>0</v>
      </c>
      <c r="BK187" s="20">
        <v>0</v>
      </c>
      <c r="BL187" s="20">
        <v>0</v>
      </c>
      <c r="BM187" s="20">
        <v>0</v>
      </c>
      <c r="BN187" s="20">
        <v>0</v>
      </c>
      <c r="BO187" s="20">
        <v>0</v>
      </c>
      <c r="BP187" s="20">
        <v>0</v>
      </c>
      <c r="BQ187" s="20">
        <v>0</v>
      </c>
      <c r="BR187" s="20">
        <v>0</v>
      </c>
      <c r="BS187" s="20">
        <v>0</v>
      </c>
      <c r="BT187" s="20">
        <v>0</v>
      </c>
      <c r="BU187" s="20">
        <v>0</v>
      </c>
      <c r="BV187" s="20">
        <v>0</v>
      </c>
      <c r="BW187" s="20">
        <v>0</v>
      </c>
      <c r="BX187" s="20">
        <v>0</v>
      </c>
      <c r="BY187" s="20">
        <v>0</v>
      </c>
      <c r="BZ187" s="20">
        <v>0</v>
      </c>
      <c r="CA187" s="20">
        <v>0</v>
      </c>
    </row>
    <row r="188" spans="1:79" x14ac:dyDescent="0.3">
      <c r="A188" s="19"/>
      <c r="B188" s="20" t="str">
        <f t="shared" si="38"/>
        <v>10820001</v>
      </c>
      <c r="C188" s="55">
        <f t="shared" si="72"/>
        <v>0</v>
      </c>
      <c r="D188" s="55">
        <f t="shared" si="73"/>
        <v>8</v>
      </c>
      <c r="E188" s="49">
        <v>1</v>
      </c>
      <c r="F188" s="20">
        <v>1</v>
      </c>
      <c r="G188" s="20">
        <v>8</v>
      </c>
      <c r="H188" s="20" t="str">
        <f t="shared" si="41"/>
        <v>Item_Name_10820001</v>
      </c>
      <c r="I188" s="20" t="s">
        <v>895</v>
      </c>
      <c r="J188" s="20">
        <v>0</v>
      </c>
      <c r="K188" s="20">
        <v>2</v>
      </c>
      <c r="L188" s="20">
        <v>0</v>
      </c>
      <c r="M188" s="20">
        <v>0</v>
      </c>
      <c r="N188" s="20">
        <v>15</v>
      </c>
      <c r="O188" s="20">
        <v>100</v>
      </c>
      <c r="P188" s="20">
        <v>1</v>
      </c>
      <c r="Q188" s="20" t="s">
        <v>247</v>
      </c>
      <c r="R188" s="20" t="s">
        <v>171</v>
      </c>
      <c r="S188" s="20" t="s">
        <v>328</v>
      </c>
      <c r="T188" s="20" t="s">
        <v>429</v>
      </c>
      <c r="U188" s="20">
        <v>0</v>
      </c>
      <c r="V188" s="20">
        <v>0</v>
      </c>
      <c r="W188" s="20">
        <v>23</v>
      </c>
      <c r="X188" s="20">
        <v>12</v>
      </c>
      <c r="Y188" s="20">
        <v>1001</v>
      </c>
      <c r="Z188" s="20">
        <v>0</v>
      </c>
      <c r="AA188" s="20">
        <v>0</v>
      </c>
      <c r="AB188" s="20">
        <v>0</v>
      </c>
      <c r="AC188" s="20">
        <v>0</v>
      </c>
      <c r="AD188" s="20">
        <v>0</v>
      </c>
      <c r="AE188" s="39">
        <v>0</v>
      </c>
      <c r="AF188" s="31">
        <v>0</v>
      </c>
      <c r="AG188" s="20">
        <v>0</v>
      </c>
      <c r="AH188" s="20">
        <v>0</v>
      </c>
      <c r="AI188" s="20">
        <v>0</v>
      </c>
      <c r="AJ188" s="20">
        <v>0</v>
      </c>
      <c r="AK188" s="20">
        <v>0</v>
      </c>
      <c r="AL188" s="20">
        <v>0</v>
      </c>
      <c r="AM188" s="20">
        <v>0</v>
      </c>
      <c r="AN188" s="20">
        <v>0</v>
      </c>
      <c r="AO188" s="20">
        <v>0</v>
      </c>
      <c r="AP188" s="20">
        <v>0</v>
      </c>
      <c r="AQ188" s="20">
        <v>0</v>
      </c>
      <c r="AR188" s="20">
        <v>0</v>
      </c>
      <c r="AS188" s="20">
        <v>0</v>
      </c>
      <c r="AT188" s="20">
        <v>0</v>
      </c>
      <c r="AU188" s="20">
        <v>0</v>
      </c>
      <c r="AV188" s="20">
        <v>0</v>
      </c>
      <c r="AW188" s="20">
        <v>0</v>
      </c>
      <c r="AX188" s="20">
        <v>0</v>
      </c>
      <c r="AY188" s="20">
        <v>0</v>
      </c>
      <c r="AZ188" s="20">
        <v>0</v>
      </c>
      <c r="BA188" s="20">
        <v>0</v>
      </c>
      <c r="BB188" s="20">
        <v>0</v>
      </c>
      <c r="BC188" s="20">
        <v>0</v>
      </c>
      <c r="BD188" s="20">
        <v>0</v>
      </c>
      <c r="BE188" s="20">
        <v>0</v>
      </c>
      <c r="BF188" s="20">
        <v>0</v>
      </c>
      <c r="BG188" s="20">
        <v>0</v>
      </c>
      <c r="BH188" s="20">
        <v>0</v>
      </c>
      <c r="BI188" s="20">
        <v>0</v>
      </c>
      <c r="BJ188" s="20">
        <v>0</v>
      </c>
      <c r="BK188" s="20">
        <v>0</v>
      </c>
      <c r="BL188" s="20">
        <v>0</v>
      </c>
      <c r="BM188" s="20">
        <v>0</v>
      </c>
      <c r="BN188" s="20">
        <v>0</v>
      </c>
      <c r="BO188" s="20">
        <v>0</v>
      </c>
      <c r="BP188" s="20">
        <v>0</v>
      </c>
      <c r="BQ188" s="20">
        <v>0</v>
      </c>
      <c r="BR188" s="20">
        <v>0</v>
      </c>
      <c r="BS188" s="20">
        <v>0</v>
      </c>
      <c r="BT188" s="20">
        <v>0</v>
      </c>
      <c r="BU188" s="20">
        <v>0</v>
      </c>
      <c r="BV188" s="20">
        <v>0</v>
      </c>
      <c r="BW188" s="20">
        <v>0</v>
      </c>
      <c r="BX188" s="20">
        <v>0</v>
      </c>
      <c r="BY188" s="20">
        <v>0</v>
      </c>
      <c r="BZ188" s="20">
        <v>0</v>
      </c>
      <c r="CA188" s="20">
        <v>0</v>
      </c>
    </row>
    <row r="189" spans="1:79" x14ac:dyDescent="0.3">
      <c r="A189" s="19"/>
      <c r="B189" s="20" t="str">
        <f t="shared" si="38"/>
        <v>10820002</v>
      </c>
      <c r="C189" s="55">
        <f t="shared" si="72"/>
        <v>0</v>
      </c>
      <c r="D189" s="55">
        <f t="shared" si="73"/>
        <v>8</v>
      </c>
      <c r="E189" s="49">
        <v>2</v>
      </c>
      <c r="F189" s="20">
        <v>1</v>
      </c>
      <c r="G189" s="20">
        <v>8</v>
      </c>
      <c r="H189" s="20" t="str">
        <f t="shared" si="41"/>
        <v>Item_Name_10820002</v>
      </c>
      <c r="I189" s="20" t="s">
        <v>896</v>
      </c>
      <c r="J189" s="20">
        <v>0</v>
      </c>
      <c r="K189" s="20">
        <v>2</v>
      </c>
      <c r="L189" s="20">
        <v>0</v>
      </c>
      <c r="M189" s="20">
        <v>0</v>
      </c>
      <c r="N189" s="20">
        <v>15</v>
      </c>
      <c r="O189" s="20">
        <v>100</v>
      </c>
      <c r="P189" s="20">
        <v>1</v>
      </c>
      <c r="Q189" s="20" t="s">
        <v>248</v>
      </c>
      <c r="R189" s="20" t="s">
        <v>171</v>
      </c>
      <c r="S189" s="20" t="s">
        <v>328</v>
      </c>
      <c r="T189" s="20" t="s">
        <v>429</v>
      </c>
      <c r="U189" s="20">
        <v>0</v>
      </c>
      <c r="V189" s="20">
        <v>0</v>
      </c>
      <c r="W189" s="20">
        <v>23</v>
      </c>
      <c r="X189" s="20">
        <v>12</v>
      </c>
      <c r="Y189" s="20">
        <v>1003</v>
      </c>
      <c r="Z189" s="20">
        <v>0</v>
      </c>
      <c r="AA189" s="20">
        <v>0</v>
      </c>
      <c r="AB189" s="20">
        <v>0</v>
      </c>
      <c r="AC189" s="20">
        <v>0</v>
      </c>
      <c r="AD189" s="20">
        <v>0</v>
      </c>
      <c r="AE189" s="39">
        <v>0</v>
      </c>
      <c r="AF189" s="31">
        <v>0</v>
      </c>
      <c r="AG189" s="20">
        <v>0</v>
      </c>
      <c r="AH189" s="20">
        <v>0</v>
      </c>
      <c r="AI189" s="20">
        <v>0</v>
      </c>
      <c r="AJ189" s="20">
        <v>0</v>
      </c>
      <c r="AK189" s="20">
        <v>0</v>
      </c>
      <c r="AL189" s="20">
        <v>0</v>
      </c>
      <c r="AM189" s="20">
        <v>0</v>
      </c>
      <c r="AN189" s="20">
        <v>0</v>
      </c>
      <c r="AO189" s="20">
        <v>0</v>
      </c>
      <c r="AP189" s="20">
        <v>0</v>
      </c>
      <c r="AQ189" s="20">
        <v>0</v>
      </c>
      <c r="AR189" s="20">
        <v>0</v>
      </c>
      <c r="AS189" s="20">
        <v>0</v>
      </c>
      <c r="AT189" s="20">
        <v>0</v>
      </c>
      <c r="AU189" s="20">
        <v>0</v>
      </c>
      <c r="AV189" s="20">
        <v>0</v>
      </c>
      <c r="AW189" s="20">
        <v>0</v>
      </c>
      <c r="AX189" s="20">
        <v>0</v>
      </c>
      <c r="AY189" s="20">
        <v>0</v>
      </c>
      <c r="AZ189" s="20">
        <v>0</v>
      </c>
      <c r="BA189" s="20">
        <v>0</v>
      </c>
      <c r="BB189" s="20">
        <v>0</v>
      </c>
      <c r="BC189" s="20">
        <v>0</v>
      </c>
      <c r="BD189" s="20">
        <v>0</v>
      </c>
      <c r="BE189" s="20">
        <v>0</v>
      </c>
      <c r="BF189" s="20">
        <v>0</v>
      </c>
      <c r="BG189" s="20">
        <v>0</v>
      </c>
      <c r="BH189" s="20">
        <v>0</v>
      </c>
      <c r="BI189" s="20">
        <v>0</v>
      </c>
      <c r="BJ189" s="20">
        <v>0</v>
      </c>
      <c r="BK189" s="20">
        <v>0</v>
      </c>
      <c r="BL189" s="20">
        <v>0</v>
      </c>
      <c r="BM189" s="20">
        <v>0</v>
      </c>
      <c r="BN189" s="20">
        <v>0</v>
      </c>
      <c r="BO189" s="20">
        <v>0</v>
      </c>
      <c r="BP189" s="20">
        <v>0</v>
      </c>
      <c r="BQ189" s="20">
        <v>0</v>
      </c>
      <c r="BR189" s="20">
        <v>0</v>
      </c>
      <c r="BS189" s="20">
        <v>0</v>
      </c>
      <c r="BT189" s="20">
        <v>0</v>
      </c>
      <c r="BU189" s="20">
        <v>0</v>
      </c>
      <c r="BV189" s="20">
        <v>0</v>
      </c>
      <c r="BW189" s="20">
        <v>0</v>
      </c>
      <c r="BX189" s="20">
        <v>0</v>
      </c>
      <c r="BY189" s="20">
        <v>0</v>
      </c>
      <c r="BZ189" s="20">
        <v>0</v>
      </c>
      <c r="CA189" s="20">
        <v>0</v>
      </c>
    </row>
    <row r="190" spans="1:79" x14ac:dyDescent="0.3">
      <c r="A190" s="19"/>
      <c r="B190" s="20" t="str">
        <f t="shared" si="38"/>
        <v>10820003</v>
      </c>
      <c r="C190" s="55">
        <f t="shared" si="72"/>
        <v>0</v>
      </c>
      <c r="D190" s="55">
        <f t="shared" si="73"/>
        <v>8</v>
      </c>
      <c r="E190" s="49">
        <v>3</v>
      </c>
      <c r="F190" s="20">
        <v>1</v>
      </c>
      <c r="G190" s="20">
        <v>8</v>
      </c>
      <c r="H190" s="20" t="str">
        <f t="shared" si="41"/>
        <v>Item_Name_10820003</v>
      </c>
      <c r="I190" s="20" t="s">
        <v>897</v>
      </c>
      <c r="J190" s="20">
        <v>0</v>
      </c>
      <c r="K190" s="20">
        <v>2</v>
      </c>
      <c r="L190" s="20">
        <v>0</v>
      </c>
      <c r="M190" s="20">
        <v>0</v>
      </c>
      <c r="N190" s="20">
        <v>15</v>
      </c>
      <c r="O190" s="20">
        <v>100</v>
      </c>
      <c r="P190" s="20">
        <v>1</v>
      </c>
      <c r="Q190" s="20" t="s">
        <v>249</v>
      </c>
      <c r="R190" s="20" t="s">
        <v>171</v>
      </c>
      <c r="S190" s="20" t="s">
        <v>328</v>
      </c>
      <c r="T190" s="20" t="s">
        <v>429</v>
      </c>
      <c r="U190" s="20">
        <v>0</v>
      </c>
      <c r="V190" s="20">
        <v>0</v>
      </c>
      <c r="W190" s="20">
        <v>23</v>
      </c>
      <c r="X190" s="20">
        <v>12</v>
      </c>
      <c r="Y190" s="20">
        <v>1002</v>
      </c>
      <c r="Z190" s="20">
        <v>0</v>
      </c>
      <c r="AA190" s="20">
        <v>0</v>
      </c>
      <c r="AB190" s="20">
        <v>0</v>
      </c>
      <c r="AC190" s="20">
        <v>0</v>
      </c>
      <c r="AD190" s="20">
        <v>0</v>
      </c>
      <c r="AE190" s="39">
        <v>0</v>
      </c>
      <c r="AF190" s="31">
        <v>0</v>
      </c>
      <c r="AG190" s="20">
        <v>0</v>
      </c>
      <c r="AH190" s="20">
        <v>0</v>
      </c>
      <c r="AI190" s="20">
        <v>0</v>
      </c>
      <c r="AJ190" s="20">
        <v>0</v>
      </c>
      <c r="AK190" s="20">
        <v>0</v>
      </c>
      <c r="AL190" s="20">
        <v>0</v>
      </c>
      <c r="AM190" s="20">
        <v>0</v>
      </c>
      <c r="AN190" s="20">
        <v>0</v>
      </c>
      <c r="AO190" s="20">
        <v>0</v>
      </c>
      <c r="AP190" s="20">
        <v>0</v>
      </c>
      <c r="AQ190" s="20">
        <v>0</v>
      </c>
      <c r="AR190" s="20">
        <v>0</v>
      </c>
      <c r="AS190" s="20">
        <v>0</v>
      </c>
      <c r="AT190" s="20">
        <v>0</v>
      </c>
      <c r="AU190" s="20">
        <v>0</v>
      </c>
      <c r="AV190" s="20">
        <v>0</v>
      </c>
      <c r="AW190" s="20">
        <v>0</v>
      </c>
      <c r="AX190" s="20">
        <v>0</v>
      </c>
      <c r="AY190" s="20">
        <v>0</v>
      </c>
      <c r="AZ190" s="20">
        <v>0</v>
      </c>
      <c r="BA190" s="20">
        <v>0</v>
      </c>
      <c r="BB190" s="20">
        <v>0</v>
      </c>
      <c r="BC190" s="20">
        <v>0</v>
      </c>
      <c r="BD190" s="20">
        <v>0</v>
      </c>
      <c r="BE190" s="20">
        <v>0</v>
      </c>
      <c r="BF190" s="20">
        <v>0</v>
      </c>
      <c r="BG190" s="20">
        <v>0</v>
      </c>
      <c r="BH190" s="20">
        <v>0</v>
      </c>
      <c r="BI190" s="20">
        <v>0</v>
      </c>
      <c r="BJ190" s="20">
        <v>0</v>
      </c>
      <c r="BK190" s="20">
        <v>0</v>
      </c>
      <c r="BL190" s="20">
        <v>0</v>
      </c>
      <c r="BM190" s="20">
        <v>0</v>
      </c>
      <c r="BN190" s="20">
        <v>0</v>
      </c>
      <c r="BO190" s="20">
        <v>0</v>
      </c>
      <c r="BP190" s="20">
        <v>0</v>
      </c>
      <c r="BQ190" s="20">
        <v>0</v>
      </c>
      <c r="BR190" s="20">
        <v>0</v>
      </c>
      <c r="BS190" s="20">
        <v>0</v>
      </c>
      <c r="BT190" s="20">
        <v>0</v>
      </c>
      <c r="BU190" s="20">
        <v>0</v>
      </c>
      <c r="BV190" s="20">
        <v>0</v>
      </c>
      <c r="BW190" s="20">
        <v>0</v>
      </c>
      <c r="BX190" s="20">
        <v>0</v>
      </c>
      <c r="BY190" s="20">
        <v>0</v>
      </c>
      <c r="BZ190" s="20">
        <v>0</v>
      </c>
      <c r="CA190" s="20">
        <v>0</v>
      </c>
    </row>
    <row r="191" spans="1:79" x14ac:dyDescent="0.3">
      <c r="A191" s="19"/>
      <c r="B191" s="20" t="str">
        <f t="shared" si="38"/>
        <v>10820004</v>
      </c>
      <c r="C191" s="55">
        <f t="shared" si="72"/>
        <v>0</v>
      </c>
      <c r="D191" s="55">
        <f t="shared" si="73"/>
        <v>8</v>
      </c>
      <c r="E191" s="49">
        <v>4</v>
      </c>
      <c r="F191" s="20">
        <v>1</v>
      </c>
      <c r="G191" s="20">
        <v>8</v>
      </c>
      <c r="H191" s="20" t="str">
        <f t="shared" si="41"/>
        <v>Item_Name_10820004</v>
      </c>
      <c r="I191" s="20" t="s">
        <v>898</v>
      </c>
      <c r="J191" s="20">
        <v>0</v>
      </c>
      <c r="K191" s="20">
        <v>2</v>
      </c>
      <c r="L191" s="20">
        <v>0</v>
      </c>
      <c r="M191" s="20">
        <v>0</v>
      </c>
      <c r="N191" s="20">
        <v>15</v>
      </c>
      <c r="O191" s="20">
        <v>100</v>
      </c>
      <c r="P191" s="20">
        <v>1</v>
      </c>
      <c r="Q191" s="20" t="s">
        <v>250</v>
      </c>
      <c r="R191" s="20" t="s">
        <v>171</v>
      </c>
      <c r="S191" s="20" t="s">
        <v>328</v>
      </c>
      <c r="T191" s="20" t="s">
        <v>429</v>
      </c>
      <c r="U191" s="20">
        <v>0</v>
      </c>
      <c r="V191" s="20">
        <v>0</v>
      </c>
      <c r="W191" s="20">
        <v>23</v>
      </c>
      <c r="X191" s="20">
        <v>12</v>
      </c>
      <c r="Y191" s="20">
        <v>1004</v>
      </c>
      <c r="Z191" s="20">
        <v>0</v>
      </c>
      <c r="AA191" s="20">
        <v>0</v>
      </c>
      <c r="AB191" s="20">
        <v>0</v>
      </c>
      <c r="AC191" s="20">
        <v>0</v>
      </c>
      <c r="AD191" s="20">
        <v>0</v>
      </c>
      <c r="AE191" s="39">
        <v>0</v>
      </c>
      <c r="AF191" s="31">
        <v>0</v>
      </c>
      <c r="AG191" s="20">
        <v>0</v>
      </c>
      <c r="AH191" s="20">
        <v>0</v>
      </c>
      <c r="AI191" s="20">
        <v>0</v>
      </c>
      <c r="AJ191" s="20">
        <v>0</v>
      </c>
      <c r="AK191" s="20">
        <v>0</v>
      </c>
      <c r="AL191" s="20">
        <v>0</v>
      </c>
      <c r="AM191" s="20">
        <v>0</v>
      </c>
      <c r="AN191" s="20">
        <v>0</v>
      </c>
      <c r="AO191" s="20">
        <v>0</v>
      </c>
      <c r="AP191" s="20">
        <v>0</v>
      </c>
      <c r="AQ191" s="20">
        <v>0</v>
      </c>
      <c r="AR191" s="20">
        <v>0</v>
      </c>
      <c r="AS191" s="20">
        <v>0</v>
      </c>
      <c r="AT191" s="20">
        <v>0</v>
      </c>
      <c r="AU191" s="20">
        <v>0</v>
      </c>
      <c r="AV191" s="20">
        <v>0</v>
      </c>
      <c r="AW191" s="20">
        <v>0</v>
      </c>
      <c r="AX191" s="20">
        <v>0</v>
      </c>
      <c r="AY191" s="20">
        <v>0</v>
      </c>
      <c r="AZ191" s="20">
        <v>0</v>
      </c>
      <c r="BA191" s="20">
        <v>0</v>
      </c>
      <c r="BB191" s="20">
        <v>0</v>
      </c>
      <c r="BC191" s="20">
        <v>0</v>
      </c>
      <c r="BD191" s="20">
        <v>0</v>
      </c>
      <c r="BE191" s="20">
        <v>0</v>
      </c>
      <c r="BF191" s="20">
        <v>0</v>
      </c>
      <c r="BG191" s="20">
        <v>0</v>
      </c>
      <c r="BH191" s="20">
        <v>0</v>
      </c>
      <c r="BI191" s="20">
        <v>0</v>
      </c>
      <c r="BJ191" s="20">
        <v>0</v>
      </c>
      <c r="BK191" s="20">
        <v>0</v>
      </c>
      <c r="BL191" s="20">
        <v>0</v>
      </c>
      <c r="BM191" s="20">
        <v>0</v>
      </c>
      <c r="BN191" s="20">
        <v>0</v>
      </c>
      <c r="BO191" s="20">
        <v>0</v>
      </c>
      <c r="BP191" s="20">
        <v>0</v>
      </c>
      <c r="BQ191" s="20">
        <v>0</v>
      </c>
      <c r="BR191" s="20">
        <v>0</v>
      </c>
      <c r="BS191" s="20">
        <v>0</v>
      </c>
      <c r="BT191" s="20">
        <v>0</v>
      </c>
      <c r="BU191" s="20">
        <v>0</v>
      </c>
      <c r="BV191" s="20">
        <v>0</v>
      </c>
      <c r="BW191" s="20">
        <v>0</v>
      </c>
      <c r="BX191" s="20">
        <v>0</v>
      </c>
      <c r="BY191" s="20">
        <v>0</v>
      </c>
      <c r="BZ191" s="20">
        <v>0</v>
      </c>
      <c r="CA191" s="20">
        <v>0</v>
      </c>
    </row>
    <row r="192" spans="1:79" x14ac:dyDescent="0.3">
      <c r="A192" s="19"/>
      <c r="B192" s="20" t="str">
        <f t="shared" si="38"/>
        <v>10820005</v>
      </c>
      <c r="C192" s="55">
        <f t="shared" si="72"/>
        <v>0</v>
      </c>
      <c r="D192" s="55">
        <f t="shared" si="73"/>
        <v>8</v>
      </c>
      <c r="E192" s="49">
        <v>5</v>
      </c>
      <c r="F192" s="20">
        <v>1</v>
      </c>
      <c r="G192" s="20">
        <v>8</v>
      </c>
      <c r="H192" s="20" t="str">
        <f t="shared" si="41"/>
        <v>Item_Name_10820005</v>
      </c>
      <c r="I192" s="20" t="s">
        <v>899</v>
      </c>
      <c r="J192" s="20">
        <v>0</v>
      </c>
      <c r="K192" s="20">
        <v>2</v>
      </c>
      <c r="L192" s="20">
        <v>0</v>
      </c>
      <c r="M192" s="20">
        <v>0</v>
      </c>
      <c r="N192" s="20">
        <v>15</v>
      </c>
      <c r="O192" s="20">
        <v>100</v>
      </c>
      <c r="P192" s="20">
        <v>1</v>
      </c>
      <c r="Q192" s="20" t="s">
        <v>251</v>
      </c>
      <c r="R192" s="20" t="s">
        <v>171</v>
      </c>
      <c r="S192" s="20" t="s">
        <v>328</v>
      </c>
      <c r="T192" s="20" t="s">
        <v>429</v>
      </c>
      <c r="U192" s="20">
        <v>0</v>
      </c>
      <c r="V192" s="20">
        <v>0</v>
      </c>
      <c r="W192" s="20">
        <v>23</v>
      </c>
      <c r="X192" s="20">
        <v>12</v>
      </c>
      <c r="Y192" s="20">
        <v>1004</v>
      </c>
      <c r="Z192" s="20">
        <v>0</v>
      </c>
      <c r="AA192" s="20">
        <v>0</v>
      </c>
      <c r="AB192" s="20">
        <v>0</v>
      </c>
      <c r="AC192" s="20">
        <v>0</v>
      </c>
      <c r="AD192" s="20">
        <v>0</v>
      </c>
      <c r="AE192" s="39">
        <v>0</v>
      </c>
      <c r="AF192" s="31">
        <v>0</v>
      </c>
      <c r="AG192" s="20">
        <v>0</v>
      </c>
      <c r="AH192" s="20">
        <v>0</v>
      </c>
      <c r="AI192" s="20">
        <v>0</v>
      </c>
      <c r="AJ192" s="20">
        <v>0</v>
      </c>
      <c r="AK192" s="20">
        <v>0</v>
      </c>
      <c r="AL192" s="20">
        <v>0</v>
      </c>
      <c r="AM192" s="20">
        <v>0</v>
      </c>
      <c r="AN192" s="20">
        <v>0</v>
      </c>
      <c r="AO192" s="20">
        <v>0</v>
      </c>
      <c r="AP192" s="20">
        <v>0</v>
      </c>
      <c r="AQ192" s="20">
        <v>0</v>
      </c>
      <c r="AR192" s="20">
        <v>0</v>
      </c>
      <c r="AS192" s="20">
        <v>0</v>
      </c>
      <c r="AT192" s="20">
        <v>0</v>
      </c>
      <c r="AU192" s="20">
        <v>0</v>
      </c>
      <c r="AV192" s="20">
        <v>0</v>
      </c>
      <c r="AW192" s="20">
        <v>0</v>
      </c>
      <c r="AX192" s="20">
        <v>0</v>
      </c>
      <c r="AY192" s="20">
        <v>0</v>
      </c>
      <c r="AZ192" s="20">
        <v>0</v>
      </c>
      <c r="BA192" s="20">
        <v>0</v>
      </c>
      <c r="BB192" s="20">
        <v>0</v>
      </c>
      <c r="BC192" s="20">
        <v>0</v>
      </c>
      <c r="BD192" s="20">
        <v>0</v>
      </c>
      <c r="BE192" s="20">
        <v>0</v>
      </c>
      <c r="BF192" s="20">
        <v>0</v>
      </c>
      <c r="BG192" s="20">
        <v>0</v>
      </c>
      <c r="BH192" s="20">
        <v>0</v>
      </c>
      <c r="BI192" s="20">
        <v>0</v>
      </c>
      <c r="BJ192" s="20">
        <v>0</v>
      </c>
      <c r="BK192" s="20">
        <v>0</v>
      </c>
      <c r="BL192" s="20">
        <v>0</v>
      </c>
      <c r="BM192" s="20">
        <v>0</v>
      </c>
      <c r="BN192" s="20">
        <v>0</v>
      </c>
      <c r="BO192" s="20">
        <v>0</v>
      </c>
      <c r="BP192" s="20">
        <v>0</v>
      </c>
      <c r="BQ192" s="20">
        <v>0</v>
      </c>
      <c r="BR192" s="20">
        <v>0</v>
      </c>
      <c r="BS192" s="20">
        <v>0</v>
      </c>
      <c r="BT192" s="20">
        <v>0</v>
      </c>
      <c r="BU192" s="20">
        <v>0</v>
      </c>
      <c r="BV192" s="20">
        <v>0</v>
      </c>
      <c r="BW192" s="20">
        <v>0</v>
      </c>
      <c r="BX192" s="20">
        <v>0</v>
      </c>
      <c r="BY192" s="20">
        <v>0</v>
      </c>
      <c r="BZ192" s="20">
        <v>0</v>
      </c>
      <c r="CA192" s="20">
        <v>0</v>
      </c>
    </row>
    <row r="193" spans="1:79" x14ac:dyDescent="0.3">
      <c r="A193" s="19"/>
      <c r="B193" s="20" t="str">
        <f t="shared" si="38"/>
        <v>10820006</v>
      </c>
      <c r="C193" s="55">
        <f t="shared" si="72"/>
        <v>0</v>
      </c>
      <c r="D193" s="55">
        <f t="shared" si="73"/>
        <v>8</v>
      </c>
      <c r="E193" s="49">
        <v>6</v>
      </c>
      <c r="F193" s="20">
        <v>1</v>
      </c>
      <c r="G193" s="20">
        <v>8</v>
      </c>
      <c r="H193" s="20" t="str">
        <f t="shared" si="41"/>
        <v>Item_Name_10820006</v>
      </c>
      <c r="I193" s="20" t="s">
        <v>900</v>
      </c>
      <c r="J193" s="20">
        <v>0</v>
      </c>
      <c r="K193" s="20">
        <v>2</v>
      </c>
      <c r="L193" s="20">
        <v>0</v>
      </c>
      <c r="M193" s="20">
        <v>0</v>
      </c>
      <c r="N193" s="20">
        <v>15</v>
      </c>
      <c r="O193" s="20">
        <v>100</v>
      </c>
      <c r="P193" s="20">
        <v>1</v>
      </c>
      <c r="Q193" s="20" t="s">
        <v>252</v>
      </c>
      <c r="R193" s="20" t="s">
        <v>171</v>
      </c>
      <c r="S193" s="20" t="s">
        <v>328</v>
      </c>
      <c r="T193" s="20" t="s">
        <v>429</v>
      </c>
      <c r="U193" s="20">
        <v>0</v>
      </c>
      <c r="V193" s="20">
        <v>0</v>
      </c>
      <c r="W193" s="20">
        <v>23</v>
      </c>
      <c r="X193" s="20">
        <v>12</v>
      </c>
      <c r="Y193" s="20">
        <v>1004</v>
      </c>
      <c r="Z193" s="20">
        <v>0</v>
      </c>
      <c r="AA193" s="20">
        <v>0</v>
      </c>
      <c r="AB193" s="20">
        <v>0</v>
      </c>
      <c r="AC193" s="20">
        <v>0</v>
      </c>
      <c r="AD193" s="20">
        <v>0</v>
      </c>
      <c r="AE193" s="39">
        <v>0</v>
      </c>
      <c r="AF193" s="31">
        <v>0</v>
      </c>
      <c r="AG193" s="20">
        <v>0</v>
      </c>
      <c r="AH193" s="20">
        <v>0</v>
      </c>
      <c r="AI193" s="20">
        <v>0</v>
      </c>
      <c r="AJ193" s="20">
        <v>0</v>
      </c>
      <c r="AK193" s="20">
        <v>0</v>
      </c>
      <c r="AL193" s="20">
        <v>0</v>
      </c>
      <c r="AM193" s="20">
        <v>0</v>
      </c>
      <c r="AN193" s="20">
        <v>0</v>
      </c>
      <c r="AO193" s="20">
        <v>0</v>
      </c>
      <c r="AP193" s="20">
        <v>0</v>
      </c>
      <c r="AQ193" s="20">
        <v>0</v>
      </c>
      <c r="AR193" s="20">
        <v>0</v>
      </c>
      <c r="AS193" s="20">
        <v>0</v>
      </c>
      <c r="AT193" s="20">
        <v>0</v>
      </c>
      <c r="AU193" s="20">
        <v>0</v>
      </c>
      <c r="AV193" s="20">
        <v>0</v>
      </c>
      <c r="AW193" s="20">
        <v>0</v>
      </c>
      <c r="AX193" s="20">
        <v>0</v>
      </c>
      <c r="AY193" s="20">
        <v>0</v>
      </c>
      <c r="AZ193" s="20">
        <v>0</v>
      </c>
      <c r="BA193" s="20">
        <v>0</v>
      </c>
      <c r="BB193" s="20">
        <v>0</v>
      </c>
      <c r="BC193" s="20">
        <v>0</v>
      </c>
      <c r="BD193" s="20">
        <v>0</v>
      </c>
      <c r="BE193" s="20">
        <v>0</v>
      </c>
      <c r="BF193" s="20">
        <v>0</v>
      </c>
      <c r="BG193" s="20">
        <v>0</v>
      </c>
      <c r="BH193" s="20">
        <v>0</v>
      </c>
      <c r="BI193" s="20">
        <v>0</v>
      </c>
      <c r="BJ193" s="20">
        <v>0</v>
      </c>
      <c r="BK193" s="20">
        <v>0</v>
      </c>
      <c r="BL193" s="20">
        <v>0</v>
      </c>
      <c r="BM193" s="20">
        <v>0</v>
      </c>
      <c r="BN193" s="20">
        <v>0</v>
      </c>
      <c r="BO193" s="20">
        <v>0</v>
      </c>
      <c r="BP193" s="20">
        <v>0</v>
      </c>
      <c r="BQ193" s="20">
        <v>0</v>
      </c>
      <c r="BR193" s="20">
        <v>0</v>
      </c>
      <c r="BS193" s="20">
        <v>0</v>
      </c>
      <c r="BT193" s="20">
        <v>0</v>
      </c>
      <c r="BU193" s="20">
        <v>0</v>
      </c>
      <c r="BV193" s="20">
        <v>0</v>
      </c>
      <c r="BW193" s="20">
        <v>0</v>
      </c>
      <c r="BX193" s="20">
        <v>0</v>
      </c>
      <c r="BY193" s="20">
        <v>0</v>
      </c>
      <c r="BZ193" s="20">
        <v>0</v>
      </c>
      <c r="CA193" s="20">
        <v>0</v>
      </c>
    </row>
    <row r="194" spans="1:79" x14ac:dyDescent="0.3">
      <c r="A194" s="19"/>
      <c r="B194" s="20" t="str">
        <f t="shared" si="38"/>
        <v>10820007</v>
      </c>
      <c r="C194" s="55">
        <f t="shared" si="72"/>
        <v>0</v>
      </c>
      <c r="D194" s="55">
        <f t="shared" si="73"/>
        <v>8</v>
      </c>
      <c r="E194" s="49">
        <v>7</v>
      </c>
      <c r="F194" s="20">
        <v>1</v>
      </c>
      <c r="G194" s="20">
        <v>8</v>
      </c>
      <c r="H194" s="20" t="str">
        <f t="shared" si="41"/>
        <v>Item_Name_10820007</v>
      </c>
      <c r="I194" s="20" t="s">
        <v>901</v>
      </c>
      <c r="J194" s="20">
        <v>0</v>
      </c>
      <c r="K194" s="20">
        <v>2</v>
      </c>
      <c r="L194" s="20">
        <v>0</v>
      </c>
      <c r="M194" s="20">
        <v>0</v>
      </c>
      <c r="N194" s="20">
        <v>15</v>
      </c>
      <c r="O194" s="20">
        <v>100</v>
      </c>
      <c r="P194" s="20">
        <v>1</v>
      </c>
      <c r="Q194" s="20" t="s">
        <v>253</v>
      </c>
      <c r="R194" s="20" t="s">
        <v>171</v>
      </c>
      <c r="S194" s="20" t="s">
        <v>328</v>
      </c>
      <c r="T194" s="20" t="s">
        <v>429</v>
      </c>
      <c r="U194" s="20">
        <v>0</v>
      </c>
      <c r="V194" s="20">
        <v>0</v>
      </c>
      <c r="W194" s="20">
        <v>23</v>
      </c>
      <c r="X194" s="20">
        <v>12</v>
      </c>
      <c r="Y194" s="20">
        <v>1005</v>
      </c>
      <c r="Z194" s="20">
        <v>0</v>
      </c>
      <c r="AA194" s="20">
        <v>0</v>
      </c>
      <c r="AB194" s="20">
        <v>0</v>
      </c>
      <c r="AC194" s="20">
        <v>0</v>
      </c>
      <c r="AD194" s="20">
        <v>0</v>
      </c>
      <c r="AE194" s="39">
        <v>0</v>
      </c>
      <c r="AF194" s="31">
        <v>0</v>
      </c>
      <c r="AG194" s="20">
        <v>0</v>
      </c>
      <c r="AH194" s="20">
        <v>0</v>
      </c>
      <c r="AI194" s="20">
        <v>0</v>
      </c>
      <c r="AJ194" s="20">
        <v>0</v>
      </c>
      <c r="AK194" s="20">
        <v>0</v>
      </c>
      <c r="AL194" s="20">
        <v>0</v>
      </c>
      <c r="AM194" s="20">
        <v>0</v>
      </c>
      <c r="AN194" s="20">
        <v>0</v>
      </c>
      <c r="AO194" s="20">
        <v>0</v>
      </c>
      <c r="AP194" s="20">
        <v>0</v>
      </c>
      <c r="AQ194" s="20">
        <v>0</v>
      </c>
      <c r="AR194" s="20">
        <v>0</v>
      </c>
      <c r="AS194" s="20">
        <v>0</v>
      </c>
      <c r="AT194" s="20">
        <v>0</v>
      </c>
      <c r="AU194" s="20">
        <v>0</v>
      </c>
      <c r="AV194" s="20">
        <v>0</v>
      </c>
      <c r="AW194" s="20">
        <v>0</v>
      </c>
      <c r="AX194" s="20">
        <v>0</v>
      </c>
      <c r="AY194" s="20">
        <v>0</v>
      </c>
      <c r="AZ194" s="20">
        <v>0</v>
      </c>
      <c r="BA194" s="20">
        <v>0</v>
      </c>
      <c r="BB194" s="20">
        <v>0</v>
      </c>
      <c r="BC194" s="20">
        <v>0</v>
      </c>
      <c r="BD194" s="20">
        <v>0</v>
      </c>
      <c r="BE194" s="20">
        <v>0</v>
      </c>
      <c r="BF194" s="20">
        <v>0</v>
      </c>
      <c r="BG194" s="20">
        <v>0</v>
      </c>
      <c r="BH194" s="20">
        <v>0</v>
      </c>
      <c r="BI194" s="20">
        <v>0</v>
      </c>
      <c r="BJ194" s="20">
        <v>0</v>
      </c>
      <c r="BK194" s="20">
        <v>0</v>
      </c>
      <c r="BL194" s="20">
        <v>0</v>
      </c>
      <c r="BM194" s="20">
        <v>0</v>
      </c>
      <c r="BN194" s="20">
        <v>0</v>
      </c>
      <c r="BO194" s="20">
        <v>0</v>
      </c>
      <c r="BP194" s="20">
        <v>0</v>
      </c>
      <c r="BQ194" s="20">
        <v>0</v>
      </c>
      <c r="BR194" s="20">
        <v>0</v>
      </c>
      <c r="BS194" s="20">
        <v>0</v>
      </c>
      <c r="BT194" s="20">
        <v>0</v>
      </c>
      <c r="BU194" s="20">
        <v>0</v>
      </c>
      <c r="BV194" s="20">
        <v>0</v>
      </c>
      <c r="BW194" s="20">
        <v>0</v>
      </c>
      <c r="BX194" s="20">
        <v>0</v>
      </c>
      <c r="BY194" s="20">
        <v>0</v>
      </c>
      <c r="BZ194" s="20">
        <v>0</v>
      </c>
      <c r="CA194" s="20">
        <v>0</v>
      </c>
    </row>
    <row r="195" spans="1:79" x14ac:dyDescent="0.3">
      <c r="A195" s="19"/>
      <c r="B195" s="20" t="str">
        <f t="shared" si="38"/>
        <v>10820008</v>
      </c>
      <c r="C195" s="55">
        <f t="shared" si="72"/>
        <v>0</v>
      </c>
      <c r="D195" s="55">
        <f t="shared" si="73"/>
        <v>8</v>
      </c>
      <c r="E195" s="49">
        <v>8</v>
      </c>
      <c r="F195" s="20">
        <v>1</v>
      </c>
      <c r="G195" s="20">
        <v>8</v>
      </c>
      <c r="H195" s="20" t="str">
        <f t="shared" si="41"/>
        <v>Item_Name_10820008</v>
      </c>
      <c r="I195" s="20" t="s">
        <v>902</v>
      </c>
      <c r="J195" s="20">
        <v>0</v>
      </c>
      <c r="K195" s="20">
        <v>2</v>
      </c>
      <c r="L195" s="20">
        <v>0</v>
      </c>
      <c r="M195" s="20">
        <v>0</v>
      </c>
      <c r="N195" s="20">
        <v>15</v>
      </c>
      <c r="O195" s="20">
        <v>100</v>
      </c>
      <c r="P195" s="20">
        <v>1</v>
      </c>
      <c r="Q195" s="20" t="s">
        <v>254</v>
      </c>
      <c r="R195" s="20" t="s">
        <v>171</v>
      </c>
      <c r="S195" s="20" t="s">
        <v>328</v>
      </c>
      <c r="T195" s="20" t="s">
        <v>429</v>
      </c>
      <c r="U195" s="20">
        <v>0</v>
      </c>
      <c r="V195" s="20">
        <v>0</v>
      </c>
      <c r="W195" s="20">
        <v>23</v>
      </c>
      <c r="X195" s="20">
        <v>12</v>
      </c>
      <c r="Y195" s="20">
        <v>1007</v>
      </c>
      <c r="Z195" s="20">
        <v>0</v>
      </c>
      <c r="AA195" s="20">
        <v>0</v>
      </c>
      <c r="AB195" s="20">
        <v>0</v>
      </c>
      <c r="AC195" s="20">
        <v>0</v>
      </c>
      <c r="AD195" s="20">
        <v>0</v>
      </c>
      <c r="AE195" s="39">
        <v>0</v>
      </c>
      <c r="AF195" s="31">
        <v>0</v>
      </c>
      <c r="AG195" s="20">
        <v>0</v>
      </c>
      <c r="AH195" s="20">
        <v>0</v>
      </c>
      <c r="AI195" s="20">
        <v>0</v>
      </c>
      <c r="AJ195" s="20">
        <v>0</v>
      </c>
      <c r="AK195" s="20">
        <v>0</v>
      </c>
      <c r="AL195" s="20">
        <v>0</v>
      </c>
      <c r="AM195" s="20">
        <v>0</v>
      </c>
      <c r="AN195" s="20">
        <v>0</v>
      </c>
      <c r="AO195" s="20">
        <v>0</v>
      </c>
      <c r="AP195" s="20">
        <v>0</v>
      </c>
      <c r="AQ195" s="20">
        <v>0</v>
      </c>
      <c r="AR195" s="20">
        <v>0</v>
      </c>
      <c r="AS195" s="20">
        <v>0</v>
      </c>
      <c r="AT195" s="20">
        <v>0</v>
      </c>
      <c r="AU195" s="20">
        <v>0</v>
      </c>
      <c r="AV195" s="20">
        <v>0</v>
      </c>
      <c r="AW195" s="20">
        <v>0</v>
      </c>
      <c r="AX195" s="20">
        <v>0</v>
      </c>
      <c r="AY195" s="20">
        <v>0</v>
      </c>
      <c r="AZ195" s="20">
        <v>0</v>
      </c>
      <c r="BA195" s="20">
        <v>0</v>
      </c>
      <c r="BB195" s="20">
        <v>0</v>
      </c>
      <c r="BC195" s="20">
        <v>0</v>
      </c>
      <c r="BD195" s="20">
        <v>0</v>
      </c>
      <c r="BE195" s="20">
        <v>0</v>
      </c>
      <c r="BF195" s="20">
        <v>0</v>
      </c>
      <c r="BG195" s="20">
        <v>0</v>
      </c>
      <c r="BH195" s="20">
        <v>0</v>
      </c>
      <c r="BI195" s="20">
        <v>0</v>
      </c>
      <c r="BJ195" s="20">
        <v>0</v>
      </c>
      <c r="BK195" s="20">
        <v>0</v>
      </c>
      <c r="BL195" s="20">
        <v>0</v>
      </c>
      <c r="BM195" s="20">
        <v>0</v>
      </c>
      <c r="BN195" s="20">
        <v>0</v>
      </c>
      <c r="BO195" s="20">
        <v>0</v>
      </c>
      <c r="BP195" s="20">
        <v>0</v>
      </c>
      <c r="BQ195" s="20">
        <v>0</v>
      </c>
      <c r="BR195" s="20">
        <v>0</v>
      </c>
      <c r="BS195" s="20">
        <v>0</v>
      </c>
      <c r="BT195" s="20">
        <v>0</v>
      </c>
      <c r="BU195" s="20">
        <v>0</v>
      </c>
      <c r="BV195" s="20">
        <v>0</v>
      </c>
      <c r="BW195" s="20">
        <v>0</v>
      </c>
      <c r="BX195" s="20">
        <v>0</v>
      </c>
      <c r="BY195" s="20">
        <v>0</v>
      </c>
      <c r="BZ195" s="20">
        <v>0</v>
      </c>
      <c r="CA195" s="20">
        <v>0</v>
      </c>
    </row>
    <row r="196" spans="1:79" x14ac:dyDescent="0.3">
      <c r="A196" s="19"/>
      <c r="B196" s="20" t="str">
        <f t="shared" si="38"/>
        <v>10820009</v>
      </c>
      <c r="C196" s="55">
        <f t="shared" si="72"/>
        <v>0</v>
      </c>
      <c r="D196" s="55">
        <f t="shared" si="73"/>
        <v>8</v>
      </c>
      <c r="E196" s="49">
        <v>9</v>
      </c>
      <c r="F196" s="20">
        <v>1</v>
      </c>
      <c r="G196" s="20">
        <v>8</v>
      </c>
      <c r="H196" s="20" t="str">
        <f t="shared" si="41"/>
        <v>Item_Name_10820009</v>
      </c>
      <c r="I196" s="20" t="s">
        <v>903</v>
      </c>
      <c r="J196" s="20">
        <v>0</v>
      </c>
      <c r="K196" s="20">
        <v>2</v>
      </c>
      <c r="L196" s="20">
        <v>0</v>
      </c>
      <c r="M196" s="20">
        <v>0</v>
      </c>
      <c r="N196" s="20">
        <v>15</v>
      </c>
      <c r="O196" s="20">
        <v>100</v>
      </c>
      <c r="P196" s="20">
        <v>1</v>
      </c>
      <c r="Q196" s="20" t="s">
        <v>255</v>
      </c>
      <c r="R196" s="20" t="s">
        <v>171</v>
      </c>
      <c r="S196" s="20" t="s">
        <v>328</v>
      </c>
      <c r="T196" s="20" t="s">
        <v>429</v>
      </c>
      <c r="U196" s="20">
        <v>0</v>
      </c>
      <c r="V196" s="20">
        <v>0</v>
      </c>
      <c r="W196" s="20">
        <v>23</v>
      </c>
      <c r="X196" s="20">
        <v>12</v>
      </c>
      <c r="Y196" s="20">
        <v>1006</v>
      </c>
      <c r="Z196" s="20">
        <v>0</v>
      </c>
      <c r="AA196" s="20">
        <v>0</v>
      </c>
      <c r="AB196" s="20">
        <v>0</v>
      </c>
      <c r="AC196" s="20">
        <v>0</v>
      </c>
      <c r="AD196" s="20">
        <v>0</v>
      </c>
      <c r="AE196" s="39">
        <v>0</v>
      </c>
      <c r="AF196" s="31">
        <v>0</v>
      </c>
      <c r="AG196" s="20">
        <v>0</v>
      </c>
      <c r="AH196" s="20">
        <v>0</v>
      </c>
      <c r="AI196" s="20">
        <v>0</v>
      </c>
      <c r="AJ196" s="20">
        <v>0</v>
      </c>
      <c r="AK196" s="20">
        <v>0</v>
      </c>
      <c r="AL196" s="20">
        <v>0</v>
      </c>
      <c r="AM196" s="20">
        <v>0</v>
      </c>
      <c r="AN196" s="20">
        <v>0</v>
      </c>
      <c r="AO196" s="20">
        <v>0</v>
      </c>
      <c r="AP196" s="20">
        <v>0</v>
      </c>
      <c r="AQ196" s="20">
        <v>0</v>
      </c>
      <c r="AR196" s="20">
        <v>0</v>
      </c>
      <c r="AS196" s="20">
        <v>0</v>
      </c>
      <c r="AT196" s="20">
        <v>0</v>
      </c>
      <c r="AU196" s="20">
        <v>0</v>
      </c>
      <c r="AV196" s="20">
        <v>0</v>
      </c>
      <c r="AW196" s="20">
        <v>0</v>
      </c>
      <c r="AX196" s="20">
        <v>0</v>
      </c>
      <c r="AY196" s="20">
        <v>0</v>
      </c>
      <c r="AZ196" s="20">
        <v>0</v>
      </c>
      <c r="BA196" s="20">
        <v>0</v>
      </c>
      <c r="BB196" s="20">
        <v>0</v>
      </c>
      <c r="BC196" s="20">
        <v>0</v>
      </c>
      <c r="BD196" s="20">
        <v>0</v>
      </c>
      <c r="BE196" s="20">
        <v>0</v>
      </c>
      <c r="BF196" s="20">
        <v>0</v>
      </c>
      <c r="BG196" s="20">
        <v>0</v>
      </c>
      <c r="BH196" s="20">
        <v>0</v>
      </c>
      <c r="BI196" s="20">
        <v>0</v>
      </c>
      <c r="BJ196" s="20">
        <v>0</v>
      </c>
      <c r="BK196" s="20">
        <v>0</v>
      </c>
      <c r="BL196" s="20">
        <v>0</v>
      </c>
      <c r="BM196" s="20">
        <v>0</v>
      </c>
      <c r="BN196" s="20">
        <v>0</v>
      </c>
      <c r="BO196" s="20">
        <v>0</v>
      </c>
      <c r="BP196" s="20">
        <v>0</v>
      </c>
      <c r="BQ196" s="20">
        <v>0</v>
      </c>
      <c r="BR196" s="20">
        <v>0</v>
      </c>
      <c r="BS196" s="20">
        <v>0</v>
      </c>
      <c r="BT196" s="20">
        <v>0</v>
      </c>
      <c r="BU196" s="20">
        <v>0</v>
      </c>
      <c r="BV196" s="20">
        <v>0</v>
      </c>
      <c r="BW196" s="20">
        <v>0</v>
      </c>
      <c r="BX196" s="20">
        <v>0</v>
      </c>
      <c r="BY196" s="20">
        <v>0</v>
      </c>
      <c r="BZ196" s="20">
        <v>0</v>
      </c>
      <c r="CA196" s="20">
        <v>0</v>
      </c>
    </row>
    <row r="197" spans="1:79" x14ac:dyDescent="0.3">
      <c r="A197" s="19"/>
      <c r="B197" s="20" t="str">
        <f t="shared" si="38"/>
        <v>10730001</v>
      </c>
      <c r="C197" s="55">
        <f t="shared" ref="C197:C214" si="74">IF(J197&gt;0,MID(J197,5, 1), 0)</f>
        <v>0</v>
      </c>
      <c r="D197" s="55">
        <f t="shared" ref="D197:D214" si="75">IF(G197&lt;100, G197, G197-100)</f>
        <v>7</v>
      </c>
      <c r="E197" s="49">
        <v>1</v>
      </c>
      <c r="F197" s="20">
        <v>1</v>
      </c>
      <c r="G197" s="20">
        <v>7</v>
      </c>
      <c r="H197" s="20" t="str">
        <f t="shared" si="41"/>
        <v>Item_Name_10730001</v>
      </c>
      <c r="I197" s="20" t="s">
        <v>904</v>
      </c>
      <c r="J197" s="20">
        <v>0</v>
      </c>
      <c r="K197" s="20">
        <v>3</v>
      </c>
      <c r="L197" s="20">
        <v>0</v>
      </c>
      <c r="M197" s="20">
        <v>0</v>
      </c>
      <c r="N197" s="20">
        <v>15</v>
      </c>
      <c r="O197" s="20">
        <v>100</v>
      </c>
      <c r="P197" s="20">
        <v>1</v>
      </c>
      <c r="Q197" s="20" t="s">
        <v>238</v>
      </c>
      <c r="R197" s="20" t="s">
        <v>171</v>
      </c>
      <c r="S197" s="20" t="s">
        <v>327</v>
      </c>
      <c r="T197" s="20" t="s">
        <v>429</v>
      </c>
      <c r="U197" s="20">
        <v>0</v>
      </c>
      <c r="V197" s="20">
        <v>0</v>
      </c>
      <c r="W197" s="20">
        <v>23</v>
      </c>
      <c r="X197" s="20">
        <v>31</v>
      </c>
      <c r="Y197" s="20">
        <v>1001</v>
      </c>
      <c r="Z197" s="20">
        <v>0</v>
      </c>
      <c r="AA197" s="20">
        <v>0</v>
      </c>
      <c r="AB197" s="20">
        <v>0</v>
      </c>
      <c r="AC197" s="20">
        <v>0</v>
      </c>
      <c r="AD197" s="20">
        <v>0</v>
      </c>
      <c r="AE197" s="39">
        <v>0</v>
      </c>
      <c r="AF197" s="31">
        <v>0</v>
      </c>
      <c r="AG197" s="20">
        <v>0</v>
      </c>
      <c r="AH197" s="20">
        <v>0</v>
      </c>
      <c r="AI197" s="20">
        <v>0</v>
      </c>
      <c r="AJ197" s="20">
        <v>0</v>
      </c>
      <c r="AK197" s="20">
        <v>0</v>
      </c>
      <c r="AL197" s="20">
        <v>0</v>
      </c>
      <c r="AM197" s="20">
        <v>0</v>
      </c>
      <c r="AN197" s="20">
        <v>0</v>
      </c>
      <c r="AO197" s="20">
        <v>0</v>
      </c>
      <c r="AP197" s="20">
        <v>0</v>
      </c>
      <c r="AQ197" s="20">
        <v>0</v>
      </c>
      <c r="AR197" s="20">
        <v>0</v>
      </c>
      <c r="AS197" s="20">
        <v>0</v>
      </c>
      <c r="AT197" s="20">
        <v>0</v>
      </c>
      <c r="AU197" s="20">
        <v>0</v>
      </c>
      <c r="AV197" s="20">
        <v>0</v>
      </c>
      <c r="AW197" s="20">
        <v>0</v>
      </c>
      <c r="AX197" s="20">
        <v>0</v>
      </c>
      <c r="AY197" s="20">
        <v>0</v>
      </c>
      <c r="AZ197" s="20">
        <v>0</v>
      </c>
      <c r="BA197" s="20">
        <v>0</v>
      </c>
      <c r="BB197" s="20">
        <v>0</v>
      </c>
      <c r="BC197" s="20">
        <v>0</v>
      </c>
      <c r="BD197" s="20">
        <v>0</v>
      </c>
      <c r="BE197" s="20">
        <v>0</v>
      </c>
      <c r="BF197" s="20">
        <v>0</v>
      </c>
      <c r="BG197" s="20">
        <v>0</v>
      </c>
      <c r="BH197" s="20">
        <v>0</v>
      </c>
      <c r="BI197" s="20">
        <v>0</v>
      </c>
      <c r="BJ197" s="20">
        <v>0</v>
      </c>
      <c r="BK197" s="20">
        <v>0</v>
      </c>
      <c r="BL197" s="20">
        <v>0</v>
      </c>
      <c r="BM197" s="20">
        <v>0</v>
      </c>
      <c r="BN197" s="20">
        <v>0</v>
      </c>
      <c r="BO197" s="20">
        <v>0</v>
      </c>
      <c r="BP197" s="20">
        <v>0</v>
      </c>
      <c r="BQ197" s="20">
        <v>0</v>
      </c>
      <c r="BR197" s="20">
        <v>0</v>
      </c>
      <c r="BS197" s="20">
        <v>0</v>
      </c>
      <c r="BT197" s="20">
        <v>0</v>
      </c>
      <c r="BU197" s="20">
        <v>0</v>
      </c>
      <c r="BV197" s="20">
        <v>0</v>
      </c>
      <c r="BW197" s="20">
        <v>0</v>
      </c>
      <c r="BX197" s="20">
        <v>0</v>
      </c>
      <c r="BY197" s="20">
        <v>0</v>
      </c>
      <c r="BZ197" s="20">
        <v>0</v>
      </c>
      <c r="CA197" s="20">
        <v>0</v>
      </c>
    </row>
    <row r="198" spans="1:79" x14ac:dyDescent="0.3">
      <c r="A198" s="19"/>
      <c r="B198" s="20" t="str">
        <f t="shared" si="38"/>
        <v>10730002</v>
      </c>
      <c r="C198" s="55">
        <f t="shared" si="74"/>
        <v>0</v>
      </c>
      <c r="D198" s="55">
        <f t="shared" si="75"/>
        <v>7</v>
      </c>
      <c r="E198" s="49">
        <v>2</v>
      </c>
      <c r="F198" s="20">
        <v>1</v>
      </c>
      <c r="G198" s="20">
        <v>7</v>
      </c>
      <c r="H198" s="20" t="str">
        <f t="shared" si="41"/>
        <v>Item_Name_10730002</v>
      </c>
      <c r="I198" s="20" t="s">
        <v>905</v>
      </c>
      <c r="J198" s="20">
        <v>0</v>
      </c>
      <c r="K198" s="20">
        <v>3</v>
      </c>
      <c r="L198" s="20">
        <v>0</v>
      </c>
      <c r="M198" s="20">
        <v>0</v>
      </c>
      <c r="N198" s="20">
        <v>15</v>
      </c>
      <c r="O198" s="20">
        <v>100</v>
      </c>
      <c r="P198" s="20">
        <v>1</v>
      </c>
      <c r="Q198" s="20" t="s">
        <v>239</v>
      </c>
      <c r="R198" s="20" t="s">
        <v>171</v>
      </c>
      <c r="S198" s="20" t="s">
        <v>327</v>
      </c>
      <c r="T198" s="20" t="s">
        <v>429</v>
      </c>
      <c r="U198" s="20">
        <v>0</v>
      </c>
      <c r="V198" s="20">
        <v>0</v>
      </c>
      <c r="W198" s="20">
        <v>23</v>
      </c>
      <c r="X198" s="20">
        <v>31</v>
      </c>
      <c r="Y198" s="20">
        <v>1003</v>
      </c>
      <c r="Z198" s="20">
        <v>0</v>
      </c>
      <c r="AA198" s="20">
        <v>0</v>
      </c>
      <c r="AB198" s="20">
        <v>0</v>
      </c>
      <c r="AC198" s="20">
        <v>0</v>
      </c>
      <c r="AD198" s="20">
        <v>0</v>
      </c>
      <c r="AE198" s="39">
        <v>0</v>
      </c>
      <c r="AF198" s="31">
        <v>0</v>
      </c>
      <c r="AG198" s="20">
        <v>0</v>
      </c>
      <c r="AH198" s="20">
        <v>0</v>
      </c>
      <c r="AI198" s="20">
        <v>0</v>
      </c>
      <c r="AJ198" s="20">
        <v>0</v>
      </c>
      <c r="AK198" s="20">
        <v>0</v>
      </c>
      <c r="AL198" s="20">
        <v>0</v>
      </c>
      <c r="AM198" s="20">
        <v>0</v>
      </c>
      <c r="AN198" s="20">
        <v>0</v>
      </c>
      <c r="AO198" s="20">
        <v>0</v>
      </c>
      <c r="AP198" s="20">
        <v>0</v>
      </c>
      <c r="AQ198" s="20">
        <v>0</v>
      </c>
      <c r="AR198" s="20">
        <v>0</v>
      </c>
      <c r="AS198" s="20">
        <v>0</v>
      </c>
      <c r="AT198" s="20">
        <v>0</v>
      </c>
      <c r="AU198" s="20">
        <v>0</v>
      </c>
      <c r="AV198" s="20">
        <v>0</v>
      </c>
      <c r="AW198" s="20">
        <v>0</v>
      </c>
      <c r="AX198" s="20">
        <v>0</v>
      </c>
      <c r="AY198" s="20">
        <v>0</v>
      </c>
      <c r="AZ198" s="20">
        <v>0</v>
      </c>
      <c r="BA198" s="20">
        <v>0</v>
      </c>
      <c r="BB198" s="20">
        <v>0</v>
      </c>
      <c r="BC198" s="20">
        <v>0</v>
      </c>
      <c r="BD198" s="20">
        <v>0</v>
      </c>
      <c r="BE198" s="20">
        <v>0</v>
      </c>
      <c r="BF198" s="20">
        <v>0</v>
      </c>
      <c r="BG198" s="20">
        <v>0</v>
      </c>
      <c r="BH198" s="20">
        <v>0</v>
      </c>
      <c r="BI198" s="20">
        <v>0</v>
      </c>
      <c r="BJ198" s="20">
        <v>0</v>
      </c>
      <c r="BK198" s="20">
        <v>0</v>
      </c>
      <c r="BL198" s="20">
        <v>0</v>
      </c>
      <c r="BM198" s="20">
        <v>0</v>
      </c>
      <c r="BN198" s="20">
        <v>0</v>
      </c>
      <c r="BO198" s="20">
        <v>0</v>
      </c>
      <c r="BP198" s="20">
        <v>0</v>
      </c>
      <c r="BQ198" s="20">
        <v>0</v>
      </c>
      <c r="BR198" s="20">
        <v>0</v>
      </c>
      <c r="BS198" s="20">
        <v>0</v>
      </c>
      <c r="BT198" s="20">
        <v>0</v>
      </c>
      <c r="BU198" s="20">
        <v>0</v>
      </c>
      <c r="BV198" s="20">
        <v>0</v>
      </c>
      <c r="BW198" s="20">
        <v>0</v>
      </c>
      <c r="BX198" s="20">
        <v>0</v>
      </c>
      <c r="BY198" s="20">
        <v>0</v>
      </c>
      <c r="BZ198" s="20">
        <v>0</v>
      </c>
      <c r="CA198" s="20">
        <v>0</v>
      </c>
    </row>
    <row r="199" spans="1:79" x14ac:dyDescent="0.3">
      <c r="A199" s="19"/>
      <c r="B199" s="20" t="str">
        <f t="shared" si="38"/>
        <v>10730003</v>
      </c>
      <c r="C199" s="55">
        <f t="shared" si="74"/>
        <v>0</v>
      </c>
      <c r="D199" s="55">
        <f t="shared" si="75"/>
        <v>7</v>
      </c>
      <c r="E199" s="49">
        <v>3</v>
      </c>
      <c r="F199" s="20">
        <v>1</v>
      </c>
      <c r="G199" s="20">
        <v>7</v>
      </c>
      <c r="H199" s="20" t="str">
        <f t="shared" si="41"/>
        <v>Item_Name_10730003</v>
      </c>
      <c r="I199" s="20" t="s">
        <v>906</v>
      </c>
      <c r="J199" s="20">
        <v>0</v>
      </c>
      <c r="K199" s="20">
        <v>3</v>
      </c>
      <c r="L199" s="20">
        <v>0</v>
      </c>
      <c r="M199" s="20">
        <v>0</v>
      </c>
      <c r="N199" s="20">
        <v>15</v>
      </c>
      <c r="O199" s="20">
        <v>100</v>
      </c>
      <c r="P199" s="20">
        <v>1</v>
      </c>
      <c r="Q199" s="20" t="s">
        <v>240</v>
      </c>
      <c r="R199" s="20" t="s">
        <v>171</v>
      </c>
      <c r="S199" s="20" t="s">
        <v>327</v>
      </c>
      <c r="T199" s="20" t="s">
        <v>429</v>
      </c>
      <c r="U199" s="20">
        <v>0</v>
      </c>
      <c r="V199" s="20">
        <v>0</v>
      </c>
      <c r="W199" s="20">
        <v>23</v>
      </c>
      <c r="X199" s="20">
        <v>31</v>
      </c>
      <c r="Y199" s="20">
        <v>1002</v>
      </c>
      <c r="Z199" s="20">
        <v>0</v>
      </c>
      <c r="AA199" s="20">
        <v>0</v>
      </c>
      <c r="AB199" s="20">
        <v>0</v>
      </c>
      <c r="AC199" s="20">
        <v>0</v>
      </c>
      <c r="AD199" s="20">
        <v>0</v>
      </c>
      <c r="AE199" s="39">
        <v>0</v>
      </c>
      <c r="AF199" s="31">
        <v>0</v>
      </c>
      <c r="AG199" s="20">
        <v>0</v>
      </c>
      <c r="AH199" s="20">
        <v>0</v>
      </c>
      <c r="AI199" s="20">
        <v>0</v>
      </c>
      <c r="AJ199" s="20">
        <v>0</v>
      </c>
      <c r="AK199" s="20">
        <v>0</v>
      </c>
      <c r="AL199" s="20">
        <v>0</v>
      </c>
      <c r="AM199" s="20">
        <v>0</v>
      </c>
      <c r="AN199" s="20">
        <v>0</v>
      </c>
      <c r="AO199" s="20">
        <v>0</v>
      </c>
      <c r="AP199" s="20">
        <v>0</v>
      </c>
      <c r="AQ199" s="20">
        <v>0</v>
      </c>
      <c r="AR199" s="20">
        <v>0</v>
      </c>
      <c r="AS199" s="20">
        <v>0</v>
      </c>
      <c r="AT199" s="20">
        <v>0</v>
      </c>
      <c r="AU199" s="20">
        <v>0</v>
      </c>
      <c r="AV199" s="20">
        <v>0</v>
      </c>
      <c r="AW199" s="20">
        <v>0</v>
      </c>
      <c r="AX199" s="20">
        <v>0</v>
      </c>
      <c r="AY199" s="20">
        <v>0</v>
      </c>
      <c r="AZ199" s="20">
        <v>0</v>
      </c>
      <c r="BA199" s="20">
        <v>0</v>
      </c>
      <c r="BB199" s="20">
        <v>0</v>
      </c>
      <c r="BC199" s="20">
        <v>0</v>
      </c>
      <c r="BD199" s="20">
        <v>0</v>
      </c>
      <c r="BE199" s="20">
        <v>0</v>
      </c>
      <c r="BF199" s="20">
        <v>0</v>
      </c>
      <c r="BG199" s="20">
        <v>0</v>
      </c>
      <c r="BH199" s="20">
        <v>0</v>
      </c>
      <c r="BI199" s="20">
        <v>0</v>
      </c>
      <c r="BJ199" s="20">
        <v>0</v>
      </c>
      <c r="BK199" s="20">
        <v>0</v>
      </c>
      <c r="BL199" s="20">
        <v>0</v>
      </c>
      <c r="BM199" s="20">
        <v>0</v>
      </c>
      <c r="BN199" s="20">
        <v>0</v>
      </c>
      <c r="BO199" s="20">
        <v>0</v>
      </c>
      <c r="BP199" s="20">
        <v>0</v>
      </c>
      <c r="BQ199" s="20">
        <v>0</v>
      </c>
      <c r="BR199" s="20">
        <v>0</v>
      </c>
      <c r="BS199" s="20">
        <v>0</v>
      </c>
      <c r="BT199" s="20">
        <v>0</v>
      </c>
      <c r="BU199" s="20">
        <v>0</v>
      </c>
      <c r="BV199" s="20">
        <v>0</v>
      </c>
      <c r="BW199" s="20">
        <v>0</v>
      </c>
      <c r="BX199" s="20">
        <v>0</v>
      </c>
      <c r="BY199" s="20">
        <v>0</v>
      </c>
      <c r="BZ199" s="20">
        <v>0</v>
      </c>
      <c r="CA199" s="20">
        <v>0</v>
      </c>
    </row>
    <row r="200" spans="1:79" x14ac:dyDescent="0.3">
      <c r="A200" s="19"/>
      <c r="B200" s="20" t="str">
        <f t="shared" si="38"/>
        <v>10730004</v>
      </c>
      <c r="C200" s="55">
        <f t="shared" si="74"/>
        <v>0</v>
      </c>
      <c r="D200" s="55">
        <f t="shared" si="75"/>
        <v>7</v>
      </c>
      <c r="E200" s="49">
        <v>4</v>
      </c>
      <c r="F200" s="20">
        <v>1</v>
      </c>
      <c r="G200" s="20">
        <v>7</v>
      </c>
      <c r="H200" s="20" t="str">
        <f t="shared" si="41"/>
        <v>Item_Name_10730004</v>
      </c>
      <c r="I200" s="20" t="s">
        <v>907</v>
      </c>
      <c r="J200" s="20">
        <v>0</v>
      </c>
      <c r="K200" s="20">
        <v>3</v>
      </c>
      <c r="L200" s="20">
        <v>0</v>
      </c>
      <c r="M200" s="20">
        <v>0</v>
      </c>
      <c r="N200" s="20">
        <v>15</v>
      </c>
      <c r="O200" s="20">
        <v>100</v>
      </c>
      <c r="P200" s="20">
        <v>1</v>
      </c>
      <c r="Q200" s="20" t="s">
        <v>241</v>
      </c>
      <c r="R200" s="20" t="s">
        <v>171</v>
      </c>
      <c r="S200" s="20" t="s">
        <v>327</v>
      </c>
      <c r="T200" s="20" t="s">
        <v>429</v>
      </c>
      <c r="U200" s="20">
        <v>0</v>
      </c>
      <c r="V200" s="20">
        <v>0</v>
      </c>
      <c r="W200" s="20">
        <v>23</v>
      </c>
      <c r="X200" s="20">
        <v>31</v>
      </c>
      <c r="Y200" s="20">
        <v>1004</v>
      </c>
      <c r="Z200" s="20">
        <v>0</v>
      </c>
      <c r="AA200" s="20">
        <v>0</v>
      </c>
      <c r="AB200" s="20">
        <v>0</v>
      </c>
      <c r="AC200" s="20">
        <v>0</v>
      </c>
      <c r="AD200" s="20">
        <v>0</v>
      </c>
      <c r="AE200" s="39">
        <v>0</v>
      </c>
      <c r="AF200" s="31">
        <v>0</v>
      </c>
      <c r="AG200" s="20">
        <v>0</v>
      </c>
      <c r="AH200" s="20">
        <v>0</v>
      </c>
      <c r="AI200" s="20">
        <v>0</v>
      </c>
      <c r="AJ200" s="20">
        <v>0</v>
      </c>
      <c r="AK200" s="20">
        <v>0</v>
      </c>
      <c r="AL200" s="20">
        <v>0</v>
      </c>
      <c r="AM200" s="20">
        <v>0</v>
      </c>
      <c r="AN200" s="20">
        <v>0</v>
      </c>
      <c r="AO200" s="20">
        <v>0</v>
      </c>
      <c r="AP200" s="20">
        <v>0</v>
      </c>
      <c r="AQ200" s="20">
        <v>0</v>
      </c>
      <c r="AR200" s="20">
        <v>0</v>
      </c>
      <c r="AS200" s="20">
        <v>0</v>
      </c>
      <c r="AT200" s="20">
        <v>0</v>
      </c>
      <c r="AU200" s="20">
        <v>0</v>
      </c>
      <c r="AV200" s="20">
        <v>0</v>
      </c>
      <c r="AW200" s="20">
        <v>0</v>
      </c>
      <c r="AX200" s="20">
        <v>0</v>
      </c>
      <c r="AY200" s="20">
        <v>0</v>
      </c>
      <c r="AZ200" s="20">
        <v>0</v>
      </c>
      <c r="BA200" s="20">
        <v>0</v>
      </c>
      <c r="BB200" s="20">
        <v>0</v>
      </c>
      <c r="BC200" s="20">
        <v>0</v>
      </c>
      <c r="BD200" s="20">
        <v>0</v>
      </c>
      <c r="BE200" s="20">
        <v>0</v>
      </c>
      <c r="BF200" s="20">
        <v>0</v>
      </c>
      <c r="BG200" s="20">
        <v>0</v>
      </c>
      <c r="BH200" s="20">
        <v>0</v>
      </c>
      <c r="BI200" s="20">
        <v>0</v>
      </c>
      <c r="BJ200" s="20">
        <v>0</v>
      </c>
      <c r="BK200" s="20">
        <v>0</v>
      </c>
      <c r="BL200" s="20">
        <v>0</v>
      </c>
      <c r="BM200" s="20">
        <v>0</v>
      </c>
      <c r="BN200" s="20">
        <v>0</v>
      </c>
      <c r="BO200" s="20">
        <v>0</v>
      </c>
      <c r="BP200" s="20">
        <v>0</v>
      </c>
      <c r="BQ200" s="20">
        <v>0</v>
      </c>
      <c r="BR200" s="20">
        <v>0</v>
      </c>
      <c r="BS200" s="20">
        <v>0</v>
      </c>
      <c r="BT200" s="20">
        <v>0</v>
      </c>
      <c r="BU200" s="20">
        <v>0</v>
      </c>
      <c r="BV200" s="20">
        <v>0</v>
      </c>
      <c r="BW200" s="20">
        <v>0</v>
      </c>
      <c r="BX200" s="20">
        <v>0</v>
      </c>
      <c r="BY200" s="20">
        <v>0</v>
      </c>
      <c r="BZ200" s="20">
        <v>0</v>
      </c>
      <c r="CA200" s="20">
        <v>0</v>
      </c>
    </row>
    <row r="201" spans="1:79" x14ac:dyDescent="0.3">
      <c r="A201" s="19"/>
      <c r="B201" s="20" t="str">
        <f t="shared" si="38"/>
        <v>10730005</v>
      </c>
      <c r="C201" s="55">
        <f t="shared" si="74"/>
        <v>0</v>
      </c>
      <c r="D201" s="55">
        <f t="shared" si="75"/>
        <v>7</v>
      </c>
      <c r="E201" s="49">
        <v>5</v>
      </c>
      <c r="F201" s="20">
        <v>1</v>
      </c>
      <c r="G201" s="20">
        <v>7</v>
      </c>
      <c r="H201" s="20" t="str">
        <f t="shared" si="41"/>
        <v>Item_Name_10730005</v>
      </c>
      <c r="I201" s="20" t="s">
        <v>908</v>
      </c>
      <c r="J201" s="20">
        <v>0</v>
      </c>
      <c r="K201" s="20">
        <v>3</v>
      </c>
      <c r="L201" s="20">
        <v>0</v>
      </c>
      <c r="M201" s="20">
        <v>0</v>
      </c>
      <c r="N201" s="20">
        <v>15</v>
      </c>
      <c r="O201" s="20">
        <v>100</v>
      </c>
      <c r="P201" s="20">
        <v>1</v>
      </c>
      <c r="Q201" s="20" t="s">
        <v>242</v>
      </c>
      <c r="R201" s="20" t="s">
        <v>171</v>
      </c>
      <c r="S201" s="20" t="s">
        <v>327</v>
      </c>
      <c r="T201" s="20" t="s">
        <v>429</v>
      </c>
      <c r="U201" s="20">
        <v>0</v>
      </c>
      <c r="V201" s="20">
        <v>0</v>
      </c>
      <c r="W201" s="20">
        <v>23</v>
      </c>
      <c r="X201" s="20">
        <v>31</v>
      </c>
      <c r="Y201" s="20">
        <v>1004</v>
      </c>
      <c r="Z201" s="20">
        <v>0</v>
      </c>
      <c r="AA201" s="20">
        <v>0</v>
      </c>
      <c r="AB201" s="20">
        <v>0</v>
      </c>
      <c r="AC201" s="20">
        <v>0</v>
      </c>
      <c r="AD201" s="20">
        <v>0</v>
      </c>
      <c r="AE201" s="39">
        <v>0</v>
      </c>
      <c r="AF201" s="31">
        <v>0</v>
      </c>
      <c r="AG201" s="20">
        <v>0</v>
      </c>
      <c r="AH201" s="20">
        <v>0</v>
      </c>
      <c r="AI201" s="20">
        <v>0</v>
      </c>
      <c r="AJ201" s="20">
        <v>0</v>
      </c>
      <c r="AK201" s="20">
        <v>0</v>
      </c>
      <c r="AL201" s="20">
        <v>0</v>
      </c>
      <c r="AM201" s="20">
        <v>0</v>
      </c>
      <c r="AN201" s="20">
        <v>0</v>
      </c>
      <c r="AO201" s="20">
        <v>0</v>
      </c>
      <c r="AP201" s="20">
        <v>0</v>
      </c>
      <c r="AQ201" s="20">
        <v>0</v>
      </c>
      <c r="AR201" s="20">
        <v>0</v>
      </c>
      <c r="AS201" s="20">
        <v>0</v>
      </c>
      <c r="AT201" s="20">
        <v>0</v>
      </c>
      <c r="AU201" s="20">
        <v>0</v>
      </c>
      <c r="AV201" s="20">
        <v>0</v>
      </c>
      <c r="AW201" s="20">
        <v>0</v>
      </c>
      <c r="AX201" s="20">
        <v>0</v>
      </c>
      <c r="AY201" s="20">
        <v>0</v>
      </c>
      <c r="AZ201" s="20">
        <v>0</v>
      </c>
      <c r="BA201" s="20">
        <v>0</v>
      </c>
      <c r="BB201" s="20">
        <v>0</v>
      </c>
      <c r="BC201" s="20">
        <v>0</v>
      </c>
      <c r="BD201" s="20">
        <v>0</v>
      </c>
      <c r="BE201" s="20">
        <v>0</v>
      </c>
      <c r="BF201" s="20">
        <v>0</v>
      </c>
      <c r="BG201" s="20">
        <v>0</v>
      </c>
      <c r="BH201" s="20">
        <v>0</v>
      </c>
      <c r="BI201" s="20">
        <v>0</v>
      </c>
      <c r="BJ201" s="20">
        <v>0</v>
      </c>
      <c r="BK201" s="20">
        <v>0</v>
      </c>
      <c r="BL201" s="20">
        <v>0</v>
      </c>
      <c r="BM201" s="20">
        <v>0</v>
      </c>
      <c r="BN201" s="20">
        <v>0</v>
      </c>
      <c r="BO201" s="20">
        <v>0</v>
      </c>
      <c r="BP201" s="20">
        <v>0</v>
      </c>
      <c r="BQ201" s="20">
        <v>0</v>
      </c>
      <c r="BR201" s="20">
        <v>0</v>
      </c>
      <c r="BS201" s="20">
        <v>0</v>
      </c>
      <c r="BT201" s="20">
        <v>0</v>
      </c>
      <c r="BU201" s="20">
        <v>0</v>
      </c>
      <c r="BV201" s="20">
        <v>0</v>
      </c>
      <c r="BW201" s="20">
        <v>0</v>
      </c>
      <c r="BX201" s="20">
        <v>0</v>
      </c>
      <c r="BY201" s="20">
        <v>0</v>
      </c>
      <c r="BZ201" s="20">
        <v>0</v>
      </c>
      <c r="CA201" s="20">
        <v>0</v>
      </c>
    </row>
    <row r="202" spans="1:79" x14ac:dyDescent="0.3">
      <c r="A202" s="19"/>
      <c r="B202" s="20" t="str">
        <f t="shared" si="38"/>
        <v>10730006</v>
      </c>
      <c r="C202" s="55">
        <f t="shared" si="74"/>
        <v>0</v>
      </c>
      <c r="D202" s="55">
        <f t="shared" si="75"/>
        <v>7</v>
      </c>
      <c r="E202" s="49">
        <v>6</v>
      </c>
      <c r="F202" s="20">
        <v>1</v>
      </c>
      <c r="G202" s="20">
        <v>7</v>
      </c>
      <c r="H202" s="20" t="str">
        <f t="shared" si="41"/>
        <v>Item_Name_10730006</v>
      </c>
      <c r="I202" s="20" t="s">
        <v>909</v>
      </c>
      <c r="J202" s="20">
        <v>0</v>
      </c>
      <c r="K202" s="20">
        <v>3</v>
      </c>
      <c r="L202" s="20">
        <v>0</v>
      </c>
      <c r="M202" s="20">
        <v>0</v>
      </c>
      <c r="N202" s="20">
        <v>15</v>
      </c>
      <c r="O202" s="20">
        <v>100</v>
      </c>
      <c r="P202" s="20">
        <v>1</v>
      </c>
      <c r="Q202" s="20" t="s">
        <v>243</v>
      </c>
      <c r="R202" s="20" t="s">
        <v>171</v>
      </c>
      <c r="S202" s="20" t="s">
        <v>327</v>
      </c>
      <c r="T202" s="20" t="s">
        <v>429</v>
      </c>
      <c r="U202" s="20">
        <v>0</v>
      </c>
      <c r="V202" s="20">
        <v>0</v>
      </c>
      <c r="W202" s="20">
        <v>23</v>
      </c>
      <c r="X202" s="20">
        <v>31</v>
      </c>
      <c r="Y202" s="20">
        <v>1004</v>
      </c>
      <c r="Z202" s="20">
        <v>0</v>
      </c>
      <c r="AA202" s="20">
        <v>0</v>
      </c>
      <c r="AB202" s="20">
        <v>0</v>
      </c>
      <c r="AC202" s="20">
        <v>0</v>
      </c>
      <c r="AD202" s="20">
        <v>0</v>
      </c>
      <c r="AE202" s="39">
        <v>0</v>
      </c>
      <c r="AF202" s="31">
        <v>0</v>
      </c>
      <c r="AG202" s="20">
        <v>0</v>
      </c>
      <c r="AH202" s="20">
        <v>0</v>
      </c>
      <c r="AI202" s="20">
        <v>0</v>
      </c>
      <c r="AJ202" s="20">
        <v>0</v>
      </c>
      <c r="AK202" s="20">
        <v>0</v>
      </c>
      <c r="AL202" s="20">
        <v>0</v>
      </c>
      <c r="AM202" s="20">
        <v>0</v>
      </c>
      <c r="AN202" s="20">
        <v>0</v>
      </c>
      <c r="AO202" s="20">
        <v>0</v>
      </c>
      <c r="AP202" s="20">
        <v>0</v>
      </c>
      <c r="AQ202" s="20">
        <v>0</v>
      </c>
      <c r="AR202" s="20">
        <v>0</v>
      </c>
      <c r="AS202" s="20">
        <v>0</v>
      </c>
      <c r="AT202" s="20">
        <v>0</v>
      </c>
      <c r="AU202" s="20">
        <v>0</v>
      </c>
      <c r="AV202" s="20">
        <v>0</v>
      </c>
      <c r="AW202" s="20">
        <v>0</v>
      </c>
      <c r="AX202" s="20">
        <v>0</v>
      </c>
      <c r="AY202" s="20">
        <v>0</v>
      </c>
      <c r="AZ202" s="20">
        <v>0</v>
      </c>
      <c r="BA202" s="20">
        <v>0</v>
      </c>
      <c r="BB202" s="20">
        <v>0</v>
      </c>
      <c r="BC202" s="20">
        <v>0</v>
      </c>
      <c r="BD202" s="20">
        <v>0</v>
      </c>
      <c r="BE202" s="20">
        <v>0</v>
      </c>
      <c r="BF202" s="20">
        <v>0</v>
      </c>
      <c r="BG202" s="20">
        <v>0</v>
      </c>
      <c r="BH202" s="20">
        <v>0</v>
      </c>
      <c r="BI202" s="20">
        <v>0</v>
      </c>
      <c r="BJ202" s="20">
        <v>0</v>
      </c>
      <c r="BK202" s="20">
        <v>0</v>
      </c>
      <c r="BL202" s="20">
        <v>0</v>
      </c>
      <c r="BM202" s="20">
        <v>0</v>
      </c>
      <c r="BN202" s="20">
        <v>0</v>
      </c>
      <c r="BO202" s="20">
        <v>0</v>
      </c>
      <c r="BP202" s="20">
        <v>0</v>
      </c>
      <c r="BQ202" s="20">
        <v>0</v>
      </c>
      <c r="BR202" s="20">
        <v>0</v>
      </c>
      <c r="BS202" s="20">
        <v>0</v>
      </c>
      <c r="BT202" s="20">
        <v>0</v>
      </c>
      <c r="BU202" s="20">
        <v>0</v>
      </c>
      <c r="BV202" s="20">
        <v>0</v>
      </c>
      <c r="BW202" s="20">
        <v>0</v>
      </c>
      <c r="BX202" s="20">
        <v>0</v>
      </c>
      <c r="BY202" s="20">
        <v>0</v>
      </c>
      <c r="BZ202" s="20">
        <v>0</v>
      </c>
      <c r="CA202" s="20">
        <v>0</v>
      </c>
    </row>
    <row r="203" spans="1:79" x14ac:dyDescent="0.3">
      <c r="A203" s="19"/>
      <c r="B203" s="20" t="str">
        <f t="shared" si="38"/>
        <v>10730007</v>
      </c>
      <c r="C203" s="55">
        <f t="shared" si="74"/>
        <v>0</v>
      </c>
      <c r="D203" s="55">
        <f t="shared" si="75"/>
        <v>7</v>
      </c>
      <c r="E203" s="49">
        <v>7</v>
      </c>
      <c r="F203" s="20">
        <v>1</v>
      </c>
      <c r="G203" s="20">
        <v>7</v>
      </c>
      <c r="H203" s="20" t="str">
        <f t="shared" si="41"/>
        <v>Item_Name_10730007</v>
      </c>
      <c r="I203" s="20" t="s">
        <v>910</v>
      </c>
      <c r="J203" s="20">
        <v>0</v>
      </c>
      <c r="K203" s="20">
        <v>3</v>
      </c>
      <c r="L203" s="20">
        <v>0</v>
      </c>
      <c r="M203" s="20">
        <v>0</v>
      </c>
      <c r="N203" s="20">
        <v>15</v>
      </c>
      <c r="O203" s="20">
        <v>100</v>
      </c>
      <c r="P203" s="20">
        <v>1</v>
      </c>
      <c r="Q203" s="20" t="s">
        <v>244</v>
      </c>
      <c r="R203" s="20" t="s">
        <v>171</v>
      </c>
      <c r="S203" s="20" t="s">
        <v>327</v>
      </c>
      <c r="T203" s="20" t="s">
        <v>429</v>
      </c>
      <c r="U203" s="20">
        <v>0</v>
      </c>
      <c r="V203" s="20">
        <v>0</v>
      </c>
      <c r="W203" s="20">
        <v>23</v>
      </c>
      <c r="X203" s="20">
        <v>31</v>
      </c>
      <c r="Y203" s="20">
        <v>1005</v>
      </c>
      <c r="Z203" s="20">
        <v>0</v>
      </c>
      <c r="AA203" s="20">
        <v>0</v>
      </c>
      <c r="AB203" s="20">
        <v>0</v>
      </c>
      <c r="AC203" s="20">
        <v>0</v>
      </c>
      <c r="AD203" s="20">
        <v>0</v>
      </c>
      <c r="AE203" s="39">
        <v>0</v>
      </c>
      <c r="AF203" s="31">
        <v>0</v>
      </c>
      <c r="AG203" s="20">
        <v>0</v>
      </c>
      <c r="AH203" s="20">
        <v>0</v>
      </c>
      <c r="AI203" s="20">
        <v>0</v>
      </c>
      <c r="AJ203" s="20">
        <v>0</v>
      </c>
      <c r="AK203" s="20">
        <v>0</v>
      </c>
      <c r="AL203" s="20">
        <v>0</v>
      </c>
      <c r="AM203" s="20">
        <v>0</v>
      </c>
      <c r="AN203" s="20">
        <v>0</v>
      </c>
      <c r="AO203" s="20">
        <v>0</v>
      </c>
      <c r="AP203" s="20">
        <v>0</v>
      </c>
      <c r="AQ203" s="20">
        <v>0</v>
      </c>
      <c r="AR203" s="20">
        <v>0</v>
      </c>
      <c r="AS203" s="20">
        <v>0</v>
      </c>
      <c r="AT203" s="20">
        <v>0</v>
      </c>
      <c r="AU203" s="20">
        <v>0</v>
      </c>
      <c r="AV203" s="20">
        <v>0</v>
      </c>
      <c r="AW203" s="20">
        <v>0</v>
      </c>
      <c r="AX203" s="20">
        <v>0</v>
      </c>
      <c r="AY203" s="20">
        <v>0</v>
      </c>
      <c r="AZ203" s="20">
        <v>0</v>
      </c>
      <c r="BA203" s="20">
        <v>0</v>
      </c>
      <c r="BB203" s="20">
        <v>0</v>
      </c>
      <c r="BC203" s="20">
        <v>0</v>
      </c>
      <c r="BD203" s="20">
        <v>0</v>
      </c>
      <c r="BE203" s="20">
        <v>0</v>
      </c>
      <c r="BF203" s="20">
        <v>0</v>
      </c>
      <c r="BG203" s="20">
        <v>0</v>
      </c>
      <c r="BH203" s="20">
        <v>0</v>
      </c>
      <c r="BI203" s="20">
        <v>0</v>
      </c>
      <c r="BJ203" s="20">
        <v>0</v>
      </c>
      <c r="BK203" s="20">
        <v>0</v>
      </c>
      <c r="BL203" s="20">
        <v>0</v>
      </c>
      <c r="BM203" s="20">
        <v>0</v>
      </c>
      <c r="BN203" s="20">
        <v>0</v>
      </c>
      <c r="BO203" s="20">
        <v>0</v>
      </c>
      <c r="BP203" s="20">
        <v>0</v>
      </c>
      <c r="BQ203" s="20">
        <v>0</v>
      </c>
      <c r="BR203" s="20">
        <v>0</v>
      </c>
      <c r="BS203" s="20">
        <v>0</v>
      </c>
      <c r="BT203" s="20">
        <v>0</v>
      </c>
      <c r="BU203" s="20">
        <v>0</v>
      </c>
      <c r="BV203" s="20">
        <v>0</v>
      </c>
      <c r="BW203" s="20">
        <v>0</v>
      </c>
      <c r="BX203" s="20">
        <v>0</v>
      </c>
      <c r="BY203" s="20">
        <v>0</v>
      </c>
      <c r="BZ203" s="20">
        <v>0</v>
      </c>
      <c r="CA203" s="20">
        <v>0</v>
      </c>
    </row>
    <row r="204" spans="1:79" x14ac:dyDescent="0.3">
      <c r="A204" s="19"/>
      <c r="B204" s="20" t="str">
        <f t="shared" si="38"/>
        <v>10730008</v>
      </c>
      <c r="C204" s="55">
        <f t="shared" si="74"/>
        <v>0</v>
      </c>
      <c r="D204" s="55">
        <f t="shared" si="75"/>
        <v>7</v>
      </c>
      <c r="E204" s="49">
        <v>8</v>
      </c>
      <c r="F204" s="20">
        <v>1</v>
      </c>
      <c r="G204" s="20">
        <v>7</v>
      </c>
      <c r="H204" s="20" t="str">
        <f t="shared" si="41"/>
        <v>Item_Name_10730008</v>
      </c>
      <c r="I204" s="20" t="s">
        <v>911</v>
      </c>
      <c r="J204" s="20">
        <v>0</v>
      </c>
      <c r="K204" s="20">
        <v>3</v>
      </c>
      <c r="L204" s="20">
        <v>0</v>
      </c>
      <c r="M204" s="20">
        <v>0</v>
      </c>
      <c r="N204" s="20">
        <v>15</v>
      </c>
      <c r="O204" s="20">
        <v>100</v>
      </c>
      <c r="P204" s="20">
        <v>1</v>
      </c>
      <c r="Q204" s="20" t="s">
        <v>245</v>
      </c>
      <c r="R204" s="20" t="s">
        <v>171</v>
      </c>
      <c r="S204" s="20" t="s">
        <v>327</v>
      </c>
      <c r="T204" s="20" t="s">
        <v>429</v>
      </c>
      <c r="U204" s="20">
        <v>0</v>
      </c>
      <c r="V204" s="20">
        <v>0</v>
      </c>
      <c r="W204" s="20">
        <v>23</v>
      </c>
      <c r="X204" s="20">
        <v>31</v>
      </c>
      <c r="Y204" s="20">
        <v>1007</v>
      </c>
      <c r="Z204" s="20">
        <v>0</v>
      </c>
      <c r="AA204" s="20">
        <v>0</v>
      </c>
      <c r="AB204" s="20">
        <v>0</v>
      </c>
      <c r="AC204" s="20">
        <v>0</v>
      </c>
      <c r="AD204" s="20">
        <v>0</v>
      </c>
      <c r="AE204" s="39">
        <v>0</v>
      </c>
      <c r="AF204" s="31">
        <v>0</v>
      </c>
      <c r="AG204" s="20">
        <v>0</v>
      </c>
      <c r="AH204" s="20">
        <v>0</v>
      </c>
      <c r="AI204" s="20">
        <v>0</v>
      </c>
      <c r="AJ204" s="20">
        <v>0</v>
      </c>
      <c r="AK204" s="20">
        <v>0</v>
      </c>
      <c r="AL204" s="20">
        <v>0</v>
      </c>
      <c r="AM204" s="20">
        <v>0</v>
      </c>
      <c r="AN204" s="20">
        <v>0</v>
      </c>
      <c r="AO204" s="20">
        <v>0</v>
      </c>
      <c r="AP204" s="20">
        <v>0</v>
      </c>
      <c r="AQ204" s="20">
        <v>0</v>
      </c>
      <c r="AR204" s="20">
        <v>0</v>
      </c>
      <c r="AS204" s="20">
        <v>0</v>
      </c>
      <c r="AT204" s="20">
        <v>0</v>
      </c>
      <c r="AU204" s="20">
        <v>0</v>
      </c>
      <c r="AV204" s="20">
        <v>0</v>
      </c>
      <c r="AW204" s="20">
        <v>0</v>
      </c>
      <c r="AX204" s="20">
        <v>0</v>
      </c>
      <c r="AY204" s="20">
        <v>0</v>
      </c>
      <c r="AZ204" s="20">
        <v>0</v>
      </c>
      <c r="BA204" s="20">
        <v>0</v>
      </c>
      <c r="BB204" s="20">
        <v>0</v>
      </c>
      <c r="BC204" s="20">
        <v>0</v>
      </c>
      <c r="BD204" s="20">
        <v>0</v>
      </c>
      <c r="BE204" s="20">
        <v>0</v>
      </c>
      <c r="BF204" s="20">
        <v>0</v>
      </c>
      <c r="BG204" s="20">
        <v>0</v>
      </c>
      <c r="BH204" s="20">
        <v>0</v>
      </c>
      <c r="BI204" s="20">
        <v>0</v>
      </c>
      <c r="BJ204" s="20">
        <v>0</v>
      </c>
      <c r="BK204" s="20">
        <v>0</v>
      </c>
      <c r="BL204" s="20">
        <v>0</v>
      </c>
      <c r="BM204" s="20">
        <v>0</v>
      </c>
      <c r="BN204" s="20">
        <v>0</v>
      </c>
      <c r="BO204" s="20">
        <v>0</v>
      </c>
      <c r="BP204" s="20">
        <v>0</v>
      </c>
      <c r="BQ204" s="20">
        <v>0</v>
      </c>
      <c r="BR204" s="20">
        <v>0</v>
      </c>
      <c r="BS204" s="20">
        <v>0</v>
      </c>
      <c r="BT204" s="20">
        <v>0</v>
      </c>
      <c r="BU204" s="20">
        <v>0</v>
      </c>
      <c r="BV204" s="20">
        <v>0</v>
      </c>
      <c r="BW204" s="20">
        <v>0</v>
      </c>
      <c r="BX204" s="20">
        <v>0</v>
      </c>
      <c r="BY204" s="20">
        <v>0</v>
      </c>
      <c r="BZ204" s="20">
        <v>0</v>
      </c>
      <c r="CA204" s="20">
        <v>0</v>
      </c>
    </row>
    <row r="205" spans="1:79" x14ac:dyDescent="0.3">
      <c r="A205" s="19"/>
      <c r="B205" s="20" t="str">
        <f t="shared" si="38"/>
        <v>10730009</v>
      </c>
      <c r="C205" s="55">
        <f t="shared" si="74"/>
        <v>0</v>
      </c>
      <c r="D205" s="55">
        <f t="shared" si="75"/>
        <v>7</v>
      </c>
      <c r="E205" s="49">
        <v>9</v>
      </c>
      <c r="F205" s="20">
        <v>1</v>
      </c>
      <c r="G205" s="20">
        <v>7</v>
      </c>
      <c r="H205" s="20" t="str">
        <f t="shared" si="41"/>
        <v>Item_Name_10730009</v>
      </c>
      <c r="I205" s="20" t="s">
        <v>912</v>
      </c>
      <c r="J205" s="20">
        <v>0</v>
      </c>
      <c r="K205" s="20">
        <v>3</v>
      </c>
      <c r="L205" s="20">
        <v>0</v>
      </c>
      <c r="M205" s="20">
        <v>0</v>
      </c>
      <c r="N205" s="20">
        <v>15</v>
      </c>
      <c r="O205" s="20">
        <v>100</v>
      </c>
      <c r="P205" s="20">
        <v>1</v>
      </c>
      <c r="Q205" s="20" t="s">
        <v>246</v>
      </c>
      <c r="R205" s="20" t="s">
        <v>171</v>
      </c>
      <c r="S205" s="20" t="s">
        <v>327</v>
      </c>
      <c r="T205" s="20" t="s">
        <v>429</v>
      </c>
      <c r="U205" s="20">
        <v>0</v>
      </c>
      <c r="V205" s="20">
        <v>0</v>
      </c>
      <c r="W205" s="20">
        <v>23</v>
      </c>
      <c r="X205" s="20">
        <v>31</v>
      </c>
      <c r="Y205" s="20">
        <v>1006</v>
      </c>
      <c r="Z205" s="20">
        <v>0</v>
      </c>
      <c r="AA205" s="20">
        <v>0</v>
      </c>
      <c r="AB205" s="20">
        <v>0</v>
      </c>
      <c r="AC205" s="20">
        <v>0</v>
      </c>
      <c r="AD205" s="20">
        <v>0</v>
      </c>
      <c r="AE205" s="39">
        <v>0</v>
      </c>
      <c r="AF205" s="31">
        <v>0</v>
      </c>
      <c r="AG205" s="20">
        <v>0</v>
      </c>
      <c r="AH205" s="20">
        <v>0</v>
      </c>
      <c r="AI205" s="20">
        <v>0</v>
      </c>
      <c r="AJ205" s="20">
        <v>0</v>
      </c>
      <c r="AK205" s="20">
        <v>0</v>
      </c>
      <c r="AL205" s="20">
        <v>0</v>
      </c>
      <c r="AM205" s="20">
        <v>0</v>
      </c>
      <c r="AN205" s="20">
        <v>0</v>
      </c>
      <c r="AO205" s="20">
        <v>0</v>
      </c>
      <c r="AP205" s="20">
        <v>0</v>
      </c>
      <c r="AQ205" s="20">
        <v>0</v>
      </c>
      <c r="AR205" s="20">
        <v>0</v>
      </c>
      <c r="AS205" s="20">
        <v>0</v>
      </c>
      <c r="AT205" s="20">
        <v>0</v>
      </c>
      <c r="AU205" s="20">
        <v>0</v>
      </c>
      <c r="AV205" s="20">
        <v>0</v>
      </c>
      <c r="AW205" s="20">
        <v>0</v>
      </c>
      <c r="AX205" s="20">
        <v>0</v>
      </c>
      <c r="AY205" s="20">
        <v>0</v>
      </c>
      <c r="AZ205" s="20">
        <v>0</v>
      </c>
      <c r="BA205" s="20">
        <v>0</v>
      </c>
      <c r="BB205" s="20">
        <v>0</v>
      </c>
      <c r="BC205" s="20">
        <v>0</v>
      </c>
      <c r="BD205" s="20">
        <v>0</v>
      </c>
      <c r="BE205" s="20">
        <v>0</v>
      </c>
      <c r="BF205" s="20">
        <v>0</v>
      </c>
      <c r="BG205" s="20">
        <v>0</v>
      </c>
      <c r="BH205" s="20">
        <v>0</v>
      </c>
      <c r="BI205" s="20">
        <v>0</v>
      </c>
      <c r="BJ205" s="20">
        <v>0</v>
      </c>
      <c r="BK205" s="20">
        <v>0</v>
      </c>
      <c r="BL205" s="20">
        <v>0</v>
      </c>
      <c r="BM205" s="20">
        <v>0</v>
      </c>
      <c r="BN205" s="20">
        <v>0</v>
      </c>
      <c r="BO205" s="20">
        <v>0</v>
      </c>
      <c r="BP205" s="20">
        <v>0</v>
      </c>
      <c r="BQ205" s="20">
        <v>0</v>
      </c>
      <c r="BR205" s="20">
        <v>0</v>
      </c>
      <c r="BS205" s="20">
        <v>0</v>
      </c>
      <c r="BT205" s="20">
        <v>0</v>
      </c>
      <c r="BU205" s="20">
        <v>0</v>
      </c>
      <c r="BV205" s="20">
        <v>0</v>
      </c>
      <c r="BW205" s="20">
        <v>0</v>
      </c>
      <c r="BX205" s="20">
        <v>0</v>
      </c>
      <c r="BY205" s="20">
        <v>0</v>
      </c>
      <c r="BZ205" s="20">
        <v>0</v>
      </c>
      <c r="CA205" s="20">
        <v>0</v>
      </c>
    </row>
    <row r="206" spans="1:79" x14ac:dyDescent="0.3">
      <c r="A206" s="19"/>
      <c r="B206" s="20" t="str">
        <f t="shared" si="38"/>
        <v>10830001</v>
      </c>
      <c r="C206" s="55">
        <f t="shared" si="74"/>
        <v>0</v>
      </c>
      <c r="D206" s="55">
        <f t="shared" si="75"/>
        <v>8</v>
      </c>
      <c r="E206" s="49">
        <v>1</v>
      </c>
      <c r="F206" s="20">
        <v>1</v>
      </c>
      <c r="G206" s="20">
        <v>8</v>
      </c>
      <c r="H206" s="20" t="str">
        <f t="shared" si="41"/>
        <v>Item_Name_10830001</v>
      </c>
      <c r="I206" s="20" t="s">
        <v>913</v>
      </c>
      <c r="J206" s="20">
        <v>0</v>
      </c>
      <c r="K206" s="20">
        <v>3</v>
      </c>
      <c r="L206" s="20">
        <v>0</v>
      </c>
      <c r="M206" s="20">
        <v>0</v>
      </c>
      <c r="N206" s="20">
        <v>15</v>
      </c>
      <c r="O206" s="20">
        <v>100</v>
      </c>
      <c r="P206" s="20">
        <v>1</v>
      </c>
      <c r="Q206" s="20" t="s">
        <v>247</v>
      </c>
      <c r="R206" s="20" t="s">
        <v>171</v>
      </c>
      <c r="S206" s="20" t="s">
        <v>328</v>
      </c>
      <c r="T206" s="20" t="s">
        <v>429</v>
      </c>
      <c r="U206" s="20">
        <v>0</v>
      </c>
      <c r="V206" s="20">
        <v>0</v>
      </c>
      <c r="W206" s="20">
        <v>23</v>
      </c>
      <c r="X206" s="20">
        <v>14</v>
      </c>
      <c r="Y206" s="20">
        <v>1001</v>
      </c>
      <c r="Z206" s="20">
        <v>0</v>
      </c>
      <c r="AA206" s="20">
        <v>0</v>
      </c>
      <c r="AB206" s="20">
        <v>0</v>
      </c>
      <c r="AC206" s="20">
        <v>0</v>
      </c>
      <c r="AD206" s="20">
        <v>0</v>
      </c>
      <c r="AE206" s="39">
        <v>0</v>
      </c>
      <c r="AF206" s="31">
        <v>0</v>
      </c>
      <c r="AG206" s="20">
        <v>0</v>
      </c>
      <c r="AH206" s="20">
        <v>0</v>
      </c>
      <c r="AI206" s="20">
        <v>0</v>
      </c>
      <c r="AJ206" s="20">
        <v>0</v>
      </c>
      <c r="AK206" s="20">
        <v>0</v>
      </c>
      <c r="AL206" s="20">
        <v>0</v>
      </c>
      <c r="AM206" s="20">
        <v>0</v>
      </c>
      <c r="AN206" s="20">
        <v>0</v>
      </c>
      <c r="AO206" s="20">
        <v>0</v>
      </c>
      <c r="AP206" s="20">
        <v>0</v>
      </c>
      <c r="AQ206" s="20">
        <v>0</v>
      </c>
      <c r="AR206" s="20">
        <v>0</v>
      </c>
      <c r="AS206" s="20">
        <v>0</v>
      </c>
      <c r="AT206" s="20">
        <v>0</v>
      </c>
      <c r="AU206" s="20">
        <v>0</v>
      </c>
      <c r="AV206" s="20">
        <v>0</v>
      </c>
      <c r="AW206" s="20">
        <v>0</v>
      </c>
      <c r="AX206" s="20">
        <v>0</v>
      </c>
      <c r="AY206" s="20">
        <v>0</v>
      </c>
      <c r="AZ206" s="20">
        <v>0</v>
      </c>
      <c r="BA206" s="20">
        <v>0</v>
      </c>
      <c r="BB206" s="20">
        <v>0</v>
      </c>
      <c r="BC206" s="20">
        <v>0</v>
      </c>
      <c r="BD206" s="20">
        <v>0</v>
      </c>
      <c r="BE206" s="20">
        <v>0</v>
      </c>
      <c r="BF206" s="20">
        <v>0</v>
      </c>
      <c r="BG206" s="20">
        <v>0</v>
      </c>
      <c r="BH206" s="20">
        <v>0</v>
      </c>
      <c r="BI206" s="20">
        <v>0</v>
      </c>
      <c r="BJ206" s="20">
        <v>0</v>
      </c>
      <c r="BK206" s="20">
        <v>0</v>
      </c>
      <c r="BL206" s="20">
        <v>0</v>
      </c>
      <c r="BM206" s="20">
        <v>0</v>
      </c>
      <c r="BN206" s="20">
        <v>0</v>
      </c>
      <c r="BO206" s="20">
        <v>0</v>
      </c>
      <c r="BP206" s="20">
        <v>0</v>
      </c>
      <c r="BQ206" s="20">
        <v>0</v>
      </c>
      <c r="BR206" s="20">
        <v>0</v>
      </c>
      <c r="BS206" s="20">
        <v>0</v>
      </c>
      <c r="BT206" s="20">
        <v>0</v>
      </c>
      <c r="BU206" s="20">
        <v>0</v>
      </c>
      <c r="BV206" s="20">
        <v>0</v>
      </c>
      <c r="BW206" s="20">
        <v>0</v>
      </c>
      <c r="BX206" s="20">
        <v>0</v>
      </c>
      <c r="BY206" s="20">
        <v>0</v>
      </c>
      <c r="BZ206" s="20">
        <v>0</v>
      </c>
      <c r="CA206" s="20">
        <v>0</v>
      </c>
    </row>
    <row r="207" spans="1:79" x14ac:dyDescent="0.3">
      <c r="A207" s="19"/>
      <c r="B207" s="20" t="str">
        <f t="shared" si="38"/>
        <v>10830002</v>
      </c>
      <c r="C207" s="55">
        <f t="shared" si="74"/>
        <v>0</v>
      </c>
      <c r="D207" s="55">
        <f t="shared" si="75"/>
        <v>8</v>
      </c>
      <c r="E207" s="49">
        <v>2</v>
      </c>
      <c r="F207" s="20">
        <v>1</v>
      </c>
      <c r="G207" s="20">
        <v>8</v>
      </c>
      <c r="H207" s="20" t="str">
        <f t="shared" si="41"/>
        <v>Item_Name_10830002</v>
      </c>
      <c r="I207" s="20" t="s">
        <v>914</v>
      </c>
      <c r="J207" s="20">
        <v>0</v>
      </c>
      <c r="K207" s="20">
        <v>3</v>
      </c>
      <c r="L207" s="20">
        <v>0</v>
      </c>
      <c r="M207" s="20">
        <v>0</v>
      </c>
      <c r="N207" s="20">
        <v>15</v>
      </c>
      <c r="O207" s="20">
        <v>100</v>
      </c>
      <c r="P207" s="20">
        <v>1</v>
      </c>
      <c r="Q207" s="20" t="s">
        <v>248</v>
      </c>
      <c r="R207" s="20" t="s">
        <v>171</v>
      </c>
      <c r="S207" s="20" t="s">
        <v>328</v>
      </c>
      <c r="T207" s="20" t="s">
        <v>429</v>
      </c>
      <c r="U207" s="20">
        <v>0</v>
      </c>
      <c r="V207" s="20">
        <v>0</v>
      </c>
      <c r="W207" s="20">
        <v>23</v>
      </c>
      <c r="X207" s="20">
        <v>14</v>
      </c>
      <c r="Y207" s="20">
        <v>1003</v>
      </c>
      <c r="Z207" s="20">
        <v>0</v>
      </c>
      <c r="AA207" s="20">
        <v>0</v>
      </c>
      <c r="AB207" s="20">
        <v>0</v>
      </c>
      <c r="AC207" s="20">
        <v>0</v>
      </c>
      <c r="AD207" s="20">
        <v>0</v>
      </c>
      <c r="AE207" s="39">
        <v>0</v>
      </c>
      <c r="AF207" s="31">
        <v>0</v>
      </c>
      <c r="AG207" s="20">
        <v>0</v>
      </c>
      <c r="AH207" s="20">
        <v>0</v>
      </c>
      <c r="AI207" s="20">
        <v>0</v>
      </c>
      <c r="AJ207" s="20">
        <v>0</v>
      </c>
      <c r="AK207" s="20">
        <v>0</v>
      </c>
      <c r="AL207" s="20">
        <v>0</v>
      </c>
      <c r="AM207" s="20">
        <v>0</v>
      </c>
      <c r="AN207" s="20">
        <v>0</v>
      </c>
      <c r="AO207" s="20">
        <v>0</v>
      </c>
      <c r="AP207" s="20">
        <v>0</v>
      </c>
      <c r="AQ207" s="20">
        <v>0</v>
      </c>
      <c r="AR207" s="20">
        <v>0</v>
      </c>
      <c r="AS207" s="20">
        <v>0</v>
      </c>
      <c r="AT207" s="20">
        <v>0</v>
      </c>
      <c r="AU207" s="20">
        <v>0</v>
      </c>
      <c r="AV207" s="20">
        <v>0</v>
      </c>
      <c r="AW207" s="20">
        <v>0</v>
      </c>
      <c r="AX207" s="20">
        <v>0</v>
      </c>
      <c r="AY207" s="20">
        <v>0</v>
      </c>
      <c r="AZ207" s="20">
        <v>0</v>
      </c>
      <c r="BA207" s="20">
        <v>0</v>
      </c>
      <c r="BB207" s="20">
        <v>0</v>
      </c>
      <c r="BC207" s="20">
        <v>0</v>
      </c>
      <c r="BD207" s="20">
        <v>0</v>
      </c>
      <c r="BE207" s="20">
        <v>0</v>
      </c>
      <c r="BF207" s="20">
        <v>0</v>
      </c>
      <c r="BG207" s="20">
        <v>0</v>
      </c>
      <c r="BH207" s="20">
        <v>0</v>
      </c>
      <c r="BI207" s="20">
        <v>0</v>
      </c>
      <c r="BJ207" s="20">
        <v>0</v>
      </c>
      <c r="BK207" s="20">
        <v>0</v>
      </c>
      <c r="BL207" s="20">
        <v>0</v>
      </c>
      <c r="BM207" s="20">
        <v>0</v>
      </c>
      <c r="BN207" s="20">
        <v>0</v>
      </c>
      <c r="BO207" s="20">
        <v>0</v>
      </c>
      <c r="BP207" s="20">
        <v>0</v>
      </c>
      <c r="BQ207" s="20">
        <v>0</v>
      </c>
      <c r="BR207" s="20">
        <v>0</v>
      </c>
      <c r="BS207" s="20">
        <v>0</v>
      </c>
      <c r="BT207" s="20">
        <v>0</v>
      </c>
      <c r="BU207" s="20">
        <v>0</v>
      </c>
      <c r="BV207" s="20">
        <v>0</v>
      </c>
      <c r="BW207" s="20">
        <v>0</v>
      </c>
      <c r="BX207" s="20">
        <v>0</v>
      </c>
      <c r="BY207" s="20">
        <v>0</v>
      </c>
      <c r="BZ207" s="20">
        <v>0</v>
      </c>
      <c r="CA207" s="20">
        <v>0</v>
      </c>
    </row>
    <row r="208" spans="1:79" x14ac:dyDescent="0.3">
      <c r="A208" s="19"/>
      <c r="B208" s="20" t="str">
        <f t="shared" si="38"/>
        <v>10830003</v>
      </c>
      <c r="C208" s="55">
        <f t="shared" si="74"/>
        <v>0</v>
      </c>
      <c r="D208" s="55">
        <f t="shared" si="75"/>
        <v>8</v>
      </c>
      <c r="E208" s="49">
        <v>3</v>
      </c>
      <c r="F208" s="20">
        <v>1</v>
      </c>
      <c r="G208" s="20">
        <v>8</v>
      </c>
      <c r="H208" s="20" t="str">
        <f t="shared" si="41"/>
        <v>Item_Name_10830003</v>
      </c>
      <c r="I208" s="20" t="s">
        <v>915</v>
      </c>
      <c r="J208" s="20">
        <v>0</v>
      </c>
      <c r="K208" s="20">
        <v>3</v>
      </c>
      <c r="L208" s="20">
        <v>0</v>
      </c>
      <c r="M208" s="20">
        <v>0</v>
      </c>
      <c r="N208" s="20">
        <v>15</v>
      </c>
      <c r="O208" s="20">
        <v>100</v>
      </c>
      <c r="P208" s="20">
        <v>1</v>
      </c>
      <c r="Q208" s="20" t="s">
        <v>249</v>
      </c>
      <c r="R208" s="20" t="s">
        <v>171</v>
      </c>
      <c r="S208" s="20" t="s">
        <v>328</v>
      </c>
      <c r="T208" s="20" t="s">
        <v>429</v>
      </c>
      <c r="U208" s="20">
        <v>0</v>
      </c>
      <c r="V208" s="20">
        <v>0</v>
      </c>
      <c r="W208" s="20">
        <v>23</v>
      </c>
      <c r="X208" s="20">
        <v>14</v>
      </c>
      <c r="Y208" s="20">
        <v>1002</v>
      </c>
      <c r="Z208" s="20">
        <v>0</v>
      </c>
      <c r="AA208" s="20">
        <v>0</v>
      </c>
      <c r="AB208" s="20">
        <v>0</v>
      </c>
      <c r="AC208" s="20">
        <v>0</v>
      </c>
      <c r="AD208" s="20">
        <v>0</v>
      </c>
      <c r="AE208" s="39">
        <v>0</v>
      </c>
      <c r="AF208" s="31">
        <v>0</v>
      </c>
      <c r="AG208" s="20">
        <v>0</v>
      </c>
      <c r="AH208" s="20">
        <v>0</v>
      </c>
      <c r="AI208" s="20">
        <v>0</v>
      </c>
      <c r="AJ208" s="20">
        <v>0</v>
      </c>
      <c r="AK208" s="20">
        <v>0</v>
      </c>
      <c r="AL208" s="20">
        <v>0</v>
      </c>
      <c r="AM208" s="20">
        <v>0</v>
      </c>
      <c r="AN208" s="20">
        <v>0</v>
      </c>
      <c r="AO208" s="20">
        <v>0</v>
      </c>
      <c r="AP208" s="20">
        <v>0</v>
      </c>
      <c r="AQ208" s="20">
        <v>0</v>
      </c>
      <c r="AR208" s="20">
        <v>0</v>
      </c>
      <c r="AS208" s="20">
        <v>0</v>
      </c>
      <c r="AT208" s="20">
        <v>0</v>
      </c>
      <c r="AU208" s="20">
        <v>0</v>
      </c>
      <c r="AV208" s="20">
        <v>0</v>
      </c>
      <c r="AW208" s="20">
        <v>0</v>
      </c>
      <c r="AX208" s="20">
        <v>0</v>
      </c>
      <c r="AY208" s="20">
        <v>0</v>
      </c>
      <c r="AZ208" s="20">
        <v>0</v>
      </c>
      <c r="BA208" s="20">
        <v>0</v>
      </c>
      <c r="BB208" s="20">
        <v>0</v>
      </c>
      <c r="BC208" s="20">
        <v>0</v>
      </c>
      <c r="BD208" s="20">
        <v>0</v>
      </c>
      <c r="BE208" s="20">
        <v>0</v>
      </c>
      <c r="BF208" s="20">
        <v>0</v>
      </c>
      <c r="BG208" s="20">
        <v>0</v>
      </c>
      <c r="BH208" s="20">
        <v>0</v>
      </c>
      <c r="BI208" s="20">
        <v>0</v>
      </c>
      <c r="BJ208" s="20">
        <v>0</v>
      </c>
      <c r="BK208" s="20">
        <v>0</v>
      </c>
      <c r="BL208" s="20">
        <v>0</v>
      </c>
      <c r="BM208" s="20">
        <v>0</v>
      </c>
      <c r="BN208" s="20">
        <v>0</v>
      </c>
      <c r="BO208" s="20">
        <v>0</v>
      </c>
      <c r="BP208" s="20">
        <v>0</v>
      </c>
      <c r="BQ208" s="20">
        <v>0</v>
      </c>
      <c r="BR208" s="20">
        <v>0</v>
      </c>
      <c r="BS208" s="20">
        <v>0</v>
      </c>
      <c r="BT208" s="20">
        <v>0</v>
      </c>
      <c r="BU208" s="20">
        <v>0</v>
      </c>
      <c r="BV208" s="20">
        <v>0</v>
      </c>
      <c r="BW208" s="20">
        <v>0</v>
      </c>
      <c r="BX208" s="20">
        <v>0</v>
      </c>
      <c r="BY208" s="20">
        <v>0</v>
      </c>
      <c r="BZ208" s="20">
        <v>0</v>
      </c>
      <c r="CA208" s="20">
        <v>0</v>
      </c>
    </row>
    <row r="209" spans="1:79" x14ac:dyDescent="0.3">
      <c r="A209" s="19"/>
      <c r="B209" s="20" t="str">
        <f t="shared" si="38"/>
        <v>10830004</v>
      </c>
      <c r="C209" s="55">
        <f t="shared" si="74"/>
        <v>0</v>
      </c>
      <c r="D209" s="55">
        <f t="shared" si="75"/>
        <v>8</v>
      </c>
      <c r="E209" s="49">
        <v>4</v>
      </c>
      <c r="F209" s="20">
        <v>1</v>
      </c>
      <c r="G209" s="20">
        <v>8</v>
      </c>
      <c r="H209" s="20" t="str">
        <f t="shared" si="41"/>
        <v>Item_Name_10830004</v>
      </c>
      <c r="I209" s="20" t="s">
        <v>916</v>
      </c>
      <c r="J209" s="20">
        <v>0</v>
      </c>
      <c r="K209" s="20">
        <v>3</v>
      </c>
      <c r="L209" s="20">
        <v>0</v>
      </c>
      <c r="M209" s="20">
        <v>0</v>
      </c>
      <c r="N209" s="20">
        <v>15</v>
      </c>
      <c r="O209" s="20">
        <v>100</v>
      </c>
      <c r="P209" s="20">
        <v>1</v>
      </c>
      <c r="Q209" s="20" t="s">
        <v>250</v>
      </c>
      <c r="R209" s="20" t="s">
        <v>171</v>
      </c>
      <c r="S209" s="20" t="s">
        <v>328</v>
      </c>
      <c r="T209" s="20" t="s">
        <v>429</v>
      </c>
      <c r="U209" s="20">
        <v>0</v>
      </c>
      <c r="V209" s="20">
        <v>0</v>
      </c>
      <c r="W209" s="20">
        <v>23</v>
      </c>
      <c r="X209" s="20">
        <v>14</v>
      </c>
      <c r="Y209" s="20">
        <v>1004</v>
      </c>
      <c r="Z209" s="20">
        <v>0</v>
      </c>
      <c r="AA209" s="20">
        <v>0</v>
      </c>
      <c r="AB209" s="20">
        <v>0</v>
      </c>
      <c r="AC209" s="20">
        <v>0</v>
      </c>
      <c r="AD209" s="20">
        <v>0</v>
      </c>
      <c r="AE209" s="39">
        <v>0</v>
      </c>
      <c r="AF209" s="31">
        <v>0</v>
      </c>
      <c r="AG209" s="20">
        <v>0</v>
      </c>
      <c r="AH209" s="20">
        <v>0</v>
      </c>
      <c r="AI209" s="20">
        <v>0</v>
      </c>
      <c r="AJ209" s="20">
        <v>0</v>
      </c>
      <c r="AK209" s="20">
        <v>0</v>
      </c>
      <c r="AL209" s="20">
        <v>0</v>
      </c>
      <c r="AM209" s="20">
        <v>0</v>
      </c>
      <c r="AN209" s="20">
        <v>0</v>
      </c>
      <c r="AO209" s="20">
        <v>0</v>
      </c>
      <c r="AP209" s="20">
        <v>0</v>
      </c>
      <c r="AQ209" s="20">
        <v>0</v>
      </c>
      <c r="AR209" s="20">
        <v>0</v>
      </c>
      <c r="AS209" s="20">
        <v>0</v>
      </c>
      <c r="AT209" s="20">
        <v>0</v>
      </c>
      <c r="AU209" s="20">
        <v>0</v>
      </c>
      <c r="AV209" s="20">
        <v>0</v>
      </c>
      <c r="AW209" s="20">
        <v>0</v>
      </c>
      <c r="AX209" s="20">
        <v>0</v>
      </c>
      <c r="AY209" s="20">
        <v>0</v>
      </c>
      <c r="AZ209" s="20">
        <v>0</v>
      </c>
      <c r="BA209" s="20">
        <v>0</v>
      </c>
      <c r="BB209" s="20">
        <v>0</v>
      </c>
      <c r="BC209" s="20">
        <v>0</v>
      </c>
      <c r="BD209" s="20">
        <v>0</v>
      </c>
      <c r="BE209" s="20">
        <v>0</v>
      </c>
      <c r="BF209" s="20">
        <v>0</v>
      </c>
      <c r="BG209" s="20">
        <v>0</v>
      </c>
      <c r="BH209" s="20">
        <v>0</v>
      </c>
      <c r="BI209" s="20">
        <v>0</v>
      </c>
      <c r="BJ209" s="20">
        <v>0</v>
      </c>
      <c r="BK209" s="20">
        <v>0</v>
      </c>
      <c r="BL209" s="20">
        <v>0</v>
      </c>
      <c r="BM209" s="20">
        <v>0</v>
      </c>
      <c r="BN209" s="20">
        <v>0</v>
      </c>
      <c r="BO209" s="20">
        <v>0</v>
      </c>
      <c r="BP209" s="20">
        <v>0</v>
      </c>
      <c r="BQ209" s="20">
        <v>0</v>
      </c>
      <c r="BR209" s="20">
        <v>0</v>
      </c>
      <c r="BS209" s="20">
        <v>0</v>
      </c>
      <c r="BT209" s="20">
        <v>0</v>
      </c>
      <c r="BU209" s="20">
        <v>0</v>
      </c>
      <c r="BV209" s="20">
        <v>0</v>
      </c>
      <c r="BW209" s="20">
        <v>0</v>
      </c>
      <c r="BX209" s="20">
        <v>0</v>
      </c>
      <c r="BY209" s="20">
        <v>0</v>
      </c>
      <c r="BZ209" s="20">
        <v>0</v>
      </c>
      <c r="CA209" s="20">
        <v>0</v>
      </c>
    </row>
    <row r="210" spans="1:79" x14ac:dyDescent="0.3">
      <c r="A210" s="19"/>
      <c r="B210" s="20" t="str">
        <f t="shared" si="38"/>
        <v>10830005</v>
      </c>
      <c r="C210" s="55">
        <f t="shared" si="74"/>
        <v>0</v>
      </c>
      <c r="D210" s="55">
        <f t="shared" si="75"/>
        <v>8</v>
      </c>
      <c r="E210" s="49">
        <v>5</v>
      </c>
      <c r="F210" s="20">
        <v>1</v>
      </c>
      <c r="G210" s="20">
        <v>8</v>
      </c>
      <c r="H210" s="20" t="str">
        <f t="shared" si="41"/>
        <v>Item_Name_10830005</v>
      </c>
      <c r="I210" s="20" t="s">
        <v>917</v>
      </c>
      <c r="J210" s="20">
        <v>0</v>
      </c>
      <c r="K210" s="20">
        <v>3</v>
      </c>
      <c r="L210" s="20">
        <v>0</v>
      </c>
      <c r="M210" s="20">
        <v>0</v>
      </c>
      <c r="N210" s="20">
        <v>15</v>
      </c>
      <c r="O210" s="20">
        <v>100</v>
      </c>
      <c r="P210" s="20">
        <v>1</v>
      </c>
      <c r="Q210" s="20" t="s">
        <v>251</v>
      </c>
      <c r="R210" s="20" t="s">
        <v>171</v>
      </c>
      <c r="S210" s="20" t="s">
        <v>328</v>
      </c>
      <c r="T210" s="20" t="s">
        <v>429</v>
      </c>
      <c r="U210" s="20">
        <v>0</v>
      </c>
      <c r="V210" s="20">
        <v>0</v>
      </c>
      <c r="W210" s="20">
        <v>23</v>
      </c>
      <c r="X210" s="20">
        <v>14</v>
      </c>
      <c r="Y210" s="20">
        <v>1004</v>
      </c>
      <c r="Z210" s="20">
        <v>0</v>
      </c>
      <c r="AA210" s="20">
        <v>0</v>
      </c>
      <c r="AB210" s="20">
        <v>0</v>
      </c>
      <c r="AC210" s="20">
        <v>0</v>
      </c>
      <c r="AD210" s="20">
        <v>0</v>
      </c>
      <c r="AE210" s="39">
        <v>0</v>
      </c>
      <c r="AF210" s="31">
        <v>0</v>
      </c>
      <c r="AG210" s="20">
        <v>0</v>
      </c>
      <c r="AH210" s="20">
        <v>0</v>
      </c>
      <c r="AI210" s="20">
        <v>0</v>
      </c>
      <c r="AJ210" s="20">
        <v>0</v>
      </c>
      <c r="AK210" s="20">
        <v>0</v>
      </c>
      <c r="AL210" s="20">
        <v>0</v>
      </c>
      <c r="AM210" s="20">
        <v>0</v>
      </c>
      <c r="AN210" s="20">
        <v>0</v>
      </c>
      <c r="AO210" s="20">
        <v>0</v>
      </c>
      <c r="AP210" s="20">
        <v>0</v>
      </c>
      <c r="AQ210" s="20">
        <v>0</v>
      </c>
      <c r="AR210" s="20">
        <v>0</v>
      </c>
      <c r="AS210" s="20">
        <v>0</v>
      </c>
      <c r="AT210" s="20">
        <v>0</v>
      </c>
      <c r="AU210" s="20">
        <v>0</v>
      </c>
      <c r="AV210" s="20">
        <v>0</v>
      </c>
      <c r="AW210" s="20">
        <v>0</v>
      </c>
      <c r="AX210" s="20">
        <v>0</v>
      </c>
      <c r="AY210" s="20">
        <v>0</v>
      </c>
      <c r="AZ210" s="20">
        <v>0</v>
      </c>
      <c r="BA210" s="20">
        <v>0</v>
      </c>
      <c r="BB210" s="20">
        <v>0</v>
      </c>
      <c r="BC210" s="20">
        <v>0</v>
      </c>
      <c r="BD210" s="20">
        <v>0</v>
      </c>
      <c r="BE210" s="20">
        <v>0</v>
      </c>
      <c r="BF210" s="20">
        <v>0</v>
      </c>
      <c r="BG210" s="20">
        <v>0</v>
      </c>
      <c r="BH210" s="20">
        <v>0</v>
      </c>
      <c r="BI210" s="20">
        <v>0</v>
      </c>
      <c r="BJ210" s="20">
        <v>0</v>
      </c>
      <c r="BK210" s="20">
        <v>0</v>
      </c>
      <c r="BL210" s="20">
        <v>0</v>
      </c>
      <c r="BM210" s="20">
        <v>0</v>
      </c>
      <c r="BN210" s="20">
        <v>0</v>
      </c>
      <c r="BO210" s="20">
        <v>0</v>
      </c>
      <c r="BP210" s="20">
        <v>0</v>
      </c>
      <c r="BQ210" s="20">
        <v>0</v>
      </c>
      <c r="BR210" s="20">
        <v>0</v>
      </c>
      <c r="BS210" s="20">
        <v>0</v>
      </c>
      <c r="BT210" s="20">
        <v>0</v>
      </c>
      <c r="BU210" s="20">
        <v>0</v>
      </c>
      <c r="BV210" s="20">
        <v>0</v>
      </c>
      <c r="BW210" s="20">
        <v>0</v>
      </c>
      <c r="BX210" s="20">
        <v>0</v>
      </c>
      <c r="BY210" s="20">
        <v>0</v>
      </c>
      <c r="BZ210" s="20">
        <v>0</v>
      </c>
      <c r="CA210" s="20">
        <v>0</v>
      </c>
    </row>
    <row r="211" spans="1:79" x14ac:dyDescent="0.3">
      <c r="A211" s="19"/>
      <c r="B211" s="20" t="str">
        <f t="shared" si="38"/>
        <v>10830006</v>
      </c>
      <c r="C211" s="55">
        <f t="shared" si="74"/>
        <v>0</v>
      </c>
      <c r="D211" s="55">
        <f t="shared" si="75"/>
        <v>8</v>
      </c>
      <c r="E211" s="49">
        <v>6</v>
      </c>
      <c r="F211" s="20">
        <v>1</v>
      </c>
      <c r="G211" s="20">
        <v>8</v>
      </c>
      <c r="H211" s="20" t="str">
        <f t="shared" si="41"/>
        <v>Item_Name_10830006</v>
      </c>
      <c r="I211" s="20" t="s">
        <v>918</v>
      </c>
      <c r="J211" s="20">
        <v>0</v>
      </c>
      <c r="K211" s="20">
        <v>3</v>
      </c>
      <c r="L211" s="20">
        <v>0</v>
      </c>
      <c r="M211" s="20">
        <v>0</v>
      </c>
      <c r="N211" s="20">
        <v>15</v>
      </c>
      <c r="O211" s="20">
        <v>100</v>
      </c>
      <c r="P211" s="20">
        <v>1</v>
      </c>
      <c r="Q211" s="20" t="s">
        <v>252</v>
      </c>
      <c r="R211" s="20" t="s">
        <v>171</v>
      </c>
      <c r="S211" s="20" t="s">
        <v>328</v>
      </c>
      <c r="T211" s="20" t="s">
        <v>429</v>
      </c>
      <c r="U211" s="20">
        <v>0</v>
      </c>
      <c r="V211" s="20">
        <v>0</v>
      </c>
      <c r="W211" s="20">
        <v>23</v>
      </c>
      <c r="X211" s="20">
        <v>14</v>
      </c>
      <c r="Y211" s="20">
        <v>1004</v>
      </c>
      <c r="Z211" s="20">
        <v>0</v>
      </c>
      <c r="AA211" s="20">
        <v>0</v>
      </c>
      <c r="AB211" s="20">
        <v>0</v>
      </c>
      <c r="AC211" s="20">
        <v>0</v>
      </c>
      <c r="AD211" s="20">
        <v>0</v>
      </c>
      <c r="AE211" s="39">
        <v>0</v>
      </c>
      <c r="AF211" s="31">
        <v>0</v>
      </c>
      <c r="AG211" s="20">
        <v>0</v>
      </c>
      <c r="AH211" s="20">
        <v>0</v>
      </c>
      <c r="AI211" s="20">
        <v>0</v>
      </c>
      <c r="AJ211" s="20">
        <v>0</v>
      </c>
      <c r="AK211" s="20">
        <v>0</v>
      </c>
      <c r="AL211" s="20">
        <v>0</v>
      </c>
      <c r="AM211" s="20">
        <v>0</v>
      </c>
      <c r="AN211" s="20">
        <v>0</v>
      </c>
      <c r="AO211" s="20">
        <v>0</v>
      </c>
      <c r="AP211" s="20">
        <v>0</v>
      </c>
      <c r="AQ211" s="20">
        <v>0</v>
      </c>
      <c r="AR211" s="20">
        <v>0</v>
      </c>
      <c r="AS211" s="20">
        <v>0</v>
      </c>
      <c r="AT211" s="20">
        <v>0</v>
      </c>
      <c r="AU211" s="20">
        <v>0</v>
      </c>
      <c r="AV211" s="20">
        <v>0</v>
      </c>
      <c r="AW211" s="20">
        <v>0</v>
      </c>
      <c r="AX211" s="20">
        <v>0</v>
      </c>
      <c r="AY211" s="20">
        <v>0</v>
      </c>
      <c r="AZ211" s="20">
        <v>0</v>
      </c>
      <c r="BA211" s="20">
        <v>0</v>
      </c>
      <c r="BB211" s="20">
        <v>0</v>
      </c>
      <c r="BC211" s="20">
        <v>0</v>
      </c>
      <c r="BD211" s="20">
        <v>0</v>
      </c>
      <c r="BE211" s="20">
        <v>0</v>
      </c>
      <c r="BF211" s="20">
        <v>0</v>
      </c>
      <c r="BG211" s="20">
        <v>0</v>
      </c>
      <c r="BH211" s="20">
        <v>0</v>
      </c>
      <c r="BI211" s="20">
        <v>0</v>
      </c>
      <c r="BJ211" s="20">
        <v>0</v>
      </c>
      <c r="BK211" s="20">
        <v>0</v>
      </c>
      <c r="BL211" s="20">
        <v>0</v>
      </c>
      <c r="BM211" s="20">
        <v>0</v>
      </c>
      <c r="BN211" s="20">
        <v>0</v>
      </c>
      <c r="BO211" s="20">
        <v>0</v>
      </c>
      <c r="BP211" s="20">
        <v>0</v>
      </c>
      <c r="BQ211" s="20">
        <v>0</v>
      </c>
      <c r="BR211" s="20">
        <v>0</v>
      </c>
      <c r="BS211" s="20">
        <v>0</v>
      </c>
      <c r="BT211" s="20">
        <v>0</v>
      </c>
      <c r="BU211" s="20">
        <v>0</v>
      </c>
      <c r="BV211" s="20">
        <v>0</v>
      </c>
      <c r="BW211" s="20">
        <v>0</v>
      </c>
      <c r="BX211" s="20">
        <v>0</v>
      </c>
      <c r="BY211" s="20">
        <v>0</v>
      </c>
      <c r="BZ211" s="20">
        <v>0</v>
      </c>
      <c r="CA211" s="20">
        <v>0</v>
      </c>
    </row>
    <row r="212" spans="1:79" x14ac:dyDescent="0.3">
      <c r="A212" s="19"/>
      <c r="B212" s="20" t="str">
        <f t="shared" si="38"/>
        <v>10830007</v>
      </c>
      <c r="C212" s="55">
        <f t="shared" si="74"/>
        <v>0</v>
      </c>
      <c r="D212" s="55">
        <f t="shared" si="75"/>
        <v>8</v>
      </c>
      <c r="E212" s="49">
        <v>7</v>
      </c>
      <c r="F212" s="20">
        <v>1</v>
      </c>
      <c r="G212" s="20">
        <v>8</v>
      </c>
      <c r="H212" s="20" t="str">
        <f t="shared" si="41"/>
        <v>Item_Name_10830007</v>
      </c>
      <c r="I212" s="20" t="s">
        <v>919</v>
      </c>
      <c r="J212" s="20">
        <v>0</v>
      </c>
      <c r="K212" s="20">
        <v>3</v>
      </c>
      <c r="L212" s="20">
        <v>0</v>
      </c>
      <c r="M212" s="20">
        <v>0</v>
      </c>
      <c r="N212" s="20">
        <v>15</v>
      </c>
      <c r="O212" s="20">
        <v>100</v>
      </c>
      <c r="P212" s="20">
        <v>1</v>
      </c>
      <c r="Q212" s="20" t="s">
        <v>253</v>
      </c>
      <c r="R212" s="20" t="s">
        <v>171</v>
      </c>
      <c r="S212" s="20" t="s">
        <v>328</v>
      </c>
      <c r="T212" s="20" t="s">
        <v>429</v>
      </c>
      <c r="U212" s="20">
        <v>0</v>
      </c>
      <c r="V212" s="20">
        <v>0</v>
      </c>
      <c r="W212" s="20">
        <v>23</v>
      </c>
      <c r="X212" s="20">
        <v>14</v>
      </c>
      <c r="Y212" s="20">
        <v>1005</v>
      </c>
      <c r="Z212" s="20">
        <v>0</v>
      </c>
      <c r="AA212" s="20">
        <v>0</v>
      </c>
      <c r="AB212" s="20">
        <v>0</v>
      </c>
      <c r="AC212" s="20">
        <v>0</v>
      </c>
      <c r="AD212" s="20">
        <v>0</v>
      </c>
      <c r="AE212" s="39">
        <v>0</v>
      </c>
      <c r="AF212" s="31">
        <v>0</v>
      </c>
      <c r="AG212" s="20">
        <v>0</v>
      </c>
      <c r="AH212" s="20">
        <v>0</v>
      </c>
      <c r="AI212" s="20">
        <v>0</v>
      </c>
      <c r="AJ212" s="20">
        <v>0</v>
      </c>
      <c r="AK212" s="20">
        <v>0</v>
      </c>
      <c r="AL212" s="20">
        <v>0</v>
      </c>
      <c r="AM212" s="20">
        <v>0</v>
      </c>
      <c r="AN212" s="20">
        <v>0</v>
      </c>
      <c r="AO212" s="20">
        <v>0</v>
      </c>
      <c r="AP212" s="20">
        <v>0</v>
      </c>
      <c r="AQ212" s="20">
        <v>0</v>
      </c>
      <c r="AR212" s="20">
        <v>0</v>
      </c>
      <c r="AS212" s="20">
        <v>0</v>
      </c>
      <c r="AT212" s="20">
        <v>0</v>
      </c>
      <c r="AU212" s="20">
        <v>0</v>
      </c>
      <c r="AV212" s="20">
        <v>0</v>
      </c>
      <c r="AW212" s="20">
        <v>0</v>
      </c>
      <c r="AX212" s="20">
        <v>0</v>
      </c>
      <c r="AY212" s="20">
        <v>0</v>
      </c>
      <c r="AZ212" s="20">
        <v>0</v>
      </c>
      <c r="BA212" s="20">
        <v>0</v>
      </c>
      <c r="BB212" s="20">
        <v>0</v>
      </c>
      <c r="BC212" s="20">
        <v>0</v>
      </c>
      <c r="BD212" s="20">
        <v>0</v>
      </c>
      <c r="BE212" s="20">
        <v>0</v>
      </c>
      <c r="BF212" s="20">
        <v>0</v>
      </c>
      <c r="BG212" s="20">
        <v>0</v>
      </c>
      <c r="BH212" s="20">
        <v>0</v>
      </c>
      <c r="BI212" s="20">
        <v>0</v>
      </c>
      <c r="BJ212" s="20">
        <v>0</v>
      </c>
      <c r="BK212" s="20">
        <v>0</v>
      </c>
      <c r="BL212" s="20">
        <v>0</v>
      </c>
      <c r="BM212" s="20">
        <v>0</v>
      </c>
      <c r="BN212" s="20">
        <v>0</v>
      </c>
      <c r="BO212" s="20">
        <v>0</v>
      </c>
      <c r="BP212" s="20">
        <v>0</v>
      </c>
      <c r="BQ212" s="20">
        <v>0</v>
      </c>
      <c r="BR212" s="20">
        <v>0</v>
      </c>
      <c r="BS212" s="20">
        <v>0</v>
      </c>
      <c r="BT212" s="20">
        <v>0</v>
      </c>
      <c r="BU212" s="20">
        <v>0</v>
      </c>
      <c r="BV212" s="20">
        <v>0</v>
      </c>
      <c r="BW212" s="20">
        <v>0</v>
      </c>
      <c r="BX212" s="20">
        <v>0</v>
      </c>
      <c r="BY212" s="20">
        <v>0</v>
      </c>
      <c r="BZ212" s="20">
        <v>0</v>
      </c>
      <c r="CA212" s="20">
        <v>0</v>
      </c>
    </row>
    <row r="213" spans="1:79" x14ac:dyDescent="0.3">
      <c r="A213" s="19"/>
      <c r="B213" s="20" t="str">
        <f t="shared" si="38"/>
        <v>10830008</v>
      </c>
      <c r="C213" s="55">
        <f t="shared" si="74"/>
        <v>0</v>
      </c>
      <c r="D213" s="55">
        <f t="shared" si="75"/>
        <v>8</v>
      </c>
      <c r="E213" s="49">
        <v>8</v>
      </c>
      <c r="F213" s="20">
        <v>1</v>
      </c>
      <c r="G213" s="20">
        <v>8</v>
      </c>
      <c r="H213" s="20" t="str">
        <f t="shared" si="41"/>
        <v>Item_Name_10830008</v>
      </c>
      <c r="I213" s="20" t="s">
        <v>920</v>
      </c>
      <c r="J213" s="20">
        <v>0</v>
      </c>
      <c r="K213" s="20">
        <v>3</v>
      </c>
      <c r="L213" s="20">
        <v>0</v>
      </c>
      <c r="M213" s="20">
        <v>0</v>
      </c>
      <c r="N213" s="20">
        <v>15</v>
      </c>
      <c r="O213" s="20">
        <v>100</v>
      </c>
      <c r="P213" s="20">
        <v>1</v>
      </c>
      <c r="Q213" s="20" t="s">
        <v>254</v>
      </c>
      <c r="R213" s="20" t="s">
        <v>171</v>
      </c>
      <c r="S213" s="20" t="s">
        <v>328</v>
      </c>
      <c r="T213" s="20" t="s">
        <v>429</v>
      </c>
      <c r="U213" s="20">
        <v>0</v>
      </c>
      <c r="V213" s="20">
        <v>0</v>
      </c>
      <c r="W213" s="20">
        <v>23</v>
      </c>
      <c r="X213" s="20">
        <v>14</v>
      </c>
      <c r="Y213" s="20">
        <v>1007</v>
      </c>
      <c r="Z213" s="20">
        <v>0</v>
      </c>
      <c r="AA213" s="20">
        <v>0</v>
      </c>
      <c r="AB213" s="20">
        <v>0</v>
      </c>
      <c r="AC213" s="20">
        <v>0</v>
      </c>
      <c r="AD213" s="20">
        <v>0</v>
      </c>
      <c r="AE213" s="39">
        <v>0</v>
      </c>
      <c r="AF213" s="31">
        <v>0</v>
      </c>
      <c r="AG213" s="20">
        <v>0</v>
      </c>
      <c r="AH213" s="20">
        <v>0</v>
      </c>
      <c r="AI213" s="20">
        <v>0</v>
      </c>
      <c r="AJ213" s="20">
        <v>0</v>
      </c>
      <c r="AK213" s="20">
        <v>0</v>
      </c>
      <c r="AL213" s="20">
        <v>0</v>
      </c>
      <c r="AM213" s="20">
        <v>0</v>
      </c>
      <c r="AN213" s="20">
        <v>0</v>
      </c>
      <c r="AO213" s="20">
        <v>0</v>
      </c>
      <c r="AP213" s="20">
        <v>0</v>
      </c>
      <c r="AQ213" s="20">
        <v>0</v>
      </c>
      <c r="AR213" s="20">
        <v>0</v>
      </c>
      <c r="AS213" s="20">
        <v>0</v>
      </c>
      <c r="AT213" s="20">
        <v>0</v>
      </c>
      <c r="AU213" s="20">
        <v>0</v>
      </c>
      <c r="AV213" s="20">
        <v>0</v>
      </c>
      <c r="AW213" s="20">
        <v>0</v>
      </c>
      <c r="AX213" s="20">
        <v>0</v>
      </c>
      <c r="AY213" s="20">
        <v>0</v>
      </c>
      <c r="AZ213" s="20">
        <v>0</v>
      </c>
      <c r="BA213" s="20">
        <v>0</v>
      </c>
      <c r="BB213" s="20">
        <v>0</v>
      </c>
      <c r="BC213" s="20">
        <v>0</v>
      </c>
      <c r="BD213" s="20">
        <v>0</v>
      </c>
      <c r="BE213" s="20">
        <v>0</v>
      </c>
      <c r="BF213" s="20">
        <v>0</v>
      </c>
      <c r="BG213" s="20">
        <v>0</v>
      </c>
      <c r="BH213" s="20">
        <v>0</v>
      </c>
      <c r="BI213" s="20">
        <v>0</v>
      </c>
      <c r="BJ213" s="20">
        <v>0</v>
      </c>
      <c r="BK213" s="20">
        <v>0</v>
      </c>
      <c r="BL213" s="20">
        <v>0</v>
      </c>
      <c r="BM213" s="20">
        <v>0</v>
      </c>
      <c r="BN213" s="20">
        <v>0</v>
      </c>
      <c r="BO213" s="20">
        <v>0</v>
      </c>
      <c r="BP213" s="20">
        <v>0</v>
      </c>
      <c r="BQ213" s="20">
        <v>0</v>
      </c>
      <c r="BR213" s="20">
        <v>0</v>
      </c>
      <c r="BS213" s="20">
        <v>0</v>
      </c>
      <c r="BT213" s="20">
        <v>0</v>
      </c>
      <c r="BU213" s="20">
        <v>0</v>
      </c>
      <c r="BV213" s="20">
        <v>0</v>
      </c>
      <c r="BW213" s="20">
        <v>0</v>
      </c>
      <c r="BX213" s="20">
        <v>0</v>
      </c>
      <c r="BY213" s="20">
        <v>0</v>
      </c>
      <c r="BZ213" s="20">
        <v>0</v>
      </c>
      <c r="CA213" s="20">
        <v>0</v>
      </c>
    </row>
    <row r="214" spans="1:79" x14ac:dyDescent="0.3">
      <c r="A214" s="19"/>
      <c r="B214" s="20" t="str">
        <f t="shared" si="38"/>
        <v>10830009</v>
      </c>
      <c r="C214" s="55">
        <f t="shared" si="74"/>
        <v>0</v>
      </c>
      <c r="D214" s="55">
        <f t="shared" si="75"/>
        <v>8</v>
      </c>
      <c r="E214" s="49">
        <v>9</v>
      </c>
      <c r="F214" s="20">
        <v>1</v>
      </c>
      <c r="G214" s="20">
        <v>8</v>
      </c>
      <c r="H214" s="20" t="str">
        <f t="shared" si="41"/>
        <v>Item_Name_10830009</v>
      </c>
      <c r="I214" s="20" t="s">
        <v>921</v>
      </c>
      <c r="J214" s="20">
        <v>0</v>
      </c>
      <c r="K214" s="20">
        <v>3</v>
      </c>
      <c r="L214" s="20">
        <v>0</v>
      </c>
      <c r="M214" s="20">
        <v>0</v>
      </c>
      <c r="N214" s="20">
        <v>15</v>
      </c>
      <c r="O214" s="20">
        <v>100</v>
      </c>
      <c r="P214" s="20">
        <v>1</v>
      </c>
      <c r="Q214" s="20" t="s">
        <v>255</v>
      </c>
      <c r="R214" s="20" t="s">
        <v>171</v>
      </c>
      <c r="S214" s="20" t="s">
        <v>328</v>
      </c>
      <c r="T214" s="20" t="s">
        <v>429</v>
      </c>
      <c r="U214" s="20">
        <v>0</v>
      </c>
      <c r="V214" s="20">
        <v>0</v>
      </c>
      <c r="W214" s="20">
        <v>23</v>
      </c>
      <c r="X214" s="20">
        <v>14</v>
      </c>
      <c r="Y214" s="20">
        <v>1006</v>
      </c>
      <c r="Z214" s="20">
        <v>0</v>
      </c>
      <c r="AA214" s="20">
        <v>0</v>
      </c>
      <c r="AB214" s="20">
        <v>0</v>
      </c>
      <c r="AC214" s="20">
        <v>0</v>
      </c>
      <c r="AD214" s="20">
        <v>0</v>
      </c>
      <c r="AE214" s="39">
        <v>0</v>
      </c>
      <c r="AF214" s="31">
        <v>0</v>
      </c>
      <c r="AG214" s="20">
        <v>0</v>
      </c>
      <c r="AH214" s="20">
        <v>0</v>
      </c>
      <c r="AI214" s="20">
        <v>0</v>
      </c>
      <c r="AJ214" s="20">
        <v>0</v>
      </c>
      <c r="AK214" s="20">
        <v>0</v>
      </c>
      <c r="AL214" s="20">
        <v>0</v>
      </c>
      <c r="AM214" s="20">
        <v>0</v>
      </c>
      <c r="AN214" s="20">
        <v>0</v>
      </c>
      <c r="AO214" s="20">
        <v>0</v>
      </c>
      <c r="AP214" s="20">
        <v>0</v>
      </c>
      <c r="AQ214" s="20">
        <v>0</v>
      </c>
      <c r="AR214" s="20">
        <v>0</v>
      </c>
      <c r="AS214" s="20">
        <v>0</v>
      </c>
      <c r="AT214" s="20">
        <v>0</v>
      </c>
      <c r="AU214" s="20">
        <v>0</v>
      </c>
      <c r="AV214" s="20">
        <v>0</v>
      </c>
      <c r="AW214" s="20">
        <v>0</v>
      </c>
      <c r="AX214" s="20">
        <v>0</v>
      </c>
      <c r="AY214" s="20">
        <v>0</v>
      </c>
      <c r="AZ214" s="20">
        <v>0</v>
      </c>
      <c r="BA214" s="20">
        <v>0</v>
      </c>
      <c r="BB214" s="20">
        <v>0</v>
      </c>
      <c r="BC214" s="20">
        <v>0</v>
      </c>
      <c r="BD214" s="20">
        <v>0</v>
      </c>
      <c r="BE214" s="20">
        <v>0</v>
      </c>
      <c r="BF214" s="20">
        <v>0</v>
      </c>
      <c r="BG214" s="20">
        <v>0</v>
      </c>
      <c r="BH214" s="20">
        <v>0</v>
      </c>
      <c r="BI214" s="20">
        <v>0</v>
      </c>
      <c r="BJ214" s="20">
        <v>0</v>
      </c>
      <c r="BK214" s="20">
        <v>0</v>
      </c>
      <c r="BL214" s="20">
        <v>0</v>
      </c>
      <c r="BM214" s="20">
        <v>0</v>
      </c>
      <c r="BN214" s="20">
        <v>0</v>
      </c>
      <c r="BO214" s="20">
        <v>0</v>
      </c>
      <c r="BP214" s="20">
        <v>0</v>
      </c>
      <c r="BQ214" s="20">
        <v>0</v>
      </c>
      <c r="BR214" s="20">
        <v>0</v>
      </c>
      <c r="BS214" s="20">
        <v>0</v>
      </c>
      <c r="BT214" s="20">
        <v>0</v>
      </c>
      <c r="BU214" s="20">
        <v>0</v>
      </c>
      <c r="BV214" s="20">
        <v>0</v>
      </c>
      <c r="BW214" s="20">
        <v>0</v>
      </c>
      <c r="BX214" s="20">
        <v>0</v>
      </c>
      <c r="BY214" s="20">
        <v>0</v>
      </c>
      <c r="BZ214" s="20">
        <v>0</v>
      </c>
      <c r="CA214" s="20">
        <v>0</v>
      </c>
    </row>
    <row r="215" spans="1:79" x14ac:dyDescent="0.3">
      <c r="A215" s="19"/>
      <c r="B215" s="20" t="str">
        <f t="shared" si="38"/>
        <v>10740001</v>
      </c>
      <c r="C215" s="55">
        <f t="shared" ref="C215:C232" si="76">IF(J215&gt;0,MID(J215,5, 1), 0)</f>
        <v>0</v>
      </c>
      <c r="D215" s="55">
        <f t="shared" ref="D215:D232" si="77">IF(G215&lt;100, G215, G215-100)</f>
        <v>7</v>
      </c>
      <c r="E215" s="49">
        <v>1</v>
      </c>
      <c r="F215" s="20">
        <v>1</v>
      </c>
      <c r="G215" s="20">
        <v>7</v>
      </c>
      <c r="H215" s="20" t="str">
        <f t="shared" si="41"/>
        <v>Item_Name_10740001</v>
      </c>
      <c r="I215" s="20" t="s">
        <v>922</v>
      </c>
      <c r="J215" s="20">
        <v>0</v>
      </c>
      <c r="K215" s="20">
        <v>4</v>
      </c>
      <c r="L215" s="20">
        <v>0</v>
      </c>
      <c r="M215" s="20">
        <v>0</v>
      </c>
      <c r="N215" s="20">
        <v>15</v>
      </c>
      <c r="O215" s="20">
        <v>100</v>
      </c>
      <c r="P215" s="20">
        <v>1</v>
      </c>
      <c r="Q215" s="20" t="s">
        <v>238</v>
      </c>
      <c r="R215" s="20" t="s">
        <v>171</v>
      </c>
      <c r="S215" s="20" t="s">
        <v>327</v>
      </c>
      <c r="T215" s="20" t="s">
        <v>429</v>
      </c>
      <c r="U215" s="20">
        <v>0</v>
      </c>
      <c r="V215" s="20">
        <v>0</v>
      </c>
      <c r="W215" s="20">
        <v>23</v>
      </c>
      <c r="X215" s="20">
        <v>35</v>
      </c>
      <c r="Y215" s="20">
        <v>1001</v>
      </c>
      <c r="Z215" s="20">
        <v>0</v>
      </c>
      <c r="AA215" s="20">
        <v>0</v>
      </c>
      <c r="AB215" s="20">
        <v>0</v>
      </c>
      <c r="AC215" s="20">
        <v>0</v>
      </c>
      <c r="AD215" s="20">
        <v>0</v>
      </c>
      <c r="AE215" s="39">
        <v>0</v>
      </c>
      <c r="AF215" s="31">
        <v>0</v>
      </c>
      <c r="AG215" s="20">
        <v>0</v>
      </c>
      <c r="AH215" s="20">
        <v>0</v>
      </c>
      <c r="AI215" s="20">
        <v>0</v>
      </c>
      <c r="AJ215" s="20">
        <v>0</v>
      </c>
      <c r="AK215" s="20">
        <v>0</v>
      </c>
      <c r="AL215" s="20">
        <v>0</v>
      </c>
      <c r="AM215" s="20">
        <v>0</v>
      </c>
      <c r="AN215" s="20">
        <v>0</v>
      </c>
      <c r="AO215" s="20">
        <v>0</v>
      </c>
      <c r="AP215" s="20">
        <v>0</v>
      </c>
      <c r="AQ215" s="20">
        <v>0</v>
      </c>
      <c r="AR215" s="20">
        <v>0</v>
      </c>
      <c r="AS215" s="20">
        <v>0</v>
      </c>
      <c r="AT215" s="20">
        <v>0</v>
      </c>
      <c r="AU215" s="20">
        <v>0</v>
      </c>
      <c r="AV215" s="20">
        <v>0</v>
      </c>
      <c r="AW215" s="20">
        <v>0</v>
      </c>
      <c r="AX215" s="20">
        <v>0</v>
      </c>
      <c r="AY215" s="20">
        <v>0</v>
      </c>
      <c r="AZ215" s="20">
        <v>0</v>
      </c>
      <c r="BA215" s="20">
        <v>0</v>
      </c>
      <c r="BB215" s="20">
        <v>0</v>
      </c>
      <c r="BC215" s="20">
        <v>0</v>
      </c>
      <c r="BD215" s="20">
        <v>0</v>
      </c>
      <c r="BE215" s="20">
        <v>0</v>
      </c>
      <c r="BF215" s="20">
        <v>0</v>
      </c>
      <c r="BG215" s="20">
        <v>0</v>
      </c>
      <c r="BH215" s="20">
        <v>0</v>
      </c>
      <c r="BI215" s="20">
        <v>0</v>
      </c>
      <c r="BJ215" s="20">
        <v>0</v>
      </c>
      <c r="BK215" s="20">
        <v>0</v>
      </c>
      <c r="BL215" s="20">
        <v>0</v>
      </c>
      <c r="BM215" s="20">
        <v>0</v>
      </c>
      <c r="BN215" s="20">
        <v>0</v>
      </c>
      <c r="BO215" s="20">
        <v>0</v>
      </c>
      <c r="BP215" s="20">
        <v>0</v>
      </c>
      <c r="BQ215" s="20">
        <v>0</v>
      </c>
      <c r="BR215" s="20">
        <v>0</v>
      </c>
      <c r="BS215" s="20">
        <v>0</v>
      </c>
      <c r="BT215" s="20">
        <v>0</v>
      </c>
      <c r="BU215" s="20">
        <v>0</v>
      </c>
      <c r="BV215" s="20">
        <v>0</v>
      </c>
      <c r="BW215" s="20">
        <v>0</v>
      </c>
      <c r="BX215" s="20">
        <v>0</v>
      </c>
      <c r="BY215" s="20">
        <v>0</v>
      </c>
      <c r="BZ215" s="20">
        <v>0</v>
      </c>
      <c r="CA215" s="20">
        <v>0</v>
      </c>
    </row>
    <row r="216" spans="1:79" x14ac:dyDescent="0.3">
      <c r="A216" s="19"/>
      <c r="B216" s="20" t="str">
        <f t="shared" si="38"/>
        <v>10740002</v>
      </c>
      <c r="C216" s="55">
        <f t="shared" si="76"/>
        <v>0</v>
      </c>
      <c r="D216" s="55">
        <f t="shared" si="77"/>
        <v>7</v>
      </c>
      <c r="E216" s="49">
        <v>2</v>
      </c>
      <c r="F216" s="20">
        <v>1</v>
      </c>
      <c r="G216" s="20">
        <v>7</v>
      </c>
      <c r="H216" s="20" t="str">
        <f t="shared" si="41"/>
        <v>Item_Name_10740002</v>
      </c>
      <c r="I216" s="20" t="s">
        <v>923</v>
      </c>
      <c r="J216" s="20">
        <v>0</v>
      </c>
      <c r="K216" s="20">
        <v>4</v>
      </c>
      <c r="L216" s="20">
        <v>0</v>
      </c>
      <c r="M216" s="20">
        <v>0</v>
      </c>
      <c r="N216" s="20">
        <v>15</v>
      </c>
      <c r="O216" s="20">
        <v>100</v>
      </c>
      <c r="P216" s="20">
        <v>1</v>
      </c>
      <c r="Q216" s="20" t="s">
        <v>239</v>
      </c>
      <c r="R216" s="20" t="s">
        <v>171</v>
      </c>
      <c r="S216" s="20" t="s">
        <v>327</v>
      </c>
      <c r="T216" s="20" t="s">
        <v>429</v>
      </c>
      <c r="U216" s="20">
        <v>0</v>
      </c>
      <c r="V216" s="20">
        <v>0</v>
      </c>
      <c r="W216" s="20">
        <v>23</v>
      </c>
      <c r="X216" s="20">
        <v>35</v>
      </c>
      <c r="Y216" s="20">
        <v>1003</v>
      </c>
      <c r="Z216" s="20">
        <v>0</v>
      </c>
      <c r="AA216" s="20">
        <v>0</v>
      </c>
      <c r="AB216" s="20">
        <v>0</v>
      </c>
      <c r="AC216" s="20">
        <v>0</v>
      </c>
      <c r="AD216" s="20">
        <v>0</v>
      </c>
      <c r="AE216" s="39">
        <v>0</v>
      </c>
      <c r="AF216" s="31">
        <v>0</v>
      </c>
      <c r="AG216" s="20">
        <v>0</v>
      </c>
      <c r="AH216" s="20">
        <v>0</v>
      </c>
      <c r="AI216" s="20">
        <v>0</v>
      </c>
      <c r="AJ216" s="20">
        <v>0</v>
      </c>
      <c r="AK216" s="20">
        <v>0</v>
      </c>
      <c r="AL216" s="20">
        <v>0</v>
      </c>
      <c r="AM216" s="20">
        <v>0</v>
      </c>
      <c r="AN216" s="20">
        <v>0</v>
      </c>
      <c r="AO216" s="20">
        <v>0</v>
      </c>
      <c r="AP216" s="20">
        <v>0</v>
      </c>
      <c r="AQ216" s="20">
        <v>0</v>
      </c>
      <c r="AR216" s="20">
        <v>0</v>
      </c>
      <c r="AS216" s="20">
        <v>0</v>
      </c>
      <c r="AT216" s="20">
        <v>0</v>
      </c>
      <c r="AU216" s="20">
        <v>0</v>
      </c>
      <c r="AV216" s="20">
        <v>0</v>
      </c>
      <c r="AW216" s="20">
        <v>0</v>
      </c>
      <c r="AX216" s="20">
        <v>0</v>
      </c>
      <c r="AY216" s="20">
        <v>0</v>
      </c>
      <c r="AZ216" s="20">
        <v>0</v>
      </c>
      <c r="BA216" s="20">
        <v>0</v>
      </c>
      <c r="BB216" s="20">
        <v>0</v>
      </c>
      <c r="BC216" s="20">
        <v>0</v>
      </c>
      <c r="BD216" s="20">
        <v>0</v>
      </c>
      <c r="BE216" s="20">
        <v>0</v>
      </c>
      <c r="BF216" s="20">
        <v>0</v>
      </c>
      <c r="BG216" s="20">
        <v>0</v>
      </c>
      <c r="BH216" s="20">
        <v>0</v>
      </c>
      <c r="BI216" s="20">
        <v>0</v>
      </c>
      <c r="BJ216" s="20">
        <v>0</v>
      </c>
      <c r="BK216" s="20">
        <v>0</v>
      </c>
      <c r="BL216" s="20">
        <v>0</v>
      </c>
      <c r="BM216" s="20">
        <v>0</v>
      </c>
      <c r="BN216" s="20">
        <v>0</v>
      </c>
      <c r="BO216" s="20">
        <v>0</v>
      </c>
      <c r="BP216" s="20">
        <v>0</v>
      </c>
      <c r="BQ216" s="20">
        <v>0</v>
      </c>
      <c r="BR216" s="20">
        <v>0</v>
      </c>
      <c r="BS216" s="20">
        <v>0</v>
      </c>
      <c r="BT216" s="20">
        <v>0</v>
      </c>
      <c r="BU216" s="20">
        <v>0</v>
      </c>
      <c r="BV216" s="20">
        <v>0</v>
      </c>
      <c r="BW216" s="20">
        <v>0</v>
      </c>
      <c r="BX216" s="20">
        <v>0</v>
      </c>
      <c r="BY216" s="20">
        <v>0</v>
      </c>
      <c r="BZ216" s="20">
        <v>0</v>
      </c>
      <c r="CA216" s="20">
        <v>0</v>
      </c>
    </row>
    <row r="217" spans="1:79" x14ac:dyDescent="0.3">
      <c r="A217" s="19"/>
      <c r="B217" s="20" t="str">
        <f t="shared" si="38"/>
        <v>10740003</v>
      </c>
      <c r="C217" s="55">
        <f t="shared" si="76"/>
        <v>0</v>
      </c>
      <c r="D217" s="55">
        <f t="shared" si="77"/>
        <v>7</v>
      </c>
      <c r="E217" s="49">
        <v>3</v>
      </c>
      <c r="F217" s="20">
        <v>1</v>
      </c>
      <c r="G217" s="20">
        <v>7</v>
      </c>
      <c r="H217" s="20" t="str">
        <f t="shared" si="41"/>
        <v>Item_Name_10740003</v>
      </c>
      <c r="I217" s="20" t="s">
        <v>924</v>
      </c>
      <c r="J217" s="20">
        <v>0</v>
      </c>
      <c r="K217" s="20">
        <v>4</v>
      </c>
      <c r="L217" s="20">
        <v>0</v>
      </c>
      <c r="M217" s="20">
        <v>0</v>
      </c>
      <c r="N217" s="20">
        <v>15</v>
      </c>
      <c r="O217" s="20">
        <v>100</v>
      </c>
      <c r="P217" s="20">
        <v>1</v>
      </c>
      <c r="Q217" s="20" t="s">
        <v>240</v>
      </c>
      <c r="R217" s="20" t="s">
        <v>171</v>
      </c>
      <c r="S217" s="20" t="s">
        <v>327</v>
      </c>
      <c r="T217" s="20" t="s">
        <v>429</v>
      </c>
      <c r="U217" s="20">
        <v>0</v>
      </c>
      <c r="V217" s="20">
        <v>0</v>
      </c>
      <c r="W217" s="20">
        <v>23</v>
      </c>
      <c r="X217" s="20">
        <v>35</v>
      </c>
      <c r="Y217" s="20">
        <v>1002</v>
      </c>
      <c r="Z217" s="20">
        <v>0</v>
      </c>
      <c r="AA217" s="20">
        <v>0</v>
      </c>
      <c r="AB217" s="20">
        <v>0</v>
      </c>
      <c r="AC217" s="20">
        <v>0</v>
      </c>
      <c r="AD217" s="20">
        <v>0</v>
      </c>
      <c r="AE217" s="39">
        <v>0</v>
      </c>
      <c r="AF217" s="31">
        <v>0</v>
      </c>
      <c r="AG217" s="20">
        <v>0</v>
      </c>
      <c r="AH217" s="20">
        <v>0</v>
      </c>
      <c r="AI217" s="20">
        <v>0</v>
      </c>
      <c r="AJ217" s="20">
        <v>0</v>
      </c>
      <c r="AK217" s="20">
        <v>0</v>
      </c>
      <c r="AL217" s="20">
        <v>0</v>
      </c>
      <c r="AM217" s="20">
        <v>0</v>
      </c>
      <c r="AN217" s="20">
        <v>0</v>
      </c>
      <c r="AO217" s="20">
        <v>0</v>
      </c>
      <c r="AP217" s="20">
        <v>0</v>
      </c>
      <c r="AQ217" s="20">
        <v>0</v>
      </c>
      <c r="AR217" s="20">
        <v>0</v>
      </c>
      <c r="AS217" s="20">
        <v>0</v>
      </c>
      <c r="AT217" s="20">
        <v>0</v>
      </c>
      <c r="AU217" s="20">
        <v>0</v>
      </c>
      <c r="AV217" s="20">
        <v>0</v>
      </c>
      <c r="AW217" s="20">
        <v>0</v>
      </c>
      <c r="AX217" s="20">
        <v>0</v>
      </c>
      <c r="AY217" s="20">
        <v>0</v>
      </c>
      <c r="AZ217" s="20">
        <v>0</v>
      </c>
      <c r="BA217" s="20">
        <v>0</v>
      </c>
      <c r="BB217" s="20">
        <v>0</v>
      </c>
      <c r="BC217" s="20">
        <v>0</v>
      </c>
      <c r="BD217" s="20">
        <v>0</v>
      </c>
      <c r="BE217" s="20">
        <v>0</v>
      </c>
      <c r="BF217" s="20">
        <v>0</v>
      </c>
      <c r="BG217" s="20">
        <v>0</v>
      </c>
      <c r="BH217" s="20">
        <v>0</v>
      </c>
      <c r="BI217" s="20">
        <v>0</v>
      </c>
      <c r="BJ217" s="20">
        <v>0</v>
      </c>
      <c r="BK217" s="20">
        <v>0</v>
      </c>
      <c r="BL217" s="20">
        <v>0</v>
      </c>
      <c r="BM217" s="20">
        <v>0</v>
      </c>
      <c r="BN217" s="20">
        <v>0</v>
      </c>
      <c r="BO217" s="20">
        <v>0</v>
      </c>
      <c r="BP217" s="20">
        <v>0</v>
      </c>
      <c r="BQ217" s="20">
        <v>0</v>
      </c>
      <c r="BR217" s="20">
        <v>0</v>
      </c>
      <c r="BS217" s="20">
        <v>0</v>
      </c>
      <c r="BT217" s="20">
        <v>0</v>
      </c>
      <c r="BU217" s="20">
        <v>0</v>
      </c>
      <c r="BV217" s="20">
        <v>0</v>
      </c>
      <c r="BW217" s="20">
        <v>0</v>
      </c>
      <c r="BX217" s="20">
        <v>0</v>
      </c>
      <c r="BY217" s="20">
        <v>0</v>
      </c>
      <c r="BZ217" s="20">
        <v>0</v>
      </c>
      <c r="CA217" s="20">
        <v>0</v>
      </c>
    </row>
    <row r="218" spans="1:79" x14ac:dyDescent="0.3">
      <c r="A218" s="19"/>
      <c r="B218" s="20" t="str">
        <f t="shared" si="38"/>
        <v>10740004</v>
      </c>
      <c r="C218" s="55">
        <f t="shared" si="76"/>
        <v>0</v>
      </c>
      <c r="D218" s="55">
        <f t="shared" si="77"/>
        <v>7</v>
      </c>
      <c r="E218" s="49">
        <v>4</v>
      </c>
      <c r="F218" s="20">
        <v>1</v>
      </c>
      <c r="G218" s="20">
        <v>7</v>
      </c>
      <c r="H218" s="20" t="str">
        <f t="shared" si="41"/>
        <v>Item_Name_10740004</v>
      </c>
      <c r="I218" s="20" t="s">
        <v>925</v>
      </c>
      <c r="J218" s="20">
        <v>0</v>
      </c>
      <c r="K218" s="20">
        <v>4</v>
      </c>
      <c r="L218" s="20">
        <v>0</v>
      </c>
      <c r="M218" s="20">
        <v>0</v>
      </c>
      <c r="N218" s="20">
        <v>15</v>
      </c>
      <c r="O218" s="20">
        <v>100</v>
      </c>
      <c r="P218" s="20">
        <v>1</v>
      </c>
      <c r="Q218" s="20" t="s">
        <v>241</v>
      </c>
      <c r="R218" s="20" t="s">
        <v>171</v>
      </c>
      <c r="S218" s="20" t="s">
        <v>327</v>
      </c>
      <c r="T218" s="20" t="s">
        <v>429</v>
      </c>
      <c r="U218" s="20">
        <v>0</v>
      </c>
      <c r="V218" s="20">
        <v>0</v>
      </c>
      <c r="W218" s="20">
        <v>23</v>
      </c>
      <c r="X218" s="20">
        <v>35</v>
      </c>
      <c r="Y218" s="20">
        <v>1004</v>
      </c>
      <c r="Z218" s="20">
        <v>0</v>
      </c>
      <c r="AA218" s="20">
        <v>0</v>
      </c>
      <c r="AB218" s="20">
        <v>0</v>
      </c>
      <c r="AC218" s="20">
        <v>0</v>
      </c>
      <c r="AD218" s="20">
        <v>0</v>
      </c>
      <c r="AE218" s="39">
        <v>0</v>
      </c>
      <c r="AF218" s="31">
        <v>0</v>
      </c>
      <c r="AG218" s="20">
        <v>0</v>
      </c>
      <c r="AH218" s="20">
        <v>0</v>
      </c>
      <c r="AI218" s="20">
        <v>0</v>
      </c>
      <c r="AJ218" s="20">
        <v>0</v>
      </c>
      <c r="AK218" s="20">
        <v>0</v>
      </c>
      <c r="AL218" s="20">
        <v>0</v>
      </c>
      <c r="AM218" s="20">
        <v>0</v>
      </c>
      <c r="AN218" s="20">
        <v>0</v>
      </c>
      <c r="AO218" s="20">
        <v>0</v>
      </c>
      <c r="AP218" s="20">
        <v>0</v>
      </c>
      <c r="AQ218" s="20">
        <v>0</v>
      </c>
      <c r="AR218" s="20">
        <v>0</v>
      </c>
      <c r="AS218" s="20">
        <v>0</v>
      </c>
      <c r="AT218" s="20">
        <v>0</v>
      </c>
      <c r="AU218" s="20">
        <v>0</v>
      </c>
      <c r="AV218" s="20">
        <v>0</v>
      </c>
      <c r="AW218" s="20">
        <v>0</v>
      </c>
      <c r="AX218" s="20">
        <v>0</v>
      </c>
      <c r="AY218" s="20">
        <v>0</v>
      </c>
      <c r="AZ218" s="20">
        <v>0</v>
      </c>
      <c r="BA218" s="20">
        <v>0</v>
      </c>
      <c r="BB218" s="20">
        <v>0</v>
      </c>
      <c r="BC218" s="20">
        <v>0</v>
      </c>
      <c r="BD218" s="20">
        <v>0</v>
      </c>
      <c r="BE218" s="20">
        <v>0</v>
      </c>
      <c r="BF218" s="20">
        <v>0</v>
      </c>
      <c r="BG218" s="20">
        <v>0</v>
      </c>
      <c r="BH218" s="20">
        <v>0</v>
      </c>
      <c r="BI218" s="20">
        <v>0</v>
      </c>
      <c r="BJ218" s="20">
        <v>0</v>
      </c>
      <c r="BK218" s="20">
        <v>0</v>
      </c>
      <c r="BL218" s="20">
        <v>0</v>
      </c>
      <c r="BM218" s="20">
        <v>0</v>
      </c>
      <c r="BN218" s="20">
        <v>0</v>
      </c>
      <c r="BO218" s="20">
        <v>0</v>
      </c>
      <c r="BP218" s="20">
        <v>0</v>
      </c>
      <c r="BQ218" s="20">
        <v>0</v>
      </c>
      <c r="BR218" s="20">
        <v>0</v>
      </c>
      <c r="BS218" s="20">
        <v>0</v>
      </c>
      <c r="BT218" s="20">
        <v>0</v>
      </c>
      <c r="BU218" s="20">
        <v>0</v>
      </c>
      <c r="BV218" s="20">
        <v>0</v>
      </c>
      <c r="BW218" s="20">
        <v>0</v>
      </c>
      <c r="BX218" s="20">
        <v>0</v>
      </c>
      <c r="BY218" s="20">
        <v>0</v>
      </c>
      <c r="BZ218" s="20">
        <v>0</v>
      </c>
      <c r="CA218" s="20">
        <v>0</v>
      </c>
    </row>
    <row r="219" spans="1:79" x14ac:dyDescent="0.3">
      <c r="A219" s="19"/>
      <c r="B219" s="20" t="str">
        <f t="shared" si="38"/>
        <v>10740005</v>
      </c>
      <c r="C219" s="55">
        <f t="shared" si="76"/>
        <v>0</v>
      </c>
      <c r="D219" s="55">
        <f t="shared" si="77"/>
        <v>7</v>
      </c>
      <c r="E219" s="49">
        <v>5</v>
      </c>
      <c r="F219" s="20">
        <v>1</v>
      </c>
      <c r="G219" s="20">
        <v>7</v>
      </c>
      <c r="H219" s="20" t="str">
        <f t="shared" si="41"/>
        <v>Item_Name_10740005</v>
      </c>
      <c r="I219" s="20" t="s">
        <v>926</v>
      </c>
      <c r="J219" s="20">
        <v>0</v>
      </c>
      <c r="K219" s="20">
        <v>4</v>
      </c>
      <c r="L219" s="20">
        <v>0</v>
      </c>
      <c r="M219" s="20">
        <v>0</v>
      </c>
      <c r="N219" s="20">
        <v>15</v>
      </c>
      <c r="O219" s="20">
        <v>100</v>
      </c>
      <c r="P219" s="20">
        <v>1</v>
      </c>
      <c r="Q219" s="20" t="s">
        <v>242</v>
      </c>
      <c r="R219" s="20" t="s">
        <v>171</v>
      </c>
      <c r="S219" s="20" t="s">
        <v>327</v>
      </c>
      <c r="T219" s="20" t="s">
        <v>429</v>
      </c>
      <c r="U219" s="20">
        <v>0</v>
      </c>
      <c r="V219" s="20">
        <v>0</v>
      </c>
      <c r="W219" s="20">
        <v>23</v>
      </c>
      <c r="X219" s="20">
        <v>35</v>
      </c>
      <c r="Y219" s="20">
        <v>1004</v>
      </c>
      <c r="Z219" s="20">
        <v>0</v>
      </c>
      <c r="AA219" s="20">
        <v>0</v>
      </c>
      <c r="AB219" s="20">
        <v>0</v>
      </c>
      <c r="AC219" s="20">
        <v>0</v>
      </c>
      <c r="AD219" s="20">
        <v>0</v>
      </c>
      <c r="AE219" s="39">
        <v>0</v>
      </c>
      <c r="AF219" s="31">
        <v>0</v>
      </c>
      <c r="AG219" s="20">
        <v>0</v>
      </c>
      <c r="AH219" s="20">
        <v>0</v>
      </c>
      <c r="AI219" s="20">
        <v>0</v>
      </c>
      <c r="AJ219" s="20">
        <v>0</v>
      </c>
      <c r="AK219" s="20">
        <v>0</v>
      </c>
      <c r="AL219" s="20">
        <v>0</v>
      </c>
      <c r="AM219" s="20">
        <v>0</v>
      </c>
      <c r="AN219" s="20">
        <v>0</v>
      </c>
      <c r="AO219" s="20">
        <v>0</v>
      </c>
      <c r="AP219" s="20">
        <v>0</v>
      </c>
      <c r="AQ219" s="20">
        <v>0</v>
      </c>
      <c r="AR219" s="20">
        <v>0</v>
      </c>
      <c r="AS219" s="20">
        <v>0</v>
      </c>
      <c r="AT219" s="20">
        <v>0</v>
      </c>
      <c r="AU219" s="20">
        <v>0</v>
      </c>
      <c r="AV219" s="20">
        <v>0</v>
      </c>
      <c r="AW219" s="20">
        <v>0</v>
      </c>
      <c r="AX219" s="20">
        <v>0</v>
      </c>
      <c r="AY219" s="20">
        <v>0</v>
      </c>
      <c r="AZ219" s="20">
        <v>0</v>
      </c>
      <c r="BA219" s="20">
        <v>0</v>
      </c>
      <c r="BB219" s="20">
        <v>0</v>
      </c>
      <c r="BC219" s="20">
        <v>0</v>
      </c>
      <c r="BD219" s="20">
        <v>0</v>
      </c>
      <c r="BE219" s="20">
        <v>0</v>
      </c>
      <c r="BF219" s="20">
        <v>0</v>
      </c>
      <c r="BG219" s="20">
        <v>0</v>
      </c>
      <c r="BH219" s="20">
        <v>0</v>
      </c>
      <c r="BI219" s="20">
        <v>0</v>
      </c>
      <c r="BJ219" s="20">
        <v>0</v>
      </c>
      <c r="BK219" s="20">
        <v>0</v>
      </c>
      <c r="BL219" s="20">
        <v>0</v>
      </c>
      <c r="BM219" s="20">
        <v>0</v>
      </c>
      <c r="BN219" s="20">
        <v>0</v>
      </c>
      <c r="BO219" s="20">
        <v>0</v>
      </c>
      <c r="BP219" s="20">
        <v>0</v>
      </c>
      <c r="BQ219" s="20">
        <v>0</v>
      </c>
      <c r="BR219" s="20">
        <v>0</v>
      </c>
      <c r="BS219" s="20">
        <v>0</v>
      </c>
      <c r="BT219" s="20">
        <v>0</v>
      </c>
      <c r="BU219" s="20">
        <v>0</v>
      </c>
      <c r="BV219" s="20">
        <v>0</v>
      </c>
      <c r="BW219" s="20">
        <v>0</v>
      </c>
      <c r="BX219" s="20">
        <v>0</v>
      </c>
      <c r="BY219" s="20">
        <v>0</v>
      </c>
      <c r="BZ219" s="20">
        <v>0</v>
      </c>
      <c r="CA219" s="20">
        <v>0</v>
      </c>
    </row>
    <row r="220" spans="1:79" x14ac:dyDescent="0.3">
      <c r="A220" s="19"/>
      <c r="B220" s="20" t="str">
        <f t="shared" si="38"/>
        <v>10740006</v>
      </c>
      <c r="C220" s="55">
        <f t="shared" si="76"/>
        <v>0</v>
      </c>
      <c r="D220" s="55">
        <f t="shared" si="77"/>
        <v>7</v>
      </c>
      <c r="E220" s="49">
        <v>6</v>
      </c>
      <c r="F220" s="20">
        <v>1</v>
      </c>
      <c r="G220" s="20">
        <v>7</v>
      </c>
      <c r="H220" s="20" t="str">
        <f t="shared" si="41"/>
        <v>Item_Name_10740006</v>
      </c>
      <c r="I220" s="20" t="s">
        <v>927</v>
      </c>
      <c r="J220" s="20">
        <v>0</v>
      </c>
      <c r="K220" s="20">
        <v>4</v>
      </c>
      <c r="L220" s="20">
        <v>0</v>
      </c>
      <c r="M220" s="20">
        <v>0</v>
      </c>
      <c r="N220" s="20">
        <v>15</v>
      </c>
      <c r="O220" s="20">
        <v>100</v>
      </c>
      <c r="P220" s="20">
        <v>1</v>
      </c>
      <c r="Q220" s="20" t="s">
        <v>243</v>
      </c>
      <c r="R220" s="20" t="s">
        <v>171</v>
      </c>
      <c r="S220" s="20" t="s">
        <v>327</v>
      </c>
      <c r="T220" s="20" t="s">
        <v>429</v>
      </c>
      <c r="U220" s="20">
        <v>0</v>
      </c>
      <c r="V220" s="20">
        <v>0</v>
      </c>
      <c r="W220" s="20">
        <v>23</v>
      </c>
      <c r="X220" s="20">
        <v>35</v>
      </c>
      <c r="Y220" s="20">
        <v>1004</v>
      </c>
      <c r="Z220" s="20">
        <v>0</v>
      </c>
      <c r="AA220" s="20">
        <v>0</v>
      </c>
      <c r="AB220" s="20">
        <v>0</v>
      </c>
      <c r="AC220" s="20">
        <v>0</v>
      </c>
      <c r="AD220" s="20">
        <v>0</v>
      </c>
      <c r="AE220" s="39">
        <v>0</v>
      </c>
      <c r="AF220" s="31">
        <v>0</v>
      </c>
      <c r="AG220" s="20">
        <v>0</v>
      </c>
      <c r="AH220" s="20">
        <v>0</v>
      </c>
      <c r="AI220" s="20">
        <v>0</v>
      </c>
      <c r="AJ220" s="20">
        <v>0</v>
      </c>
      <c r="AK220" s="20">
        <v>0</v>
      </c>
      <c r="AL220" s="20">
        <v>0</v>
      </c>
      <c r="AM220" s="20">
        <v>0</v>
      </c>
      <c r="AN220" s="20">
        <v>0</v>
      </c>
      <c r="AO220" s="20">
        <v>0</v>
      </c>
      <c r="AP220" s="20">
        <v>0</v>
      </c>
      <c r="AQ220" s="20">
        <v>0</v>
      </c>
      <c r="AR220" s="20">
        <v>0</v>
      </c>
      <c r="AS220" s="20">
        <v>0</v>
      </c>
      <c r="AT220" s="20">
        <v>0</v>
      </c>
      <c r="AU220" s="20">
        <v>0</v>
      </c>
      <c r="AV220" s="20">
        <v>0</v>
      </c>
      <c r="AW220" s="20">
        <v>0</v>
      </c>
      <c r="AX220" s="20">
        <v>0</v>
      </c>
      <c r="AY220" s="20">
        <v>0</v>
      </c>
      <c r="AZ220" s="20">
        <v>0</v>
      </c>
      <c r="BA220" s="20">
        <v>0</v>
      </c>
      <c r="BB220" s="20">
        <v>0</v>
      </c>
      <c r="BC220" s="20">
        <v>0</v>
      </c>
      <c r="BD220" s="20">
        <v>0</v>
      </c>
      <c r="BE220" s="20">
        <v>0</v>
      </c>
      <c r="BF220" s="20">
        <v>0</v>
      </c>
      <c r="BG220" s="20">
        <v>0</v>
      </c>
      <c r="BH220" s="20">
        <v>0</v>
      </c>
      <c r="BI220" s="20">
        <v>0</v>
      </c>
      <c r="BJ220" s="20">
        <v>0</v>
      </c>
      <c r="BK220" s="20">
        <v>0</v>
      </c>
      <c r="BL220" s="20">
        <v>0</v>
      </c>
      <c r="BM220" s="20">
        <v>0</v>
      </c>
      <c r="BN220" s="20">
        <v>0</v>
      </c>
      <c r="BO220" s="20">
        <v>0</v>
      </c>
      <c r="BP220" s="20">
        <v>0</v>
      </c>
      <c r="BQ220" s="20">
        <v>0</v>
      </c>
      <c r="BR220" s="20">
        <v>0</v>
      </c>
      <c r="BS220" s="20">
        <v>0</v>
      </c>
      <c r="BT220" s="20">
        <v>0</v>
      </c>
      <c r="BU220" s="20">
        <v>0</v>
      </c>
      <c r="BV220" s="20">
        <v>0</v>
      </c>
      <c r="BW220" s="20">
        <v>0</v>
      </c>
      <c r="BX220" s="20">
        <v>0</v>
      </c>
      <c r="BY220" s="20">
        <v>0</v>
      </c>
      <c r="BZ220" s="20">
        <v>0</v>
      </c>
      <c r="CA220" s="20">
        <v>0</v>
      </c>
    </row>
    <row r="221" spans="1:79" x14ac:dyDescent="0.3">
      <c r="A221" s="19"/>
      <c r="B221" s="20" t="str">
        <f t="shared" si="38"/>
        <v>10740007</v>
      </c>
      <c r="C221" s="55">
        <f t="shared" si="76"/>
        <v>0</v>
      </c>
      <c r="D221" s="55">
        <f t="shared" si="77"/>
        <v>7</v>
      </c>
      <c r="E221" s="49">
        <v>7</v>
      </c>
      <c r="F221" s="20">
        <v>1</v>
      </c>
      <c r="G221" s="20">
        <v>7</v>
      </c>
      <c r="H221" s="20" t="str">
        <f t="shared" si="41"/>
        <v>Item_Name_10740007</v>
      </c>
      <c r="I221" s="20" t="s">
        <v>928</v>
      </c>
      <c r="J221" s="20">
        <v>0</v>
      </c>
      <c r="K221" s="20">
        <v>4</v>
      </c>
      <c r="L221" s="20">
        <v>0</v>
      </c>
      <c r="M221" s="20">
        <v>0</v>
      </c>
      <c r="N221" s="20">
        <v>15</v>
      </c>
      <c r="O221" s="20">
        <v>100</v>
      </c>
      <c r="P221" s="20">
        <v>1</v>
      </c>
      <c r="Q221" s="20" t="s">
        <v>244</v>
      </c>
      <c r="R221" s="20" t="s">
        <v>171</v>
      </c>
      <c r="S221" s="20" t="s">
        <v>327</v>
      </c>
      <c r="T221" s="20" t="s">
        <v>429</v>
      </c>
      <c r="U221" s="20">
        <v>0</v>
      </c>
      <c r="V221" s="20">
        <v>0</v>
      </c>
      <c r="W221" s="20">
        <v>23</v>
      </c>
      <c r="X221" s="20">
        <v>35</v>
      </c>
      <c r="Y221" s="20">
        <v>1005</v>
      </c>
      <c r="Z221" s="20">
        <v>0</v>
      </c>
      <c r="AA221" s="20">
        <v>0</v>
      </c>
      <c r="AB221" s="20">
        <v>0</v>
      </c>
      <c r="AC221" s="20">
        <v>0</v>
      </c>
      <c r="AD221" s="20">
        <v>0</v>
      </c>
      <c r="AE221" s="39">
        <v>0</v>
      </c>
      <c r="AF221" s="31">
        <v>0</v>
      </c>
      <c r="AG221" s="20">
        <v>0</v>
      </c>
      <c r="AH221" s="20">
        <v>0</v>
      </c>
      <c r="AI221" s="20">
        <v>0</v>
      </c>
      <c r="AJ221" s="20">
        <v>0</v>
      </c>
      <c r="AK221" s="20">
        <v>0</v>
      </c>
      <c r="AL221" s="20">
        <v>0</v>
      </c>
      <c r="AM221" s="20">
        <v>0</v>
      </c>
      <c r="AN221" s="20">
        <v>0</v>
      </c>
      <c r="AO221" s="20">
        <v>0</v>
      </c>
      <c r="AP221" s="20">
        <v>0</v>
      </c>
      <c r="AQ221" s="20">
        <v>0</v>
      </c>
      <c r="AR221" s="20">
        <v>0</v>
      </c>
      <c r="AS221" s="20">
        <v>0</v>
      </c>
      <c r="AT221" s="20">
        <v>0</v>
      </c>
      <c r="AU221" s="20">
        <v>0</v>
      </c>
      <c r="AV221" s="20">
        <v>0</v>
      </c>
      <c r="AW221" s="20">
        <v>0</v>
      </c>
      <c r="AX221" s="20">
        <v>0</v>
      </c>
      <c r="AY221" s="20">
        <v>0</v>
      </c>
      <c r="AZ221" s="20">
        <v>0</v>
      </c>
      <c r="BA221" s="20">
        <v>0</v>
      </c>
      <c r="BB221" s="20">
        <v>0</v>
      </c>
      <c r="BC221" s="20">
        <v>0</v>
      </c>
      <c r="BD221" s="20">
        <v>0</v>
      </c>
      <c r="BE221" s="20">
        <v>0</v>
      </c>
      <c r="BF221" s="20">
        <v>0</v>
      </c>
      <c r="BG221" s="20">
        <v>0</v>
      </c>
      <c r="BH221" s="20">
        <v>0</v>
      </c>
      <c r="BI221" s="20">
        <v>0</v>
      </c>
      <c r="BJ221" s="20">
        <v>0</v>
      </c>
      <c r="BK221" s="20">
        <v>0</v>
      </c>
      <c r="BL221" s="20">
        <v>0</v>
      </c>
      <c r="BM221" s="20">
        <v>0</v>
      </c>
      <c r="BN221" s="20">
        <v>0</v>
      </c>
      <c r="BO221" s="20">
        <v>0</v>
      </c>
      <c r="BP221" s="20">
        <v>0</v>
      </c>
      <c r="BQ221" s="20">
        <v>0</v>
      </c>
      <c r="BR221" s="20">
        <v>0</v>
      </c>
      <c r="BS221" s="20">
        <v>0</v>
      </c>
      <c r="BT221" s="20">
        <v>0</v>
      </c>
      <c r="BU221" s="20">
        <v>0</v>
      </c>
      <c r="BV221" s="20">
        <v>0</v>
      </c>
      <c r="BW221" s="20">
        <v>0</v>
      </c>
      <c r="BX221" s="20">
        <v>0</v>
      </c>
      <c r="BY221" s="20">
        <v>0</v>
      </c>
      <c r="BZ221" s="20">
        <v>0</v>
      </c>
      <c r="CA221" s="20">
        <v>0</v>
      </c>
    </row>
    <row r="222" spans="1:79" x14ac:dyDescent="0.3">
      <c r="A222" s="19"/>
      <c r="B222" s="20" t="str">
        <f t="shared" si="38"/>
        <v>10740008</v>
      </c>
      <c r="C222" s="55">
        <f t="shared" si="76"/>
        <v>0</v>
      </c>
      <c r="D222" s="55">
        <f t="shared" si="77"/>
        <v>7</v>
      </c>
      <c r="E222" s="49">
        <v>8</v>
      </c>
      <c r="F222" s="20">
        <v>1</v>
      </c>
      <c r="G222" s="20">
        <v>7</v>
      </c>
      <c r="H222" s="20" t="str">
        <f t="shared" si="41"/>
        <v>Item_Name_10740008</v>
      </c>
      <c r="I222" s="20" t="s">
        <v>929</v>
      </c>
      <c r="J222" s="20">
        <v>0</v>
      </c>
      <c r="K222" s="20">
        <v>4</v>
      </c>
      <c r="L222" s="20">
        <v>0</v>
      </c>
      <c r="M222" s="20">
        <v>0</v>
      </c>
      <c r="N222" s="20">
        <v>15</v>
      </c>
      <c r="O222" s="20">
        <v>100</v>
      </c>
      <c r="P222" s="20">
        <v>1</v>
      </c>
      <c r="Q222" s="20" t="s">
        <v>245</v>
      </c>
      <c r="R222" s="20" t="s">
        <v>171</v>
      </c>
      <c r="S222" s="20" t="s">
        <v>327</v>
      </c>
      <c r="T222" s="20" t="s">
        <v>429</v>
      </c>
      <c r="U222" s="20">
        <v>0</v>
      </c>
      <c r="V222" s="20">
        <v>0</v>
      </c>
      <c r="W222" s="20">
        <v>23</v>
      </c>
      <c r="X222" s="20">
        <v>35</v>
      </c>
      <c r="Y222" s="20">
        <v>1007</v>
      </c>
      <c r="Z222" s="20">
        <v>0</v>
      </c>
      <c r="AA222" s="20">
        <v>0</v>
      </c>
      <c r="AB222" s="20">
        <v>0</v>
      </c>
      <c r="AC222" s="20">
        <v>0</v>
      </c>
      <c r="AD222" s="20">
        <v>0</v>
      </c>
      <c r="AE222" s="39">
        <v>0</v>
      </c>
      <c r="AF222" s="31">
        <v>0</v>
      </c>
      <c r="AG222" s="20">
        <v>0</v>
      </c>
      <c r="AH222" s="20">
        <v>0</v>
      </c>
      <c r="AI222" s="20">
        <v>0</v>
      </c>
      <c r="AJ222" s="20">
        <v>0</v>
      </c>
      <c r="AK222" s="20">
        <v>0</v>
      </c>
      <c r="AL222" s="20">
        <v>0</v>
      </c>
      <c r="AM222" s="20">
        <v>0</v>
      </c>
      <c r="AN222" s="20">
        <v>0</v>
      </c>
      <c r="AO222" s="20">
        <v>0</v>
      </c>
      <c r="AP222" s="20">
        <v>0</v>
      </c>
      <c r="AQ222" s="20">
        <v>0</v>
      </c>
      <c r="AR222" s="20">
        <v>0</v>
      </c>
      <c r="AS222" s="20">
        <v>0</v>
      </c>
      <c r="AT222" s="20">
        <v>0</v>
      </c>
      <c r="AU222" s="20">
        <v>0</v>
      </c>
      <c r="AV222" s="20">
        <v>0</v>
      </c>
      <c r="AW222" s="20">
        <v>0</v>
      </c>
      <c r="AX222" s="20">
        <v>0</v>
      </c>
      <c r="AY222" s="20">
        <v>0</v>
      </c>
      <c r="AZ222" s="20">
        <v>0</v>
      </c>
      <c r="BA222" s="20">
        <v>0</v>
      </c>
      <c r="BB222" s="20">
        <v>0</v>
      </c>
      <c r="BC222" s="20">
        <v>0</v>
      </c>
      <c r="BD222" s="20">
        <v>0</v>
      </c>
      <c r="BE222" s="20">
        <v>0</v>
      </c>
      <c r="BF222" s="20">
        <v>0</v>
      </c>
      <c r="BG222" s="20">
        <v>0</v>
      </c>
      <c r="BH222" s="20">
        <v>0</v>
      </c>
      <c r="BI222" s="20">
        <v>0</v>
      </c>
      <c r="BJ222" s="20">
        <v>0</v>
      </c>
      <c r="BK222" s="20">
        <v>0</v>
      </c>
      <c r="BL222" s="20">
        <v>0</v>
      </c>
      <c r="BM222" s="20">
        <v>0</v>
      </c>
      <c r="BN222" s="20">
        <v>0</v>
      </c>
      <c r="BO222" s="20">
        <v>0</v>
      </c>
      <c r="BP222" s="20">
        <v>0</v>
      </c>
      <c r="BQ222" s="20">
        <v>0</v>
      </c>
      <c r="BR222" s="20">
        <v>0</v>
      </c>
      <c r="BS222" s="20">
        <v>0</v>
      </c>
      <c r="BT222" s="20">
        <v>0</v>
      </c>
      <c r="BU222" s="20">
        <v>0</v>
      </c>
      <c r="BV222" s="20">
        <v>0</v>
      </c>
      <c r="BW222" s="20">
        <v>0</v>
      </c>
      <c r="BX222" s="20">
        <v>0</v>
      </c>
      <c r="BY222" s="20">
        <v>0</v>
      </c>
      <c r="BZ222" s="20">
        <v>0</v>
      </c>
      <c r="CA222" s="20">
        <v>0</v>
      </c>
    </row>
    <row r="223" spans="1:79" x14ac:dyDescent="0.3">
      <c r="A223" s="19"/>
      <c r="B223" s="20" t="str">
        <f t="shared" si="38"/>
        <v>10740009</v>
      </c>
      <c r="C223" s="55">
        <f t="shared" si="76"/>
        <v>0</v>
      </c>
      <c r="D223" s="55">
        <f t="shared" si="77"/>
        <v>7</v>
      </c>
      <c r="E223" s="49">
        <v>9</v>
      </c>
      <c r="F223" s="20">
        <v>1</v>
      </c>
      <c r="G223" s="20">
        <v>7</v>
      </c>
      <c r="H223" s="20" t="str">
        <f t="shared" si="41"/>
        <v>Item_Name_10740009</v>
      </c>
      <c r="I223" s="20" t="s">
        <v>930</v>
      </c>
      <c r="J223" s="20">
        <v>0</v>
      </c>
      <c r="K223" s="20">
        <v>4</v>
      </c>
      <c r="L223" s="20">
        <v>0</v>
      </c>
      <c r="M223" s="20">
        <v>0</v>
      </c>
      <c r="N223" s="20">
        <v>15</v>
      </c>
      <c r="O223" s="20">
        <v>100</v>
      </c>
      <c r="P223" s="20">
        <v>1</v>
      </c>
      <c r="Q223" s="20" t="s">
        <v>246</v>
      </c>
      <c r="R223" s="20" t="s">
        <v>171</v>
      </c>
      <c r="S223" s="20" t="s">
        <v>327</v>
      </c>
      <c r="T223" s="20" t="s">
        <v>429</v>
      </c>
      <c r="U223" s="20">
        <v>0</v>
      </c>
      <c r="V223" s="20">
        <v>0</v>
      </c>
      <c r="W223" s="20">
        <v>23</v>
      </c>
      <c r="X223" s="20">
        <v>35</v>
      </c>
      <c r="Y223" s="20">
        <v>1006</v>
      </c>
      <c r="Z223" s="20">
        <v>0</v>
      </c>
      <c r="AA223" s="20">
        <v>0</v>
      </c>
      <c r="AB223" s="20">
        <v>0</v>
      </c>
      <c r="AC223" s="20">
        <v>0</v>
      </c>
      <c r="AD223" s="20">
        <v>0</v>
      </c>
      <c r="AE223" s="39">
        <v>0</v>
      </c>
      <c r="AF223" s="31">
        <v>0</v>
      </c>
      <c r="AG223" s="20">
        <v>0</v>
      </c>
      <c r="AH223" s="20">
        <v>0</v>
      </c>
      <c r="AI223" s="20">
        <v>0</v>
      </c>
      <c r="AJ223" s="20">
        <v>0</v>
      </c>
      <c r="AK223" s="20">
        <v>0</v>
      </c>
      <c r="AL223" s="20">
        <v>0</v>
      </c>
      <c r="AM223" s="20">
        <v>0</v>
      </c>
      <c r="AN223" s="20">
        <v>0</v>
      </c>
      <c r="AO223" s="20">
        <v>0</v>
      </c>
      <c r="AP223" s="20">
        <v>0</v>
      </c>
      <c r="AQ223" s="20">
        <v>0</v>
      </c>
      <c r="AR223" s="20">
        <v>0</v>
      </c>
      <c r="AS223" s="20">
        <v>0</v>
      </c>
      <c r="AT223" s="20">
        <v>0</v>
      </c>
      <c r="AU223" s="20">
        <v>0</v>
      </c>
      <c r="AV223" s="20">
        <v>0</v>
      </c>
      <c r="AW223" s="20">
        <v>0</v>
      </c>
      <c r="AX223" s="20">
        <v>0</v>
      </c>
      <c r="AY223" s="20">
        <v>0</v>
      </c>
      <c r="AZ223" s="20">
        <v>0</v>
      </c>
      <c r="BA223" s="20">
        <v>0</v>
      </c>
      <c r="BB223" s="20">
        <v>0</v>
      </c>
      <c r="BC223" s="20">
        <v>0</v>
      </c>
      <c r="BD223" s="20">
        <v>0</v>
      </c>
      <c r="BE223" s="20">
        <v>0</v>
      </c>
      <c r="BF223" s="20">
        <v>0</v>
      </c>
      <c r="BG223" s="20">
        <v>0</v>
      </c>
      <c r="BH223" s="20">
        <v>0</v>
      </c>
      <c r="BI223" s="20">
        <v>0</v>
      </c>
      <c r="BJ223" s="20">
        <v>0</v>
      </c>
      <c r="BK223" s="20">
        <v>0</v>
      </c>
      <c r="BL223" s="20">
        <v>0</v>
      </c>
      <c r="BM223" s="20">
        <v>0</v>
      </c>
      <c r="BN223" s="20">
        <v>0</v>
      </c>
      <c r="BO223" s="20">
        <v>0</v>
      </c>
      <c r="BP223" s="20">
        <v>0</v>
      </c>
      <c r="BQ223" s="20">
        <v>0</v>
      </c>
      <c r="BR223" s="20">
        <v>0</v>
      </c>
      <c r="BS223" s="20">
        <v>0</v>
      </c>
      <c r="BT223" s="20">
        <v>0</v>
      </c>
      <c r="BU223" s="20">
        <v>0</v>
      </c>
      <c r="BV223" s="20">
        <v>0</v>
      </c>
      <c r="BW223" s="20">
        <v>0</v>
      </c>
      <c r="BX223" s="20">
        <v>0</v>
      </c>
      <c r="BY223" s="20">
        <v>0</v>
      </c>
      <c r="BZ223" s="20">
        <v>0</v>
      </c>
      <c r="CA223" s="20">
        <v>0</v>
      </c>
    </row>
    <row r="224" spans="1:79" x14ac:dyDescent="0.3">
      <c r="A224" s="19"/>
      <c r="B224" s="20" t="str">
        <f t="shared" si="38"/>
        <v>10840001</v>
      </c>
      <c r="C224" s="55">
        <f t="shared" si="76"/>
        <v>0</v>
      </c>
      <c r="D224" s="55">
        <f t="shared" si="77"/>
        <v>8</v>
      </c>
      <c r="E224" s="49">
        <v>1</v>
      </c>
      <c r="F224" s="20">
        <v>1</v>
      </c>
      <c r="G224" s="20">
        <v>8</v>
      </c>
      <c r="H224" s="20" t="str">
        <f t="shared" si="41"/>
        <v>Item_Name_10840001</v>
      </c>
      <c r="I224" s="20" t="s">
        <v>931</v>
      </c>
      <c r="J224" s="20">
        <v>0</v>
      </c>
      <c r="K224" s="20">
        <v>4</v>
      </c>
      <c r="L224" s="20">
        <v>0</v>
      </c>
      <c r="M224" s="20">
        <v>0</v>
      </c>
      <c r="N224" s="20">
        <v>15</v>
      </c>
      <c r="O224" s="20">
        <v>100</v>
      </c>
      <c r="P224" s="20">
        <v>1</v>
      </c>
      <c r="Q224" s="20" t="s">
        <v>247</v>
      </c>
      <c r="R224" s="20" t="s">
        <v>171</v>
      </c>
      <c r="S224" s="20" t="s">
        <v>328</v>
      </c>
      <c r="T224" s="20" t="s">
        <v>429</v>
      </c>
      <c r="U224" s="20">
        <v>0</v>
      </c>
      <c r="V224" s="20">
        <v>0</v>
      </c>
      <c r="W224" s="20">
        <v>23</v>
      </c>
      <c r="X224" s="20">
        <v>17</v>
      </c>
      <c r="Y224" s="20">
        <v>1001</v>
      </c>
      <c r="Z224" s="20">
        <v>0</v>
      </c>
      <c r="AA224" s="20">
        <v>0</v>
      </c>
      <c r="AB224" s="20">
        <v>0</v>
      </c>
      <c r="AC224" s="20">
        <v>0</v>
      </c>
      <c r="AD224" s="20">
        <v>0</v>
      </c>
      <c r="AE224" s="39">
        <v>0</v>
      </c>
      <c r="AF224" s="31">
        <v>0</v>
      </c>
      <c r="AG224" s="20">
        <v>0</v>
      </c>
      <c r="AH224" s="20">
        <v>0</v>
      </c>
      <c r="AI224" s="20">
        <v>0</v>
      </c>
      <c r="AJ224" s="20">
        <v>0</v>
      </c>
      <c r="AK224" s="20">
        <v>0</v>
      </c>
      <c r="AL224" s="20">
        <v>0</v>
      </c>
      <c r="AM224" s="20">
        <v>0</v>
      </c>
      <c r="AN224" s="20">
        <v>0</v>
      </c>
      <c r="AO224" s="20">
        <v>0</v>
      </c>
      <c r="AP224" s="20">
        <v>0</v>
      </c>
      <c r="AQ224" s="20">
        <v>0</v>
      </c>
      <c r="AR224" s="20">
        <v>0</v>
      </c>
      <c r="AS224" s="20">
        <v>0</v>
      </c>
      <c r="AT224" s="20">
        <v>0</v>
      </c>
      <c r="AU224" s="20">
        <v>0</v>
      </c>
      <c r="AV224" s="20">
        <v>0</v>
      </c>
      <c r="AW224" s="20">
        <v>0</v>
      </c>
      <c r="AX224" s="20">
        <v>0</v>
      </c>
      <c r="AY224" s="20">
        <v>0</v>
      </c>
      <c r="AZ224" s="20">
        <v>0</v>
      </c>
      <c r="BA224" s="20">
        <v>0</v>
      </c>
      <c r="BB224" s="20">
        <v>0</v>
      </c>
      <c r="BC224" s="20">
        <v>0</v>
      </c>
      <c r="BD224" s="20">
        <v>0</v>
      </c>
      <c r="BE224" s="20">
        <v>0</v>
      </c>
      <c r="BF224" s="20">
        <v>0</v>
      </c>
      <c r="BG224" s="20">
        <v>0</v>
      </c>
      <c r="BH224" s="20">
        <v>0</v>
      </c>
      <c r="BI224" s="20">
        <v>0</v>
      </c>
      <c r="BJ224" s="20">
        <v>0</v>
      </c>
      <c r="BK224" s="20">
        <v>0</v>
      </c>
      <c r="BL224" s="20">
        <v>0</v>
      </c>
      <c r="BM224" s="20">
        <v>0</v>
      </c>
      <c r="BN224" s="20">
        <v>0</v>
      </c>
      <c r="BO224" s="20">
        <v>0</v>
      </c>
      <c r="BP224" s="20">
        <v>0</v>
      </c>
      <c r="BQ224" s="20">
        <v>0</v>
      </c>
      <c r="BR224" s="20">
        <v>0</v>
      </c>
      <c r="BS224" s="20">
        <v>0</v>
      </c>
      <c r="BT224" s="20">
        <v>0</v>
      </c>
      <c r="BU224" s="20">
        <v>0</v>
      </c>
      <c r="BV224" s="20">
        <v>0</v>
      </c>
      <c r="BW224" s="20">
        <v>0</v>
      </c>
      <c r="BX224" s="20">
        <v>0</v>
      </c>
      <c r="BY224" s="20">
        <v>0</v>
      </c>
      <c r="BZ224" s="20">
        <v>0</v>
      </c>
      <c r="CA224" s="20">
        <v>0</v>
      </c>
    </row>
    <row r="225" spans="1:79" x14ac:dyDescent="0.3">
      <c r="A225" s="19"/>
      <c r="B225" s="20" t="str">
        <f t="shared" si="38"/>
        <v>10840002</v>
      </c>
      <c r="C225" s="55">
        <f t="shared" si="76"/>
        <v>0</v>
      </c>
      <c r="D225" s="55">
        <f t="shared" si="77"/>
        <v>8</v>
      </c>
      <c r="E225" s="49">
        <v>2</v>
      </c>
      <c r="F225" s="20">
        <v>1</v>
      </c>
      <c r="G225" s="20">
        <v>8</v>
      </c>
      <c r="H225" s="20" t="str">
        <f t="shared" si="41"/>
        <v>Item_Name_10840002</v>
      </c>
      <c r="I225" s="20" t="s">
        <v>932</v>
      </c>
      <c r="J225" s="20">
        <v>0</v>
      </c>
      <c r="K225" s="20">
        <v>4</v>
      </c>
      <c r="L225" s="20">
        <v>0</v>
      </c>
      <c r="M225" s="20">
        <v>0</v>
      </c>
      <c r="N225" s="20">
        <v>15</v>
      </c>
      <c r="O225" s="20">
        <v>100</v>
      </c>
      <c r="P225" s="20">
        <v>1</v>
      </c>
      <c r="Q225" s="20" t="s">
        <v>248</v>
      </c>
      <c r="R225" s="20" t="s">
        <v>171</v>
      </c>
      <c r="S225" s="20" t="s">
        <v>328</v>
      </c>
      <c r="T225" s="20" t="s">
        <v>429</v>
      </c>
      <c r="U225" s="20">
        <v>0</v>
      </c>
      <c r="V225" s="20">
        <v>0</v>
      </c>
      <c r="W225" s="20">
        <v>23</v>
      </c>
      <c r="X225" s="20">
        <v>17</v>
      </c>
      <c r="Y225" s="20">
        <v>1003</v>
      </c>
      <c r="Z225" s="20">
        <v>0</v>
      </c>
      <c r="AA225" s="20">
        <v>0</v>
      </c>
      <c r="AB225" s="20">
        <v>0</v>
      </c>
      <c r="AC225" s="20">
        <v>0</v>
      </c>
      <c r="AD225" s="20">
        <v>0</v>
      </c>
      <c r="AE225" s="39">
        <v>0</v>
      </c>
      <c r="AF225" s="31">
        <v>0</v>
      </c>
      <c r="AG225" s="20">
        <v>0</v>
      </c>
      <c r="AH225" s="20">
        <v>0</v>
      </c>
      <c r="AI225" s="20">
        <v>0</v>
      </c>
      <c r="AJ225" s="20">
        <v>0</v>
      </c>
      <c r="AK225" s="20">
        <v>0</v>
      </c>
      <c r="AL225" s="20">
        <v>0</v>
      </c>
      <c r="AM225" s="20">
        <v>0</v>
      </c>
      <c r="AN225" s="20">
        <v>0</v>
      </c>
      <c r="AO225" s="20">
        <v>0</v>
      </c>
      <c r="AP225" s="20">
        <v>0</v>
      </c>
      <c r="AQ225" s="20">
        <v>0</v>
      </c>
      <c r="AR225" s="20">
        <v>0</v>
      </c>
      <c r="AS225" s="20">
        <v>0</v>
      </c>
      <c r="AT225" s="20">
        <v>0</v>
      </c>
      <c r="AU225" s="20">
        <v>0</v>
      </c>
      <c r="AV225" s="20">
        <v>0</v>
      </c>
      <c r="AW225" s="20">
        <v>0</v>
      </c>
      <c r="AX225" s="20">
        <v>0</v>
      </c>
      <c r="AY225" s="20">
        <v>0</v>
      </c>
      <c r="AZ225" s="20">
        <v>0</v>
      </c>
      <c r="BA225" s="20">
        <v>0</v>
      </c>
      <c r="BB225" s="20">
        <v>0</v>
      </c>
      <c r="BC225" s="20">
        <v>0</v>
      </c>
      <c r="BD225" s="20">
        <v>0</v>
      </c>
      <c r="BE225" s="20">
        <v>0</v>
      </c>
      <c r="BF225" s="20">
        <v>0</v>
      </c>
      <c r="BG225" s="20">
        <v>0</v>
      </c>
      <c r="BH225" s="20">
        <v>0</v>
      </c>
      <c r="BI225" s="20">
        <v>0</v>
      </c>
      <c r="BJ225" s="20">
        <v>0</v>
      </c>
      <c r="BK225" s="20">
        <v>0</v>
      </c>
      <c r="BL225" s="20">
        <v>0</v>
      </c>
      <c r="BM225" s="20">
        <v>0</v>
      </c>
      <c r="BN225" s="20">
        <v>0</v>
      </c>
      <c r="BO225" s="20">
        <v>0</v>
      </c>
      <c r="BP225" s="20">
        <v>0</v>
      </c>
      <c r="BQ225" s="20">
        <v>0</v>
      </c>
      <c r="BR225" s="20">
        <v>0</v>
      </c>
      <c r="BS225" s="20">
        <v>0</v>
      </c>
      <c r="BT225" s="20">
        <v>0</v>
      </c>
      <c r="BU225" s="20">
        <v>0</v>
      </c>
      <c r="BV225" s="20">
        <v>0</v>
      </c>
      <c r="BW225" s="20">
        <v>0</v>
      </c>
      <c r="BX225" s="20">
        <v>0</v>
      </c>
      <c r="BY225" s="20">
        <v>0</v>
      </c>
      <c r="BZ225" s="20">
        <v>0</v>
      </c>
      <c r="CA225" s="20">
        <v>0</v>
      </c>
    </row>
    <row r="226" spans="1:79" x14ac:dyDescent="0.3">
      <c r="A226" s="19"/>
      <c r="B226" s="20" t="str">
        <f t="shared" si="38"/>
        <v>10840003</v>
      </c>
      <c r="C226" s="55">
        <f t="shared" si="76"/>
        <v>0</v>
      </c>
      <c r="D226" s="55">
        <f t="shared" si="77"/>
        <v>8</v>
      </c>
      <c r="E226" s="49">
        <v>3</v>
      </c>
      <c r="F226" s="20">
        <v>1</v>
      </c>
      <c r="G226" s="20">
        <v>8</v>
      </c>
      <c r="H226" s="20" t="str">
        <f t="shared" si="41"/>
        <v>Item_Name_10840003</v>
      </c>
      <c r="I226" s="20" t="s">
        <v>933</v>
      </c>
      <c r="J226" s="20">
        <v>0</v>
      </c>
      <c r="K226" s="20">
        <v>4</v>
      </c>
      <c r="L226" s="20">
        <v>0</v>
      </c>
      <c r="M226" s="20">
        <v>0</v>
      </c>
      <c r="N226" s="20">
        <v>15</v>
      </c>
      <c r="O226" s="20">
        <v>100</v>
      </c>
      <c r="P226" s="20">
        <v>1</v>
      </c>
      <c r="Q226" s="20" t="s">
        <v>249</v>
      </c>
      <c r="R226" s="20" t="s">
        <v>171</v>
      </c>
      <c r="S226" s="20" t="s">
        <v>328</v>
      </c>
      <c r="T226" s="20" t="s">
        <v>429</v>
      </c>
      <c r="U226" s="20">
        <v>0</v>
      </c>
      <c r="V226" s="20">
        <v>0</v>
      </c>
      <c r="W226" s="20">
        <v>23</v>
      </c>
      <c r="X226" s="20">
        <v>17</v>
      </c>
      <c r="Y226" s="20">
        <v>1002</v>
      </c>
      <c r="Z226" s="20">
        <v>0</v>
      </c>
      <c r="AA226" s="20">
        <v>0</v>
      </c>
      <c r="AB226" s="20">
        <v>0</v>
      </c>
      <c r="AC226" s="20">
        <v>0</v>
      </c>
      <c r="AD226" s="20">
        <v>0</v>
      </c>
      <c r="AE226" s="39">
        <v>0</v>
      </c>
      <c r="AF226" s="31">
        <v>0</v>
      </c>
      <c r="AG226" s="20">
        <v>0</v>
      </c>
      <c r="AH226" s="20">
        <v>0</v>
      </c>
      <c r="AI226" s="20">
        <v>0</v>
      </c>
      <c r="AJ226" s="20">
        <v>0</v>
      </c>
      <c r="AK226" s="20">
        <v>0</v>
      </c>
      <c r="AL226" s="20">
        <v>0</v>
      </c>
      <c r="AM226" s="20">
        <v>0</v>
      </c>
      <c r="AN226" s="20">
        <v>0</v>
      </c>
      <c r="AO226" s="20">
        <v>0</v>
      </c>
      <c r="AP226" s="20">
        <v>0</v>
      </c>
      <c r="AQ226" s="20">
        <v>0</v>
      </c>
      <c r="AR226" s="20">
        <v>0</v>
      </c>
      <c r="AS226" s="20">
        <v>0</v>
      </c>
      <c r="AT226" s="20">
        <v>0</v>
      </c>
      <c r="AU226" s="20">
        <v>0</v>
      </c>
      <c r="AV226" s="20">
        <v>0</v>
      </c>
      <c r="AW226" s="20">
        <v>0</v>
      </c>
      <c r="AX226" s="20">
        <v>0</v>
      </c>
      <c r="AY226" s="20">
        <v>0</v>
      </c>
      <c r="AZ226" s="20">
        <v>0</v>
      </c>
      <c r="BA226" s="20">
        <v>0</v>
      </c>
      <c r="BB226" s="20">
        <v>0</v>
      </c>
      <c r="BC226" s="20">
        <v>0</v>
      </c>
      <c r="BD226" s="20">
        <v>0</v>
      </c>
      <c r="BE226" s="20">
        <v>0</v>
      </c>
      <c r="BF226" s="20">
        <v>0</v>
      </c>
      <c r="BG226" s="20">
        <v>0</v>
      </c>
      <c r="BH226" s="20">
        <v>0</v>
      </c>
      <c r="BI226" s="20">
        <v>0</v>
      </c>
      <c r="BJ226" s="20">
        <v>0</v>
      </c>
      <c r="BK226" s="20">
        <v>0</v>
      </c>
      <c r="BL226" s="20">
        <v>0</v>
      </c>
      <c r="BM226" s="20">
        <v>0</v>
      </c>
      <c r="BN226" s="20">
        <v>0</v>
      </c>
      <c r="BO226" s="20">
        <v>0</v>
      </c>
      <c r="BP226" s="20">
        <v>0</v>
      </c>
      <c r="BQ226" s="20">
        <v>0</v>
      </c>
      <c r="BR226" s="20">
        <v>0</v>
      </c>
      <c r="BS226" s="20">
        <v>0</v>
      </c>
      <c r="BT226" s="20">
        <v>0</v>
      </c>
      <c r="BU226" s="20">
        <v>0</v>
      </c>
      <c r="BV226" s="20">
        <v>0</v>
      </c>
      <c r="BW226" s="20">
        <v>0</v>
      </c>
      <c r="BX226" s="20">
        <v>0</v>
      </c>
      <c r="BY226" s="20">
        <v>0</v>
      </c>
      <c r="BZ226" s="20">
        <v>0</v>
      </c>
      <c r="CA226" s="20">
        <v>0</v>
      </c>
    </row>
    <row r="227" spans="1:79" x14ac:dyDescent="0.3">
      <c r="A227" s="19"/>
      <c r="B227" s="20" t="str">
        <f t="shared" si="38"/>
        <v>10840004</v>
      </c>
      <c r="C227" s="55">
        <f t="shared" si="76"/>
        <v>0</v>
      </c>
      <c r="D227" s="55">
        <f t="shared" si="77"/>
        <v>8</v>
      </c>
      <c r="E227" s="49">
        <v>4</v>
      </c>
      <c r="F227" s="20">
        <v>1</v>
      </c>
      <c r="G227" s="20">
        <v>8</v>
      </c>
      <c r="H227" s="20" t="str">
        <f t="shared" si="41"/>
        <v>Item_Name_10840004</v>
      </c>
      <c r="I227" s="20" t="s">
        <v>934</v>
      </c>
      <c r="J227" s="20">
        <v>0</v>
      </c>
      <c r="K227" s="20">
        <v>4</v>
      </c>
      <c r="L227" s="20">
        <v>0</v>
      </c>
      <c r="M227" s="20">
        <v>0</v>
      </c>
      <c r="N227" s="20">
        <v>15</v>
      </c>
      <c r="O227" s="20">
        <v>100</v>
      </c>
      <c r="P227" s="20">
        <v>1</v>
      </c>
      <c r="Q227" s="20" t="s">
        <v>250</v>
      </c>
      <c r="R227" s="20" t="s">
        <v>171</v>
      </c>
      <c r="S227" s="20" t="s">
        <v>328</v>
      </c>
      <c r="T227" s="20" t="s">
        <v>429</v>
      </c>
      <c r="U227" s="20">
        <v>0</v>
      </c>
      <c r="V227" s="20">
        <v>0</v>
      </c>
      <c r="W227" s="20">
        <v>23</v>
      </c>
      <c r="X227" s="20">
        <v>17</v>
      </c>
      <c r="Y227" s="20">
        <v>1004</v>
      </c>
      <c r="Z227" s="20">
        <v>0</v>
      </c>
      <c r="AA227" s="20">
        <v>0</v>
      </c>
      <c r="AB227" s="20">
        <v>0</v>
      </c>
      <c r="AC227" s="20">
        <v>0</v>
      </c>
      <c r="AD227" s="20">
        <v>0</v>
      </c>
      <c r="AE227" s="39">
        <v>0</v>
      </c>
      <c r="AF227" s="31">
        <v>0</v>
      </c>
      <c r="AG227" s="20">
        <v>0</v>
      </c>
      <c r="AH227" s="20">
        <v>0</v>
      </c>
      <c r="AI227" s="20">
        <v>0</v>
      </c>
      <c r="AJ227" s="20">
        <v>0</v>
      </c>
      <c r="AK227" s="20">
        <v>0</v>
      </c>
      <c r="AL227" s="20">
        <v>0</v>
      </c>
      <c r="AM227" s="20">
        <v>0</v>
      </c>
      <c r="AN227" s="20">
        <v>0</v>
      </c>
      <c r="AO227" s="20">
        <v>0</v>
      </c>
      <c r="AP227" s="20">
        <v>0</v>
      </c>
      <c r="AQ227" s="20">
        <v>0</v>
      </c>
      <c r="AR227" s="20">
        <v>0</v>
      </c>
      <c r="AS227" s="20">
        <v>0</v>
      </c>
      <c r="AT227" s="20">
        <v>0</v>
      </c>
      <c r="AU227" s="20">
        <v>0</v>
      </c>
      <c r="AV227" s="20">
        <v>0</v>
      </c>
      <c r="AW227" s="20">
        <v>0</v>
      </c>
      <c r="AX227" s="20">
        <v>0</v>
      </c>
      <c r="AY227" s="20">
        <v>0</v>
      </c>
      <c r="AZ227" s="20">
        <v>0</v>
      </c>
      <c r="BA227" s="20">
        <v>0</v>
      </c>
      <c r="BB227" s="20">
        <v>0</v>
      </c>
      <c r="BC227" s="20">
        <v>0</v>
      </c>
      <c r="BD227" s="20">
        <v>0</v>
      </c>
      <c r="BE227" s="20">
        <v>0</v>
      </c>
      <c r="BF227" s="20">
        <v>0</v>
      </c>
      <c r="BG227" s="20">
        <v>0</v>
      </c>
      <c r="BH227" s="20">
        <v>0</v>
      </c>
      <c r="BI227" s="20">
        <v>0</v>
      </c>
      <c r="BJ227" s="20">
        <v>0</v>
      </c>
      <c r="BK227" s="20">
        <v>0</v>
      </c>
      <c r="BL227" s="20">
        <v>0</v>
      </c>
      <c r="BM227" s="20">
        <v>0</v>
      </c>
      <c r="BN227" s="20">
        <v>0</v>
      </c>
      <c r="BO227" s="20">
        <v>0</v>
      </c>
      <c r="BP227" s="20">
        <v>0</v>
      </c>
      <c r="BQ227" s="20">
        <v>0</v>
      </c>
      <c r="BR227" s="20">
        <v>0</v>
      </c>
      <c r="BS227" s="20">
        <v>0</v>
      </c>
      <c r="BT227" s="20">
        <v>0</v>
      </c>
      <c r="BU227" s="20">
        <v>0</v>
      </c>
      <c r="BV227" s="20">
        <v>0</v>
      </c>
      <c r="BW227" s="20">
        <v>0</v>
      </c>
      <c r="BX227" s="20">
        <v>0</v>
      </c>
      <c r="BY227" s="20">
        <v>0</v>
      </c>
      <c r="BZ227" s="20">
        <v>0</v>
      </c>
      <c r="CA227" s="20">
        <v>0</v>
      </c>
    </row>
    <row r="228" spans="1:79" x14ac:dyDescent="0.3">
      <c r="A228" s="19"/>
      <c r="B228" s="20" t="str">
        <f t="shared" si="38"/>
        <v>10840005</v>
      </c>
      <c r="C228" s="55">
        <f t="shared" si="76"/>
        <v>0</v>
      </c>
      <c r="D228" s="55">
        <f t="shared" si="77"/>
        <v>8</v>
      </c>
      <c r="E228" s="49">
        <v>5</v>
      </c>
      <c r="F228" s="20">
        <v>1</v>
      </c>
      <c r="G228" s="20">
        <v>8</v>
      </c>
      <c r="H228" s="20" t="str">
        <f t="shared" si="41"/>
        <v>Item_Name_10840005</v>
      </c>
      <c r="I228" s="20" t="s">
        <v>935</v>
      </c>
      <c r="J228" s="20">
        <v>0</v>
      </c>
      <c r="K228" s="20">
        <v>4</v>
      </c>
      <c r="L228" s="20">
        <v>0</v>
      </c>
      <c r="M228" s="20">
        <v>0</v>
      </c>
      <c r="N228" s="20">
        <v>15</v>
      </c>
      <c r="O228" s="20">
        <v>100</v>
      </c>
      <c r="P228" s="20">
        <v>1</v>
      </c>
      <c r="Q228" s="20" t="s">
        <v>251</v>
      </c>
      <c r="R228" s="20" t="s">
        <v>171</v>
      </c>
      <c r="S228" s="20" t="s">
        <v>328</v>
      </c>
      <c r="T228" s="20" t="s">
        <v>429</v>
      </c>
      <c r="U228" s="20">
        <v>0</v>
      </c>
      <c r="V228" s="20">
        <v>0</v>
      </c>
      <c r="W228" s="20">
        <v>23</v>
      </c>
      <c r="X228" s="20">
        <v>17</v>
      </c>
      <c r="Y228" s="20">
        <v>1004</v>
      </c>
      <c r="Z228" s="20">
        <v>0</v>
      </c>
      <c r="AA228" s="20">
        <v>0</v>
      </c>
      <c r="AB228" s="20">
        <v>0</v>
      </c>
      <c r="AC228" s="20">
        <v>0</v>
      </c>
      <c r="AD228" s="20">
        <v>0</v>
      </c>
      <c r="AE228" s="39">
        <v>0</v>
      </c>
      <c r="AF228" s="31">
        <v>0</v>
      </c>
      <c r="AG228" s="20">
        <v>0</v>
      </c>
      <c r="AH228" s="20">
        <v>0</v>
      </c>
      <c r="AI228" s="20">
        <v>0</v>
      </c>
      <c r="AJ228" s="20">
        <v>0</v>
      </c>
      <c r="AK228" s="20">
        <v>0</v>
      </c>
      <c r="AL228" s="20">
        <v>0</v>
      </c>
      <c r="AM228" s="20">
        <v>0</v>
      </c>
      <c r="AN228" s="20">
        <v>0</v>
      </c>
      <c r="AO228" s="20">
        <v>0</v>
      </c>
      <c r="AP228" s="20">
        <v>0</v>
      </c>
      <c r="AQ228" s="20">
        <v>0</v>
      </c>
      <c r="AR228" s="20">
        <v>0</v>
      </c>
      <c r="AS228" s="20">
        <v>0</v>
      </c>
      <c r="AT228" s="20">
        <v>0</v>
      </c>
      <c r="AU228" s="20">
        <v>0</v>
      </c>
      <c r="AV228" s="20">
        <v>0</v>
      </c>
      <c r="AW228" s="20">
        <v>0</v>
      </c>
      <c r="AX228" s="20">
        <v>0</v>
      </c>
      <c r="AY228" s="20">
        <v>0</v>
      </c>
      <c r="AZ228" s="20">
        <v>0</v>
      </c>
      <c r="BA228" s="20">
        <v>0</v>
      </c>
      <c r="BB228" s="20">
        <v>0</v>
      </c>
      <c r="BC228" s="20">
        <v>0</v>
      </c>
      <c r="BD228" s="20">
        <v>0</v>
      </c>
      <c r="BE228" s="20">
        <v>0</v>
      </c>
      <c r="BF228" s="20">
        <v>0</v>
      </c>
      <c r="BG228" s="20">
        <v>0</v>
      </c>
      <c r="BH228" s="20">
        <v>0</v>
      </c>
      <c r="BI228" s="20">
        <v>0</v>
      </c>
      <c r="BJ228" s="20">
        <v>0</v>
      </c>
      <c r="BK228" s="20">
        <v>0</v>
      </c>
      <c r="BL228" s="20">
        <v>0</v>
      </c>
      <c r="BM228" s="20">
        <v>0</v>
      </c>
      <c r="BN228" s="20">
        <v>0</v>
      </c>
      <c r="BO228" s="20">
        <v>0</v>
      </c>
      <c r="BP228" s="20">
        <v>0</v>
      </c>
      <c r="BQ228" s="20">
        <v>0</v>
      </c>
      <c r="BR228" s="20">
        <v>0</v>
      </c>
      <c r="BS228" s="20">
        <v>0</v>
      </c>
      <c r="BT228" s="20">
        <v>0</v>
      </c>
      <c r="BU228" s="20">
        <v>0</v>
      </c>
      <c r="BV228" s="20">
        <v>0</v>
      </c>
      <c r="BW228" s="20">
        <v>0</v>
      </c>
      <c r="BX228" s="20">
        <v>0</v>
      </c>
      <c r="BY228" s="20">
        <v>0</v>
      </c>
      <c r="BZ228" s="20">
        <v>0</v>
      </c>
      <c r="CA228" s="20">
        <v>0</v>
      </c>
    </row>
    <row r="229" spans="1:79" x14ac:dyDescent="0.3">
      <c r="A229" s="19"/>
      <c r="B229" s="20" t="str">
        <f t="shared" si="38"/>
        <v>10840006</v>
      </c>
      <c r="C229" s="55">
        <f t="shared" si="76"/>
        <v>0</v>
      </c>
      <c r="D229" s="55">
        <f t="shared" si="77"/>
        <v>8</v>
      </c>
      <c r="E229" s="49">
        <v>6</v>
      </c>
      <c r="F229" s="20">
        <v>1</v>
      </c>
      <c r="G229" s="20">
        <v>8</v>
      </c>
      <c r="H229" s="20" t="str">
        <f t="shared" si="41"/>
        <v>Item_Name_10840006</v>
      </c>
      <c r="I229" s="20" t="s">
        <v>936</v>
      </c>
      <c r="J229" s="20">
        <v>0</v>
      </c>
      <c r="K229" s="20">
        <v>4</v>
      </c>
      <c r="L229" s="20">
        <v>0</v>
      </c>
      <c r="M229" s="20">
        <v>0</v>
      </c>
      <c r="N229" s="20">
        <v>15</v>
      </c>
      <c r="O229" s="20">
        <v>100</v>
      </c>
      <c r="P229" s="20">
        <v>1</v>
      </c>
      <c r="Q229" s="20" t="s">
        <v>252</v>
      </c>
      <c r="R229" s="20" t="s">
        <v>171</v>
      </c>
      <c r="S229" s="20" t="s">
        <v>328</v>
      </c>
      <c r="T229" s="20" t="s">
        <v>429</v>
      </c>
      <c r="U229" s="20">
        <v>0</v>
      </c>
      <c r="V229" s="20">
        <v>0</v>
      </c>
      <c r="W229" s="20">
        <v>23</v>
      </c>
      <c r="X229" s="20">
        <v>17</v>
      </c>
      <c r="Y229" s="20">
        <v>1004</v>
      </c>
      <c r="Z229" s="20">
        <v>0</v>
      </c>
      <c r="AA229" s="20">
        <v>0</v>
      </c>
      <c r="AB229" s="20">
        <v>0</v>
      </c>
      <c r="AC229" s="20">
        <v>0</v>
      </c>
      <c r="AD229" s="20">
        <v>0</v>
      </c>
      <c r="AE229" s="39">
        <v>0</v>
      </c>
      <c r="AF229" s="31">
        <v>0</v>
      </c>
      <c r="AG229" s="20">
        <v>0</v>
      </c>
      <c r="AH229" s="20">
        <v>0</v>
      </c>
      <c r="AI229" s="20">
        <v>0</v>
      </c>
      <c r="AJ229" s="20">
        <v>0</v>
      </c>
      <c r="AK229" s="20">
        <v>0</v>
      </c>
      <c r="AL229" s="20">
        <v>0</v>
      </c>
      <c r="AM229" s="20">
        <v>0</v>
      </c>
      <c r="AN229" s="20">
        <v>0</v>
      </c>
      <c r="AO229" s="20">
        <v>0</v>
      </c>
      <c r="AP229" s="20">
        <v>0</v>
      </c>
      <c r="AQ229" s="20">
        <v>0</v>
      </c>
      <c r="AR229" s="20">
        <v>0</v>
      </c>
      <c r="AS229" s="20">
        <v>0</v>
      </c>
      <c r="AT229" s="20">
        <v>0</v>
      </c>
      <c r="AU229" s="20">
        <v>0</v>
      </c>
      <c r="AV229" s="20">
        <v>0</v>
      </c>
      <c r="AW229" s="20">
        <v>0</v>
      </c>
      <c r="AX229" s="20">
        <v>0</v>
      </c>
      <c r="AY229" s="20">
        <v>0</v>
      </c>
      <c r="AZ229" s="20">
        <v>0</v>
      </c>
      <c r="BA229" s="20">
        <v>0</v>
      </c>
      <c r="BB229" s="20">
        <v>0</v>
      </c>
      <c r="BC229" s="20">
        <v>0</v>
      </c>
      <c r="BD229" s="20">
        <v>0</v>
      </c>
      <c r="BE229" s="20">
        <v>0</v>
      </c>
      <c r="BF229" s="20">
        <v>0</v>
      </c>
      <c r="BG229" s="20">
        <v>0</v>
      </c>
      <c r="BH229" s="20">
        <v>0</v>
      </c>
      <c r="BI229" s="20">
        <v>0</v>
      </c>
      <c r="BJ229" s="20">
        <v>0</v>
      </c>
      <c r="BK229" s="20">
        <v>0</v>
      </c>
      <c r="BL229" s="20">
        <v>0</v>
      </c>
      <c r="BM229" s="20">
        <v>0</v>
      </c>
      <c r="BN229" s="20">
        <v>0</v>
      </c>
      <c r="BO229" s="20">
        <v>0</v>
      </c>
      <c r="BP229" s="20">
        <v>0</v>
      </c>
      <c r="BQ229" s="20">
        <v>0</v>
      </c>
      <c r="BR229" s="20">
        <v>0</v>
      </c>
      <c r="BS229" s="20">
        <v>0</v>
      </c>
      <c r="BT229" s="20">
        <v>0</v>
      </c>
      <c r="BU229" s="20">
        <v>0</v>
      </c>
      <c r="BV229" s="20">
        <v>0</v>
      </c>
      <c r="BW229" s="20">
        <v>0</v>
      </c>
      <c r="BX229" s="20">
        <v>0</v>
      </c>
      <c r="BY229" s="20">
        <v>0</v>
      </c>
      <c r="BZ229" s="20">
        <v>0</v>
      </c>
      <c r="CA229" s="20">
        <v>0</v>
      </c>
    </row>
    <row r="230" spans="1:79" x14ac:dyDescent="0.3">
      <c r="A230" s="19"/>
      <c r="B230" s="20" t="str">
        <f t="shared" si="38"/>
        <v>10840007</v>
      </c>
      <c r="C230" s="55">
        <f t="shared" si="76"/>
        <v>0</v>
      </c>
      <c r="D230" s="55">
        <f t="shared" si="77"/>
        <v>8</v>
      </c>
      <c r="E230" s="49">
        <v>7</v>
      </c>
      <c r="F230" s="20">
        <v>1</v>
      </c>
      <c r="G230" s="20">
        <v>8</v>
      </c>
      <c r="H230" s="20" t="str">
        <f t="shared" si="41"/>
        <v>Item_Name_10840007</v>
      </c>
      <c r="I230" s="20" t="s">
        <v>937</v>
      </c>
      <c r="J230" s="20">
        <v>0</v>
      </c>
      <c r="K230" s="20">
        <v>4</v>
      </c>
      <c r="L230" s="20">
        <v>0</v>
      </c>
      <c r="M230" s="20">
        <v>0</v>
      </c>
      <c r="N230" s="20">
        <v>15</v>
      </c>
      <c r="O230" s="20">
        <v>100</v>
      </c>
      <c r="P230" s="20">
        <v>1</v>
      </c>
      <c r="Q230" s="20" t="s">
        <v>253</v>
      </c>
      <c r="R230" s="20" t="s">
        <v>171</v>
      </c>
      <c r="S230" s="20" t="s">
        <v>328</v>
      </c>
      <c r="T230" s="20" t="s">
        <v>429</v>
      </c>
      <c r="U230" s="20">
        <v>0</v>
      </c>
      <c r="V230" s="20">
        <v>0</v>
      </c>
      <c r="W230" s="20">
        <v>23</v>
      </c>
      <c r="X230" s="20">
        <v>17</v>
      </c>
      <c r="Y230" s="20">
        <v>1005</v>
      </c>
      <c r="Z230" s="20">
        <v>0</v>
      </c>
      <c r="AA230" s="20">
        <v>0</v>
      </c>
      <c r="AB230" s="20">
        <v>0</v>
      </c>
      <c r="AC230" s="20">
        <v>0</v>
      </c>
      <c r="AD230" s="20">
        <v>0</v>
      </c>
      <c r="AE230" s="39">
        <v>0</v>
      </c>
      <c r="AF230" s="31">
        <v>0</v>
      </c>
      <c r="AG230" s="20">
        <v>0</v>
      </c>
      <c r="AH230" s="20">
        <v>0</v>
      </c>
      <c r="AI230" s="20">
        <v>0</v>
      </c>
      <c r="AJ230" s="20">
        <v>0</v>
      </c>
      <c r="AK230" s="20">
        <v>0</v>
      </c>
      <c r="AL230" s="20">
        <v>0</v>
      </c>
      <c r="AM230" s="20">
        <v>0</v>
      </c>
      <c r="AN230" s="20">
        <v>0</v>
      </c>
      <c r="AO230" s="20">
        <v>0</v>
      </c>
      <c r="AP230" s="20">
        <v>0</v>
      </c>
      <c r="AQ230" s="20">
        <v>0</v>
      </c>
      <c r="AR230" s="20">
        <v>0</v>
      </c>
      <c r="AS230" s="20">
        <v>0</v>
      </c>
      <c r="AT230" s="20">
        <v>0</v>
      </c>
      <c r="AU230" s="20">
        <v>0</v>
      </c>
      <c r="AV230" s="20">
        <v>0</v>
      </c>
      <c r="AW230" s="20">
        <v>0</v>
      </c>
      <c r="AX230" s="20">
        <v>0</v>
      </c>
      <c r="AY230" s="20">
        <v>0</v>
      </c>
      <c r="AZ230" s="20">
        <v>0</v>
      </c>
      <c r="BA230" s="20">
        <v>0</v>
      </c>
      <c r="BB230" s="20">
        <v>0</v>
      </c>
      <c r="BC230" s="20">
        <v>0</v>
      </c>
      <c r="BD230" s="20">
        <v>0</v>
      </c>
      <c r="BE230" s="20">
        <v>0</v>
      </c>
      <c r="BF230" s="20">
        <v>0</v>
      </c>
      <c r="BG230" s="20">
        <v>0</v>
      </c>
      <c r="BH230" s="20">
        <v>0</v>
      </c>
      <c r="BI230" s="20">
        <v>0</v>
      </c>
      <c r="BJ230" s="20">
        <v>0</v>
      </c>
      <c r="BK230" s="20">
        <v>0</v>
      </c>
      <c r="BL230" s="20">
        <v>0</v>
      </c>
      <c r="BM230" s="20">
        <v>0</v>
      </c>
      <c r="BN230" s="20">
        <v>0</v>
      </c>
      <c r="BO230" s="20">
        <v>0</v>
      </c>
      <c r="BP230" s="20">
        <v>0</v>
      </c>
      <c r="BQ230" s="20">
        <v>0</v>
      </c>
      <c r="BR230" s="20">
        <v>0</v>
      </c>
      <c r="BS230" s="20">
        <v>0</v>
      </c>
      <c r="BT230" s="20">
        <v>0</v>
      </c>
      <c r="BU230" s="20">
        <v>0</v>
      </c>
      <c r="BV230" s="20">
        <v>0</v>
      </c>
      <c r="BW230" s="20">
        <v>0</v>
      </c>
      <c r="BX230" s="20">
        <v>0</v>
      </c>
      <c r="BY230" s="20">
        <v>0</v>
      </c>
      <c r="BZ230" s="20">
        <v>0</v>
      </c>
      <c r="CA230" s="20">
        <v>0</v>
      </c>
    </row>
    <row r="231" spans="1:79" x14ac:dyDescent="0.3">
      <c r="A231" s="19"/>
      <c r="B231" s="20" t="str">
        <f t="shared" si="38"/>
        <v>10840008</v>
      </c>
      <c r="C231" s="55">
        <f t="shared" si="76"/>
        <v>0</v>
      </c>
      <c r="D231" s="55">
        <f t="shared" si="77"/>
        <v>8</v>
      </c>
      <c r="E231" s="49">
        <v>8</v>
      </c>
      <c r="F231" s="20">
        <v>1</v>
      </c>
      <c r="G231" s="20">
        <v>8</v>
      </c>
      <c r="H231" s="20" t="str">
        <f t="shared" si="41"/>
        <v>Item_Name_10840008</v>
      </c>
      <c r="I231" s="20" t="s">
        <v>938</v>
      </c>
      <c r="J231" s="20">
        <v>0</v>
      </c>
      <c r="K231" s="20">
        <v>4</v>
      </c>
      <c r="L231" s="20">
        <v>0</v>
      </c>
      <c r="M231" s="20">
        <v>0</v>
      </c>
      <c r="N231" s="20">
        <v>15</v>
      </c>
      <c r="O231" s="20">
        <v>100</v>
      </c>
      <c r="P231" s="20">
        <v>1</v>
      </c>
      <c r="Q231" s="20" t="s">
        <v>254</v>
      </c>
      <c r="R231" s="20" t="s">
        <v>171</v>
      </c>
      <c r="S231" s="20" t="s">
        <v>328</v>
      </c>
      <c r="T231" s="20" t="s">
        <v>429</v>
      </c>
      <c r="U231" s="20">
        <v>0</v>
      </c>
      <c r="V231" s="20">
        <v>0</v>
      </c>
      <c r="W231" s="20">
        <v>23</v>
      </c>
      <c r="X231" s="20">
        <v>17</v>
      </c>
      <c r="Y231" s="20">
        <v>1007</v>
      </c>
      <c r="Z231" s="20">
        <v>0</v>
      </c>
      <c r="AA231" s="20">
        <v>0</v>
      </c>
      <c r="AB231" s="20">
        <v>0</v>
      </c>
      <c r="AC231" s="20">
        <v>0</v>
      </c>
      <c r="AD231" s="20">
        <v>0</v>
      </c>
      <c r="AE231" s="39">
        <v>0</v>
      </c>
      <c r="AF231" s="31">
        <v>0</v>
      </c>
      <c r="AG231" s="20">
        <v>0</v>
      </c>
      <c r="AH231" s="20">
        <v>0</v>
      </c>
      <c r="AI231" s="20">
        <v>0</v>
      </c>
      <c r="AJ231" s="20">
        <v>0</v>
      </c>
      <c r="AK231" s="20">
        <v>0</v>
      </c>
      <c r="AL231" s="20">
        <v>0</v>
      </c>
      <c r="AM231" s="20">
        <v>0</v>
      </c>
      <c r="AN231" s="20">
        <v>0</v>
      </c>
      <c r="AO231" s="20">
        <v>0</v>
      </c>
      <c r="AP231" s="20">
        <v>0</v>
      </c>
      <c r="AQ231" s="20">
        <v>0</v>
      </c>
      <c r="AR231" s="20">
        <v>0</v>
      </c>
      <c r="AS231" s="20">
        <v>0</v>
      </c>
      <c r="AT231" s="20">
        <v>0</v>
      </c>
      <c r="AU231" s="20">
        <v>0</v>
      </c>
      <c r="AV231" s="20">
        <v>0</v>
      </c>
      <c r="AW231" s="20">
        <v>0</v>
      </c>
      <c r="AX231" s="20">
        <v>0</v>
      </c>
      <c r="AY231" s="20">
        <v>0</v>
      </c>
      <c r="AZ231" s="20">
        <v>0</v>
      </c>
      <c r="BA231" s="20">
        <v>0</v>
      </c>
      <c r="BB231" s="20">
        <v>0</v>
      </c>
      <c r="BC231" s="20">
        <v>0</v>
      </c>
      <c r="BD231" s="20">
        <v>0</v>
      </c>
      <c r="BE231" s="20">
        <v>0</v>
      </c>
      <c r="BF231" s="20">
        <v>0</v>
      </c>
      <c r="BG231" s="20">
        <v>0</v>
      </c>
      <c r="BH231" s="20">
        <v>0</v>
      </c>
      <c r="BI231" s="20">
        <v>0</v>
      </c>
      <c r="BJ231" s="20">
        <v>0</v>
      </c>
      <c r="BK231" s="20">
        <v>0</v>
      </c>
      <c r="BL231" s="20">
        <v>0</v>
      </c>
      <c r="BM231" s="20">
        <v>0</v>
      </c>
      <c r="BN231" s="20">
        <v>0</v>
      </c>
      <c r="BO231" s="20">
        <v>0</v>
      </c>
      <c r="BP231" s="20">
        <v>0</v>
      </c>
      <c r="BQ231" s="20">
        <v>0</v>
      </c>
      <c r="BR231" s="20">
        <v>0</v>
      </c>
      <c r="BS231" s="20">
        <v>0</v>
      </c>
      <c r="BT231" s="20">
        <v>0</v>
      </c>
      <c r="BU231" s="20">
        <v>0</v>
      </c>
      <c r="BV231" s="20">
        <v>0</v>
      </c>
      <c r="BW231" s="20">
        <v>0</v>
      </c>
      <c r="BX231" s="20">
        <v>0</v>
      </c>
      <c r="BY231" s="20">
        <v>0</v>
      </c>
      <c r="BZ231" s="20">
        <v>0</v>
      </c>
      <c r="CA231" s="20">
        <v>0</v>
      </c>
    </row>
    <row r="232" spans="1:79" x14ac:dyDescent="0.3">
      <c r="A232" s="19"/>
      <c r="B232" s="20" t="str">
        <f t="shared" si="38"/>
        <v>10840009</v>
      </c>
      <c r="C232" s="55">
        <f t="shared" si="76"/>
        <v>0</v>
      </c>
      <c r="D232" s="55">
        <f t="shared" si="77"/>
        <v>8</v>
      </c>
      <c r="E232" s="49">
        <v>9</v>
      </c>
      <c r="F232" s="20">
        <v>1</v>
      </c>
      <c r="G232" s="20">
        <v>8</v>
      </c>
      <c r="H232" s="20" t="str">
        <f t="shared" si="41"/>
        <v>Item_Name_10840009</v>
      </c>
      <c r="I232" s="20" t="s">
        <v>939</v>
      </c>
      <c r="J232" s="20">
        <v>0</v>
      </c>
      <c r="K232" s="20">
        <v>4</v>
      </c>
      <c r="L232" s="20">
        <v>0</v>
      </c>
      <c r="M232" s="20">
        <v>0</v>
      </c>
      <c r="N232" s="20">
        <v>15</v>
      </c>
      <c r="O232" s="20">
        <v>100</v>
      </c>
      <c r="P232" s="20">
        <v>1</v>
      </c>
      <c r="Q232" s="20" t="s">
        <v>255</v>
      </c>
      <c r="R232" s="20" t="s">
        <v>171</v>
      </c>
      <c r="S232" s="20" t="s">
        <v>328</v>
      </c>
      <c r="T232" s="20" t="s">
        <v>429</v>
      </c>
      <c r="U232" s="20">
        <v>0</v>
      </c>
      <c r="V232" s="20">
        <v>0</v>
      </c>
      <c r="W232" s="20">
        <v>23</v>
      </c>
      <c r="X232" s="20">
        <v>17</v>
      </c>
      <c r="Y232" s="20">
        <v>1006</v>
      </c>
      <c r="Z232" s="20">
        <v>0</v>
      </c>
      <c r="AA232" s="20">
        <v>0</v>
      </c>
      <c r="AB232" s="20">
        <v>0</v>
      </c>
      <c r="AC232" s="20">
        <v>0</v>
      </c>
      <c r="AD232" s="20">
        <v>0</v>
      </c>
      <c r="AE232" s="39">
        <v>0</v>
      </c>
      <c r="AF232" s="31">
        <v>0</v>
      </c>
      <c r="AG232" s="20">
        <v>0</v>
      </c>
      <c r="AH232" s="20">
        <v>0</v>
      </c>
      <c r="AI232" s="20">
        <v>0</v>
      </c>
      <c r="AJ232" s="20">
        <v>0</v>
      </c>
      <c r="AK232" s="20">
        <v>0</v>
      </c>
      <c r="AL232" s="20">
        <v>0</v>
      </c>
      <c r="AM232" s="20">
        <v>0</v>
      </c>
      <c r="AN232" s="20">
        <v>0</v>
      </c>
      <c r="AO232" s="20">
        <v>0</v>
      </c>
      <c r="AP232" s="20">
        <v>0</v>
      </c>
      <c r="AQ232" s="20">
        <v>0</v>
      </c>
      <c r="AR232" s="20">
        <v>0</v>
      </c>
      <c r="AS232" s="20">
        <v>0</v>
      </c>
      <c r="AT232" s="20">
        <v>0</v>
      </c>
      <c r="AU232" s="20">
        <v>0</v>
      </c>
      <c r="AV232" s="20">
        <v>0</v>
      </c>
      <c r="AW232" s="20">
        <v>0</v>
      </c>
      <c r="AX232" s="20">
        <v>0</v>
      </c>
      <c r="AY232" s="20">
        <v>0</v>
      </c>
      <c r="AZ232" s="20">
        <v>0</v>
      </c>
      <c r="BA232" s="20">
        <v>0</v>
      </c>
      <c r="BB232" s="20">
        <v>0</v>
      </c>
      <c r="BC232" s="20">
        <v>0</v>
      </c>
      <c r="BD232" s="20">
        <v>0</v>
      </c>
      <c r="BE232" s="20">
        <v>0</v>
      </c>
      <c r="BF232" s="20">
        <v>0</v>
      </c>
      <c r="BG232" s="20">
        <v>0</v>
      </c>
      <c r="BH232" s="20">
        <v>0</v>
      </c>
      <c r="BI232" s="20">
        <v>0</v>
      </c>
      <c r="BJ232" s="20">
        <v>0</v>
      </c>
      <c r="BK232" s="20">
        <v>0</v>
      </c>
      <c r="BL232" s="20">
        <v>0</v>
      </c>
      <c r="BM232" s="20">
        <v>0</v>
      </c>
      <c r="BN232" s="20">
        <v>0</v>
      </c>
      <c r="BO232" s="20">
        <v>0</v>
      </c>
      <c r="BP232" s="20">
        <v>0</v>
      </c>
      <c r="BQ232" s="20">
        <v>0</v>
      </c>
      <c r="BR232" s="20">
        <v>0</v>
      </c>
      <c r="BS232" s="20">
        <v>0</v>
      </c>
      <c r="BT232" s="20">
        <v>0</v>
      </c>
      <c r="BU232" s="20">
        <v>0</v>
      </c>
      <c r="BV232" s="20">
        <v>0</v>
      </c>
      <c r="BW232" s="20">
        <v>0</v>
      </c>
      <c r="BX232" s="20">
        <v>0</v>
      </c>
      <c r="BY232" s="20">
        <v>0</v>
      </c>
      <c r="BZ232" s="20">
        <v>0</v>
      </c>
      <c r="CA232" s="20">
        <v>0</v>
      </c>
    </row>
    <row r="233" spans="1:79" x14ac:dyDescent="0.3">
      <c r="A233" s="19"/>
      <c r="B233" s="20" t="str">
        <f t="shared" si="38"/>
        <v>11090001</v>
      </c>
      <c r="C233" s="55" t="str">
        <f t="shared" si="39"/>
        <v>1</v>
      </c>
      <c r="D233" s="55">
        <f t="shared" si="40"/>
        <v>0</v>
      </c>
      <c r="E233" s="49">
        <v>1</v>
      </c>
      <c r="F233" s="57">
        <v>1</v>
      </c>
      <c r="G233" s="57">
        <v>100</v>
      </c>
      <c r="H233" s="57" t="str">
        <f t="shared" si="41"/>
        <v>Item_Name_11090001</v>
      </c>
      <c r="I233" s="57" t="s">
        <v>447</v>
      </c>
      <c r="J233" s="57">
        <v>10101001</v>
      </c>
      <c r="K233" s="57">
        <v>99</v>
      </c>
      <c r="L233" s="57">
        <v>0</v>
      </c>
      <c r="M233" s="57">
        <v>0</v>
      </c>
      <c r="N233" s="57">
        <v>15</v>
      </c>
      <c r="O233" s="57">
        <v>100</v>
      </c>
      <c r="P233" s="57">
        <v>1</v>
      </c>
      <c r="Q233" s="57" t="s">
        <v>623</v>
      </c>
      <c r="R233" s="57" t="s">
        <v>448</v>
      </c>
      <c r="S233" s="57" t="s">
        <v>317</v>
      </c>
      <c r="T233" s="57" t="s">
        <v>329</v>
      </c>
      <c r="U233" s="57">
        <v>0</v>
      </c>
      <c r="V233" s="57">
        <v>0</v>
      </c>
      <c r="W233" s="57">
        <v>73</v>
      </c>
      <c r="X233" s="57">
        <v>1</v>
      </c>
      <c r="Y233" s="57">
        <v>1201</v>
      </c>
      <c r="Z233" s="57">
        <v>1201</v>
      </c>
      <c r="AA233" s="57">
        <v>1201</v>
      </c>
      <c r="AB233" s="57">
        <v>1201</v>
      </c>
      <c r="AC233" s="57">
        <v>0</v>
      </c>
      <c r="AD233" s="57">
        <v>0</v>
      </c>
      <c r="AE233" s="58">
        <v>10101</v>
      </c>
      <c r="AF233" s="30">
        <v>0</v>
      </c>
      <c r="AG233" s="57">
        <v>0</v>
      </c>
      <c r="AH233" s="57">
        <v>0</v>
      </c>
      <c r="AI233" s="57">
        <v>0</v>
      </c>
      <c r="AJ233" s="57">
        <v>0</v>
      </c>
      <c r="AK233" s="57">
        <v>0</v>
      </c>
      <c r="AL233" s="57">
        <v>0</v>
      </c>
      <c r="AM233" s="57">
        <v>0</v>
      </c>
      <c r="AN233" s="57">
        <v>0</v>
      </c>
      <c r="AO233" s="57">
        <v>0</v>
      </c>
      <c r="AP233" s="57">
        <v>0</v>
      </c>
      <c r="AQ233" s="57">
        <v>0</v>
      </c>
      <c r="AR233" s="57">
        <v>0</v>
      </c>
      <c r="AS233" s="57">
        <v>0</v>
      </c>
      <c r="AT233" s="57">
        <v>0</v>
      </c>
      <c r="AU233" s="57">
        <v>0</v>
      </c>
      <c r="AV233" s="57">
        <v>0</v>
      </c>
      <c r="AW233" s="57">
        <v>0</v>
      </c>
      <c r="AX233" s="57">
        <v>0</v>
      </c>
      <c r="AY233" s="57">
        <v>0</v>
      </c>
      <c r="AZ233" s="57">
        <v>0</v>
      </c>
      <c r="BA233" s="57">
        <v>0</v>
      </c>
      <c r="BB233" s="57">
        <v>0</v>
      </c>
      <c r="BC233" s="57">
        <v>0</v>
      </c>
      <c r="BD233" s="57">
        <v>0</v>
      </c>
      <c r="BE233" s="57">
        <v>0</v>
      </c>
      <c r="BF233" s="57">
        <v>0</v>
      </c>
      <c r="BG233" s="57">
        <v>0</v>
      </c>
      <c r="BH233" s="57">
        <v>0</v>
      </c>
      <c r="BI233" s="57">
        <v>0</v>
      </c>
      <c r="BJ233" s="57">
        <v>0</v>
      </c>
      <c r="BK233" s="57">
        <v>0</v>
      </c>
      <c r="BL233" s="57">
        <v>0</v>
      </c>
      <c r="BM233" s="57">
        <v>0</v>
      </c>
      <c r="BN233" s="57">
        <v>0</v>
      </c>
      <c r="BO233" s="57">
        <v>0</v>
      </c>
      <c r="BP233" s="57">
        <v>0</v>
      </c>
      <c r="BQ233" s="57">
        <v>0</v>
      </c>
      <c r="BR233" s="57">
        <v>0</v>
      </c>
      <c r="BS233" s="57">
        <v>0</v>
      </c>
      <c r="BT233" s="57">
        <v>0</v>
      </c>
      <c r="BU233" s="57">
        <v>0</v>
      </c>
      <c r="BV233" s="57">
        <v>0</v>
      </c>
      <c r="BW233" s="57">
        <v>0</v>
      </c>
      <c r="BX233" s="57">
        <v>0</v>
      </c>
      <c r="BY233" s="57">
        <v>0</v>
      </c>
      <c r="BZ233" s="57">
        <v>0</v>
      </c>
      <c r="CA233" s="57">
        <v>0</v>
      </c>
    </row>
    <row r="234" spans="1:79" x14ac:dyDescent="0.3">
      <c r="A234" s="19"/>
      <c r="B234" s="20" t="str">
        <f t="shared" si="38"/>
        <v>11090002</v>
      </c>
      <c r="C234" s="55" t="str">
        <f t="shared" ref="C234:C235" si="78">IF(J234&gt;0,MID(J234,5, 1), 0)</f>
        <v>1</v>
      </c>
      <c r="D234" s="55">
        <f t="shared" ref="D234:D235" si="79">IF(G234&lt;100, G234, G234-100)</f>
        <v>0</v>
      </c>
      <c r="E234" s="49">
        <v>2</v>
      </c>
      <c r="F234" s="57">
        <v>1</v>
      </c>
      <c r="G234" s="57">
        <v>100</v>
      </c>
      <c r="H234" s="57" t="str">
        <f t="shared" si="41"/>
        <v>Item_Name_11090002</v>
      </c>
      <c r="I234" s="57" t="s">
        <v>586</v>
      </c>
      <c r="J234" s="57">
        <v>10101001</v>
      </c>
      <c r="K234" s="57">
        <v>99</v>
      </c>
      <c r="L234" s="57">
        <v>0</v>
      </c>
      <c r="M234" s="57">
        <v>0</v>
      </c>
      <c r="N234" s="57">
        <v>15</v>
      </c>
      <c r="O234" s="57">
        <v>100</v>
      </c>
      <c r="P234" s="57">
        <v>1</v>
      </c>
      <c r="Q234" s="57" t="s">
        <v>624</v>
      </c>
      <c r="R234" s="57" t="s">
        <v>448</v>
      </c>
      <c r="S234" s="57" t="s">
        <v>317</v>
      </c>
      <c r="T234" s="57" t="s">
        <v>329</v>
      </c>
      <c r="U234" s="57">
        <v>0</v>
      </c>
      <c r="V234" s="57">
        <v>0</v>
      </c>
      <c r="W234" s="57">
        <v>73</v>
      </c>
      <c r="X234" s="57">
        <v>2</v>
      </c>
      <c r="Y234" s="57">
        <v>1201</v>
      </c>
      <c r="Z234" s="57">
        <v>1201</v>
      </c>
      <c r="AA234" s="57">
        <v>1201</v>
      </c>
      <c r="AB234" s="57">
        <v>1201</v>
      </c>
      <c r="AC234" s="57">
        <v>0</v>
      </c>
      <c r="AD234" s="57">
        <v>0</v>
      </c>
      <c r="AE234" s="58">
        <v>10102</v>
      </c>
      <c r="AF234" s="30">
        <v>0</v>
      </c>
      <c r="AG234" s="57">
        <v>0</v>
      </c>
      <c r="AH234" s="57">
        <v>0</v>
      </c>
      <c r="AI234" s="57">
        <v>0</v>
      </c>
      <c r="AJ234" s="57">
        <v>0</v>
      </c>
      <c r="AK234" s="57">
        <v>0</v>
      </c>
      <c r="AL234" s="57">
        <v>0</v>
      </c>
      <c r="AM234" s="57">
        <v>0</v>
      </c>
      <c r="AN234" s="57">
        <v>0</v>
      </c>
      <c r="AO234" s="57">
        <v>0</v>
      </c>
      <c r="AP234" s="57">
        <v>0</v>
      </c>
      <c r="AQ234" s="57">
        <v>0</v>
      </c>
      <c r="AR234" s="57">
        <v>0</v>
      </c>
      <c r="AS234" s="57">
        <v>0</v>
      </c>
      <c r="AT234" s="57">
        <v>0</v>
      </c>
      <c r="AU234" s="57">
        <v>0</v>
      </c>
      <c r="AV234" s="57">
        <v>0</v>
      </c>
      <c r="AW234" s="57">
        <v>0</v>
      </c>
      <c r="AX234" s="57">
        <v>0</v>
      </c>
      <c r="AY234" s="57">
        <v>0</v>
      </c>
      <c r="AZ234" s="57">
        <v>0</v>
      </c>
      <c r="BA234" s="57">
        <v>0</v>
      </c>
      <c r="BB234" s="57">
        <v>0</v>
      </c>
      <c r="BC234" s="57">
        <v>0</v>
      </c>
      <c r="BD234" s="57">
        <v>0</v>
      </c>
      <c r="BE234" s="57">
        <v>0</v>
      </c>
      <c r="BF234" s="57">
        <v>0</v>
      </c>
      <c r="BG234" s="57">
        <v>0</v>
      </c>
      <c r="BH234" s="57">
        <v>0</v>
      </c>
      <c r="BI234" s="57">
        <v>0</v>
      </c>
      <c r="BJ234" s="57">
        <v>0</v>
      </c>
      <c r="BK234" s="57">
        <v>0</v>
      </c>
      <c r="BL234" s="57">
        <v>0</v>
      </c>
      <c r="BM234" s="57">
        <v>0</v>
      </c>
      <c r="BN234" s="57">
        <v>0</v>
      </c>
      <c r="BO234" s="57">
        <v>0</v>
      </c>
      <c r="BP234" s="57">
        <v>0</v>
      </c>
      <c r="BQ234" s="57">
        <v>0</v>
      </c>
      <c r="BR234" s="57">
        <v>0</v>
      </c>
      <c r="BS234" s="57">
        <v>0</v>
      </c>
      <c r="BT234" s="57">
        <v>0</v>
      </c>
      <c r="BU234" s="57">
        <v>0</v>
      </c>
      <c r="BV234" s="57">
        <v>0</v>
      </c>
      <c r="BW234" s="57">
        <v>0</v>
      </c>
      <c r="BX234" s="57">
        <v>0</v>
      </c>
      <c r="BY234" s="57">
        <v>0</v>
      </c>
      <c r="BZ234" s="57">
        <v>0</v>
      </c>
      <c r="CA234" s="57">
        <v>0</v>
      </c>
    </row>
    <row r="235" spans="1:79" x14ac:dyDescent="0.3">
      <c r="A235" s="19"/>
      <c r="B235" s="20" t="str">
        <f t="shared" si="38"/>
        <v>11090003</v>
      </c>
      <c r="C235" s="55" t="str">
        <f t="shared" si="78"/>
        <v>1</v>
      </c>
      <c r="D235" s="55">
        <f t="shared" si="79"/>
        <v>0</v>
      </c>
      <c r="E235" s="49">
        <v>3</v>
      </c>
      <c r="F235" s="57">
        <v>1</v>
      </c>
      <c r="G235" s="57">
        <v>100</v>
      </c>
      <c r="H235" s="57" t="str">
        <f t="shared" si="41"/>
        <v>Item_Name_11090003</v>
      </c>
      <c r="I235" s="57" t="s">
        <v>587</v>
      </c>
      <c r="J235" s="57">
        <v>10101001</v>
      </c>
      <c r="K235" s="57">
        <v>99</v>
      </c>
      <c r="L235" s="57">
        <v>0</v>
      </c>
      <c r="M235" s="57">
        <v>0</v>
      </c>
      <c r="N235" s="57">
        <v>15</v>
      </c>
      <c r="O235" s="57">
        <v>100</v>
      </c>
      <c r="P235" s="57">
        <v>1</v>
      </c>
      <c r="Q235" s="57" t="s">
        <v>625</v>
      </c>
      <c r="R235" s="57" t="s">
        <v>448</v>
      </c>
      <c r="S235" s="57" t="s">
        <v>317</v>
      </c>
      <c r="T235" s="57" t="s">
        <v>329</v>
      </c>
      <c r="U235" s="57">
        <v>0</v>
      </c>
      <c r="V235" s="57">
        <v>0</v>
      </c>
      <c r="W235" s="57">
        <v>73</v>
      </c>
      <c r="X235" s="57">
        <v>3</v>
      </c>
      <c r="Y235" s="57">
        <v>1201</v>
      </c>
      <c r="Z235" s="57">
        <v>1201</v>
      </c>
      <c r="AA235" s="57">
        <v>1201</v>
      </c>
      <c r="AB235" s="57">
        <v>1201</v>
      </c>
      <c r="AC235" s="57">
        <v>0</v>
      </c>
      <c r="AD235" s="57">
        <v>0</v>
      </c>
      <c r="AE235" s="58">
        <v>10103</v>
      </c>
      <c r="AF235" s="30">
        <v>0</v>
      </c>
      <c r="AG235" s="57">
        <v>0</v>
      </c>
      <c r="AH235" s="57">
        <v>0</v>
      </c>
      <c r="AI235" s="57">
        <v>0</v>
      </c>
      <c r="AJ235" s="57">
        <v>0</v>
      </c>
      <c r="AK235" s="57">
        <v>0</v>
      </c>
      <c r="AL235" s="57">
        <v>0</v>
      </c>
      <c r="AM235" s="57">
        <v>0</v>
      </c>
      <c r="AN235" s="57">
        <v>0</v>
      </c>
      <c r="AO235" s="57">
        <v>0</v>
      </c>
      <c r="AP235" s="57">
        <v>0</v>
      </c>
      <c r="AQ235" s="57">
        <v>0</v>
      </c>
      <c r="AR235" s="57">
        <v>0</v>
      </c>
      <c r="AS235" s="57">
        <v>0</v>
      </c>
      <c r="AT235" s="57">
        <v>0</v>
      </c>
      <c r="AU235" s="57">
        <v>0</v>
      </c>
      <c r="AV235" s="57">
        <v>0</v>
      </c>
      <c r="AW235" s="57">
        <v>0</v>
      </c>
      <c r="AX235" s="57">
        <v>0</v>
      </c>
      <c r="AY235" s="57">
        <v>0</v>
      </c>
      <c r="AZ235" s="57">
        <v>0</v>
      </c>
      <c r="BA235" s="57">
        <v>0</v>
      </c>
      <c r="BB235" s="57">
        <v>0</v>
      </c>
      <c r="BC235" s="57">
        <v>0</v>
      </c>
      <c r="BD235" s="57">
        <v>0</v>
      </c>
      <c r="BE235" s="57">
        <v>0</v>
      </c>
      <c r="BF235" s="57">
        <v>0</v>
      </c>
      <c r="BG235" s="57">
        <v>0</v>
      </c>
      <c r="BH235" s="57">
        <v>0</v>
      </c>
      <c r="BI235" s="57">
        <v>0</v>
      </c>
      <c r="BJ235" s="57">
        <v>0</v>
      </c>
      <c r="BK235" s="57">
        <v>0</v>
      </c>
      <c r="BL235" s="57">
        <v>0</v>
      </c>
      <c r="BM235" s="57">
        <v>0</v>
      </c>
      <c r="BN235" s="57">
        <v>0</v>
      </c>
      <c r="BO235" s="57">
        <v>0</v>
      </c>
      <c r="BP235" s="57">
        <v>0</v>
      </c>
      <c r="BQ235" s="57">
        <v>0</v>
      </c>
      <c r="BR235" s="57">
        <v>0</v>
      </c>
      <c r="BS235" s="57">
        <v>0</v>
      </c>
      <c r="BT235" s="57">
        <v>0</v>
      </c>
      <c r="BU235" s="57">
        <v>0</v>
      </c>
      <c r="BV235" s="57">
        <v>0</v>
      </c>
      <c r="BW235" s="57">
        <v>0</v>
      </c>
      <c r="BX235" s="57">
        <v>0</v>
      </c>
      <c r="BY235" s="57">
        <v>0</v>
      </c>
      <c r="BZ235" s="57">
        <v>0</v>
      </c>
      <c r="CA235" s="57">
        <v>0</v>
      </c>
    </row>
    <row r="236" spans="1:79" x14ac:dyDescent="0.3">
      <c r="A236" s="19"/>
      <c r="B236" s="20" t="str">
        <f t="shared" si="38"/>
        <v>12090001</v>
      </c>
      <c r="C236" s="55" t="str">
        <f t="shared" si="39"/>
        <v>2</v>
      </c>
      <c r="D236" s="55">
        <f t="shared" si="40"/>
        <v>0</v>
      </c>
      <c r="E236" s="49">
        <v>1</v>
      </c>
      <c r="F236" s="20">
        <v>1</v>
      </c>
      <c r="G236" s="20">
        <v>100</v>
      </c>
      <c r="H236" s="20" t="str">
        <f t="shared" si="41"/>
        <v>Item_Name_12090001</v>
      </c>
      <c r="I236" s="20" t="s">
        <v>590</v>
      </c>
      <c r="J236" s="20">
        <v>10102001</v>
      </c>
      <c r="K236" s="20">
        <v>99</v>
      </c>
      <c r="L236" s="20">
        <v>0</v>
      </c>
      <c r="M236" s="20">
        <v>0</v>
      </c>
      <c r="N236" s="20">
        <v>15</v>
      </c>
      <c r="O236" s="20">
        <v>100</v>
      </c>
      <c r="P236" s="20">
        <v>1</v>
      </c>
      <c r="Q236" s="20" t="s">
        <v>449</v>
      </c>
      <c r="R236" s="20" t="s">
        <v>448</v>
      </c>
      <c r="S236" s="20" t="s">
        <v>318</v>
      </c>
      <c r="T236" s="20" t="s">
        <v>329</v>
      </c>
      <c r="U236" s="20">
        <v>0</v>
      </c>
      <c r="V236" s="20">
        <v>0</v>
      </c>
      <c r="W236" s="20">
        <v>73</v>
      </c>
      <c r="X236" s="20">
        <v>1</v>
      </c>
      <c r="Y236" s="20">
        <v>1203</v>
      </c>
      <c r="Z236" s="20">
        <v>1203</v>
      </c>
      <c r="AA236" s="20">
        <v>1203</v>
      </c>
      <c r="AB236" s="20">
        <v>1203</v>
      </c>
      <c r="AC236" s="20">
        <v>0</v>
      </c>
      <c r="AD236" s="20">
        <v>0</v>
      </c>
      <c r="AE236" s="39">
        <v>10201</v>
      </c>
      <c r="AF236" s="31">
        <v>0</v>
      </c>
      <c r="AG236" s="20">
        <v>0</v>
      </c>
      <c r="AH236" s="20">
        <v>0</v>
      </c>
      <c r="AI236" s="20">
        <v>0</v>
      </c>
      <c r="AJ236" s="20">
        <v>0</v>
      </c>
      <c r="AK236" s="20">
        <v>0</v>
      </c>
      <c r="AL236" s="20">
        <v>0</v>
      </c>
      <c r="AM236" s="20">
        <v>0</v>
      </c>
      <c r="AN236" s="20">
        <v>0</v>
      </c>
      <c r="AO236" s="20">
        <v>0</v>
      </c>
      <c r="AP236" s="20">
        <v>0</v>
      </c>
      <c r="AQ236" s="20">
        <v>0</v>
      </c>
      <c r="AR236" s="20">
        <v>0</v>
      </c>
      <c r="AS236" s="20">
        <v>0</v>
      </c>
      <c r="AT236" s="20">
        <v>0</v>
      </c>
      <c r="AU236" s="20">
        <v>0</v>
      </c>
      <c r="AV236" s="20">
        <v>0</v>
      </c>
      <c r="AW236" s="20">
        <v>0</v>
      </c>
      <c r="AX236" s="20">
        <v>0</v>
      </c>
      <c r="AY236" s="20">
        <v>0</v>
      </c>
      <c r="AZ236" s="20">
        <v>0</v>
      </c>
      <c r="BA236" s="20">
        <v>0</v>
      </c>
      <c r="BB236" s="20">
        <v>0</v>
      </c>
      <c r="BC236" s="20">
        <v>0</v>
      </c>
      <c r="BD236" s="20">
        <v>0</v>
      </c>
      <c r="BE236" s="20">
        <v>0</v>
      </c>
      <c r="BF236" s="20">
        <v>0</v>
      </c>
      <c r="BG236" s="20">
        <v>0</v>
      </c>
      <c r="BH236" s="20">
        <v>0</v>
      </c>
      <c r="BI236" s="20">
        <v>0</v>
      </c>
      <c r="BJ236" s="20">
        <v>0</v>
      </c>
      <c r="BK236" s="20">
        <v>0</v>
      </c>
      <c r="BL236" s="20">
        <v>0</v>
      </c>
      <c r="BM236" s="20">
        <v>0</v>
      </c>
      <c r="BN236" s="20">
        <v>0</v>
      </c>
      <c r="BO236" s="20">
        <v>0</v>
      </c>
      <c r="BP236" s="20">
        <v>0</v>
      </c>
      <c r="BQ236" s="20">
        <v>0</v>
      </c>
      <c r="BR236" s="20">
        <v>0</v>
      </c>
      <c r="BS236" s="20">
        <v>0</v>
      </c>
      <c r="BT236" s="20">
        <v>0</v>
      </c>
      <c r="BU236" s="20">
        <v>0</v>
      </c>
      <c r="BV236" s="20">
        <v>0</v>
      </c>
      <c r="BW236" s="20">
        <v>0</v>
      </c>
      <c r="BX236" s="20">
        <v>0</v>
      </c>
      <c r="BY236" s="20">
        <v>0</v>
      </c>
      <c r="BZ236" s="20">
        <v>0</v>
      </c>
      <c r="CA236" s="20">
        <v>0</v>
      </c>
    </row>
    <row r="237" spans="1:79" x14ac:dyDescent="0.3">
      <c r="A237" s="19"/>
      <c r="B237" s="20" t="str">
        <f t="shared" si="38"/>
        <v>12090002</v>
      </c>
      <c r="C237" s="55" t="str">
        <f t="shared" si="39"/>
        <v>2</v>
      </c>
      <c r="D237" s="55">
        <f t="shared" si="40"/>
        <v>0</v>
      </c>
      <c r="E237" s="49">
        <v>2</v>
      </c>
      <c r="F237" s="20">
        <v>1</v>
      </c>
      <c r="G237" s="20">
        <v>100</v>
      </c>
      <c r="H237" s="20" t="str">
        <f t="shared" si="41"/>
        <v>Item_Name_12090002</v>
      </c>
      <c r="I237" s="20" t="s">
        <v>591</v>
      </c>
      <c r="J237" s="20">
        <v>10102001</v>
      </c>
      <c r="K237" s="20">
        <v>99</v>
      </c>
      <c r="L237" s="20">
        <v>0</v>
      </c>
      <c r="M237" s="20">
        <v>0</v>
      </c>
      <c r="N237" s="20">
        <v>15</v>
      </c>
      <c r="O237" s="20">
        <v>100</v>
      </c>
      <c r="P237" s="20">
        <v>1</v>
      </c>
      <c r="Q237" s="20" t="s">
        <v>450</v>
      </c>
      <c r="R237" s="20" t="s">
        <v>448</v>
      </c>
      <c r="S237" s="20" t="s">
        <v>318</v>
      </c>
      <c r="T237" s="20" t="s">
        <v>329</v>
      </c>
      <c r="U237" s="20">
        <v>0</v>
      </c>
      <c r="V237" s="20">
        <v>0</v>
      </c>
      <c r="W237" s="20">
        <v>73</v>
      </c>
      <c r="X237" s="20">
        <v>2</v>
      </c>
      <c r="Y237" s="20">
        <v>1203</v>
      </c>
      <c r="Z237" s="20">
        <v>1203</v>
      </c>
      <c r="AA237" s="20">
        <v>1203</v>
      </c>
      <c r="AB237" s="20">
        <v>1203</v>
      </c>
      <c r="AC237" s="20">
        <v>0</v>
      </c>
      <c r="AD237" s="20">
        <v>0</v>
      </c>
      <c r="AE237" s="39">
        <v>10202</v>
      </c>
      <c r="AF237" s="31">
        <v>0</v>
      </c>
      <c r="AG237" s="20">
        <v>0</v>
      </c>
      <c r="AH237" s="20">
        <v>0</v>
      </c>
      <c r="AI237" s="20">
        <v>0</v>
      </c>
      <c r="AJ237" s="20">
        <v>0</v>
      </c>
      <c r="AK237" s="20">
        <v>0</v>
      </c>
      <c r="AL237" s="20">
        <v>0</v>
      </c>
      <c r="AM237" s="20">
        <v>0</v>
      </c>
      <c r="AN237" s="20">
        <v>0</v>
      </c>
      <c r="AO237" s="20">
        <v>0</v>
      </c>
      <c r="AP237" s="20">
        <v>0</v>
      </c>
      <c r="AQ237" s="20">
        <v>0</v>
      </c>
      <c r="AR237" s="20">
        <v>0</v>
      </c>
      <c r="AS237" s="20">
        <v>0</v>
      </c>
      <c r="AT237" s="20">
        <v>0</v>
      </c>
      <c r="AU237" s="20">
        <v>0</v>
      </c>
      <c r="AV237" s="20">
        <v>0</v>
      </c>
      <c r="AW237" s="20">
        <v>0</v>
      </c>
      <c r="AX237" s="20">
        <v>0</v>
      </c>
      <c r="AY237" s="20">
        <v>0</v>
      </c>
      <c r="AZ237" s="20">
        <v>0</v>
      </c>
      <c r="BA237" s="20">
        <v>0</v>
      </c>
      <c r="BB237" s="20">
        <v>0</v>
      </c>
      <c r="BC237" s="20">
        <v>0</v>
      </c>
      <c r="BD237" s="20">
        <v>0</v>
      </c>
      <c r="BE237" s="20">
        <v>0</v>
      </c>
      <c r="BF237" s="20">
        <v>0</v>
      </c>
      <c r="BG237" s="20">
        <v>0</v>
      </c>
      <c r="BH237" s="20">
        <v>0</v>
      </c>
      <c r="BI237" s="20">
        <v>0</v>
      </c>
      <c r="BJ237" s="20">
        <v>0</v>
      </c>
      <c r="BK237" s="20">
        <v>0</v>
      </c>
      <c r="BL237" s="20">
        <v>0</v>
      </c>
      <c r="BM237" s="20">
        <v>0</v>
      </c>
      <c r="BN237" s="20">
        <v>0</v>
      </c>
      <c r="BO237" s="20">
        <v>0</v>
      </c>
      <c r="BP237" s="20">
        <v>0</v>
      </c>
      <c r="BQ237" s="20">
        <v>0</v>
      </c>
      <c r="BR237" s="20">
        <v>0</v>
      </c>
      <c r="BS237" s="20">
        <v>0</v>
      </c>
      <c r="BT237" s="20">
        <v>0</v>
      </c>
      <c r="BU237" s="20">
        <v>0</v>
      </c>
      <c r="BV237" s="20">
        <v>0</v>
      </c>
      <c r="BW237" s="20">
        <v>0</v>
      </c>
      <c r="BX237" s="20">
        <v>0</v>
      </c>
      <c r="BY237" s="20">
        <v>0</v>
      </c>
      <c r="BZ237" s="20">
        <v>0</v>
      </c>
      <c r="CA237" s="20">
        <v>0</v>
      </c>
    </row>
    <row r="238" spans="1:79" x14ac:dyDescent="0.3">
      <c r="A238" s="19"/>
      <c r="B238" s="20" t="str">
        <f t="shared" si="38"/>
        <v>12090003</v>
      </c>
      <c r="C238" s="55" t="str">
        <f t="shared" si="39"/>
        <v>2</v>
      </c>
      <c r="D238" s="55">
        <f t="shared" si="40"/>
        <v>0</v>
      </c>
      <c r="E238" s="49">
        <v>3</v>
      </c>
      <c r="F238" s="20">
        <v>1</v>
      </c>
      <c r="G238" s="20">
        <v>100</v>
      </c>
      <c r="H238" s="20" t="str">
        <f t="shared" si="41"/>
        <v>Item_Name_12090003</v>
      </c>
      <c r="I238" s="20" t="s">
        <v>592</v>
      </c>
      <c r="J238" s="20">
        <v>10102001</v>
      </c>
      <c r="K238" s="20">
        <v>99</v>
      </c>
      <c r="L238" s="20">
        <v>0</v>
      </c>
      <c r="M238" s="20">
        <v>0</v>
      </c>
      <c r="N238" s="20">
        <v>15</v>
      </c>
      <c r="O238" s="20">
        <v>100</v>
      </c>
      <c r="P238" s="20">
        <v>1</v>
      </c>
      <c r="Q238" s="20" t="s">
        <v>221</v>
      </c>
      <c r="R238" s="20" t="s">
        <v>448</v>
      </c>
      <c r="S238" s="20" t="s">
        <v>318</v>
      </c>
      <c r="T238" s="20" t="s">
        <v>329</v>
      </c>
      <c r="U238" s="20">
        <v>0</v>
      </c>
      <c r="V238" s="20">
        <v>0</v>
      </c>
      <c r="W238" s="20">
        <v>73</v>
      </c>
      <c r="X238" s="20">
        <v>3</v>
      </c>
      <c r="Y238" s="20">
        <v>1203</v>
      </c>
      <c r="Z238" s="20">
        <v>1203</v>
      </c>
      <c r="AA238" s="20">
        <v>1203</v>
      </c>
      <c r="AB238" s="20">
        <v>1203</v>
      </c>
      <c r="AC238" s="20">
        <v>0</v>
      </c>
      <c r="AD238" s="20">
        <v>0</v>
      </c>
      <c r="AE238" s="39">
        <v>10203</v>
      </c>
      <c r="AF238" s="31">
        <v>0</v>
      </c>
      <c r="AG238" s="20">
        <v>0</v>
      </c>
      <c r="AH238" s="20">
        <v>0</v>
      </c>
      <c r="AI238" s="20">
        <v>0</v>
      </c>
      <c r="AJ238" s="20">
        <v>0</v>
      </c>
      <c r="AK238" s="20">
        <v>0</v>
      </c>
      <c r="AL238" s="20">
        <v>0</v>
      </c>
      <c r="AM238" s="20">
        <v>0</v>
      </c>
      <c r="AN238" s="20">
        <v>0</v>
      </c>
      <c r="AO238" s="20">
        <v>0</v>
      </c>
      <c r="AP238" s="20">
        <v>0</v>
      </c>
      <c r="AQ238" s="20">
        <v>0</v>
      </c>
      <c r="AR238" s="20">
        <v>0</v>
      </c>
      <c r="AS238" s="20">
        <v>0</v>
      </c>
      <c r="AT238" s="20">
        <v>0</v>
      </c>
      <c r="AU238" s="20">
        <v>0</v>
      </c>
      <c r="AV238" s="20">
        <v>0</v>
      </c>
      <c r="AW238" s="20">
        <v>0</v>
      </c>
      <c r="AX238" s="20">
        <v>0</v>
      </c>
      <c r="AY238" s="20">
        <v>0</v>
      </c>
      <c r="AZ238" s="20">
        <v>0</v>
      </c>
      <c r="BA238" s="20">
        <v>0</v>
      </c>
      <c r="BB238" s="20">
        <v>0</v>
      </c>
      <c r="BC238" s="20">
        <v>0</v>
      </c>
      <c r="BD238" s="20">
        <v>0</v>
      </c>
      <c r="BE238" s="20">
        <v>0</v>
      </c>
      <c r="BF238" s="20">
        <v>0</v>
      </c>
      <c r="BG238" s="20">
        <v>0</v>
      </c>
      <c r="BH238" s="20">
        <v>0</v>
      </c>
      <c r="BI238" s="20">
        <v>0</v>
      </c>
      <c r="BJ238" s="20">
        <v>0</v>
      </c>
      <c r="BK238" s="20">
        <v>0</v>
      </c>
      <c r="BL238" s="20">
        <v>0</v>
      </c>
      <c r="BM238" s="20">
        <v>0</v>
      </c>
      <c r="BN238" s="20">
        <v>0</v>
      </c>
      <c r="BO238" s="20">
        <v>0</v>
      </c>
      <c r="BP238" s="20">
        <v>0</v>
      </c>
      <c r="BQ238" s="20">
        <v>0</v>
      </c>
      <c r="BR238" s="20">
        <v>0</v>
      </c>
      <c r="BS238" s="20">
        <v>0</v>
      </c>
      <c r="BT238" s="20">
        <v>0</v>
      </c>
      <c r="BU238" s="20">
        <v>0</v>
      </c>
      <c r="BV238" s="20">
        <v>0</v>
      </c>
      <c r="BW238" s="20">
        <v>0</v>
      </c>
      <c r="BX238" s="20">
        <v>0</v>
      </c>
      <c r="BY238" s="20">
        <v>0</v>
      </c>
      <c r="BZ238" s="20">
        <v>0</v>
      </c>
      <c r="CA238" s="20">
        <v>0</v>
      </c>
    </row>
    <row r="239" spans="1:79" x14ac:dyDescent="0.3">
      <c r="A239" s="19"/>
      <c r="B239" s="20" t="str">
        <f t="shared" si="38"/>
        <v>13090001</v>
      </c>
      <c r="C239" s="55">
        <v>3</v>
      </c>
      <c r="D239" s="55">
        <f t="shared" si="40"/>
        <v>0</v>
      </c>
      <c r="E239" s="49">
        <v>1</v>
      </c>
      <c r="F239" s="57">
        <v>1</v>
      </c>
      <c r="G239" s="57">
        <v>100</v>
      </c>
      <c r="H239" s="57" t="str">
        <f t="shared" si="41"/>
        <v>Item_Name_13090001</v>
      </c>
      <c r="I239" s="57" t="s">
        <v>777</v>
      </c>
      <c r="J239" s="57">
        <v>10103001</v>
      </c>
      <c r="K239" s="57">
        <v>99</v>
      </c>
      <c r="L239" s="57">
        <v>0</v>
      </c>
      <c r="M239" s="57">
        <v>0</v>
      </c>
      <c r="N239" s="57">
        <v>15</v>
      </c>
      <c r="O239" s="57">
        <v>100</v>
      </c>
      <c r="P239" s="57">
        <v>1</v>
      </c>
      <c r="Q239" s="57" t="s">
        <v>780</v>
      </c>
      <c r="R239" s="57" t="s">
        <v>448</v>
      </c>
      <c r="S239" s="57" t="s">
        <v>783</v>
      </c>
      <c r="T239" s="57" t="s">
        <v>329</v>
      </c>
      <c r="U239" s="57">
        <v>0</v>
      </c>
      <c r="V239" s="57">
        <v>0</v>
      </c>
      <c r="W239" s="57">
        <v>73</v>
      </c>
      <c r="X239" s="57">
        <v>1</v>
      </c>
      <c r="Y239" s="57">
        <v>1202</v>
      </c>
      <c r="Z239" s="57">
        <v>1202</v>
      </c>
      <c r="AA239" s="57">
        <v>1206</v>
      </c>
      <c r="AB239" s="57">
        <v>1206</v>
      </c>
      <c r="AC239" s="57">
        <v>0</v>
      </c>
      <c r="AD239" s="57">
        <v>0</v>
      </c>
      <c r="AE239" s="58">
        <v>10301</v>
      </c>
      <c r="AF239" s="30">
        <v>0</v>
      </c>
      <c r="AG239" s="57">
        <v>0</v>
      </c>
      <c r="AH239" s="57">
        <v>0</v>
      </c>
      <c r="AI239" s="57">
        <v>0</v>
      </c>
      <c r="AJ239" s="57">
        <v>0</v>
      </c>
      <c r="AK239" s="57">
        <v>0</v>
      </c>
      <c r="AL239" s="57">
        <v>0</v>
      </c>
      <c r="AM239" s="57">
        <v>0</v>
      </c>
      <c r="AN239" s="57">
        <v>0</v>
      </c>
      <c r="AO239" s="57">
        <v>0</v>
      </c>
      <c r="AP239" s="57">
        <v>0</v>
      </c>
      <c r="AQ239" s="57">
        <v>0</v>
      </c>
      <c r="AR239" s="57">
        <v>0</v>
      </c>
      <c r="AS239" s="57">
        <v>0</v>
      </c>
      <c r="AT239" s="57">
        <v>0</v>
      </c>
      <c r="AU239" s="57">
        <v>0</v>
      </c>
      <c r="AV239" s="57">
        <v>0</v>
      </c>
      <c r="AW239" s="57">
        <v>0</v>
      </c>
      <c r="AX239" s="57">
        <v>0</v>
      </c>
      <c r="AY239" s="57">
        <v>0</v>
      </c>
      <c r="AZ239" s="57">
        <v>0</v>
      </c>
      <c r="BA239" s="57">
        <v>0</v>
      </c>
      <c r="BB239" s="57">
        <v>0</v>
      </c>
      <c r="BC239" s="57">
        <v>0</v>
      </c>
      <c r="BD239" s="57">
        <v>0</v>
      </c>
      <c r="BE239" s="57">
        <v>0</v>
      </c>
      <c r="BF239" s="57">
        <v>0</v>
      </c>
      <c r="BG239" s="57">
        <v>0</v>
      </c>
      <c r="BH239" s="57">
        <v>0</v>
      </c>
      <c r="BI239" s="57">
        <v>0</v>
      </c>
      <c r="BJ239" s="57">
        <v>0</v>
      </c>
      <c r="BK239" s="57">
        <v>0</v>
      </c>
      <c r="BL239" s="57">
        <v>0</v>
      </c>
      <c r="BM239" s="57">
        <v>0</v>
      </c>
      <c r="BN239" s="57">
        <v>0</v>
      </c>
      <c r="BO239" s="57">
        <v>0</v>
      </c>
      <c r="BP239" s="57">
        <v>0</v>
      </c>
      <c r="BQ239" s="57">
        <v>0</v>
      </c>
      <c r="BR239" s="57">
        <v>0</v>
      </c>
      <c r="BS239" s="57">
        <v>0</v>
      </c>
      <c r="BT239" s="57">
        <v>0</v>
      </c>
      <c r="BU239" s="57">
        <v>0</v>
      </c>
      <c r="BV239" s="57">
        <v>0</v>
      </c>
      <c r="BW239" s="57">
        <v>0</v>
      </c>
      <c r="BX239" s="57">
        <v>0</v>
      </c>
      <c r="BY239" s="57">
        <v>0</v>
      </c>
      <c r="BZ239" s="57">
        <v>0</v>
      </c>
      <c r="CA239" s="57">
        <v>0</v>
      </c>
    </row>
    <row r="240" spans="1:79" x14ac:dyDescent="0.3">
      <c r="A240" s="19"/>
      <c r="B240" s="20" t="str">
        <f t="shared" si="38"/>
        <v>13090002</v>
      </c>
      <c r="C240" s="55">
        <v>3</v>
      </c>
      <c r="D240" s="55">
        <f t="shared" si="40"/>
        <v>0</v>
      </c>
      <c r="E240" s="49">
        <v>2</v>
      </c>
      <c r="F240" s="57">
        <v>1</v>
      </c>
      <c r="G240" s="57">
        <v>100</v>
      </c>
      <c r="H240" s="57" t="str">
        <f t="shared" si="41"/>
        <v>Item_Name_13090002</v>
      </c>
      <c r="I240" s="57" t="s">
        <v>778</v>
      </c>
      <c r="J240" s="57">
        <v>10103001</v>
      </c>
      <c r="K240" s="57">
        <v>99</v>
      </c>
      <c r="L240" s="57">
        <v>0</v>
      </c>
      <c r="M240" s="57">
        <v>0</v>
      </c>
      <c r="N240" s="57">
        <v>15</v>
      </c>
      <c r="O240" s="57">
        <v>100</v>
      </c>
      <c r="P240" s="57">
        <v>1</v>
      </c>
      <c r="Q240" s="57" t="s">
        <v>781</v>
      </c>
      <c r="R240" s="57" t="s">
        <v>448</v>
      </c>
      <c r="S240" s="57" t="s">
        <v>783</v>
      </c>
      <c r="T240" s="57" t="s">
        <v>329</v>
      </c>
      <c r="U240" s="57">
        <v>0</v>
      </c>
      <c r="V240" s="57">
        <v>0</v>
      </c>
      <c r="W240" s="57">
        <v>73</v>
      </c>
      <c r="X240" s="57">
        <v>2</v>
      </c>
      <c r="Y240" s="57">
        <v>1202</v>
      </c>
      <c r="Z240" s="57">
        <v>1202</v>
      </c>
      <c r="AA240" s="57">
        <v>1206</v>
      </c>
      <c r="AB240" s="57">
        <v>1206</v>
      </c>
      <c r="AC240" s="57">
        <v>0</v>
      </c>
      <c r="AD240" s="57">
        <v>0</v>
      </c>
      <c r="AE240" s="58">
        <v>10302</v>
      </c>
      <c r="AF240" s="30">
        <v>0</v>
      </c>
      <c r="AG240" s="57">
        <v>0</v>
      </c>
      <c r="AH240" s="57">
        <v>0</v>
      </c>
      <c r="AI240" s="57">
        <v>0</v>
      </c>
      <c r="AJ240" s="57">
        <v>0</v>
      </c>
      <c r="AK240" s="57">
        <v>0</v>
      </c>
      <c r="AL240" s="57">
        <v>0</v>
      </c>
      <c r="AM240" s="57">
        <v>0</v>
      </c>
      <c r="AN240" s="57">
        <v>0</v>
      </c>
      <c r="AO240" s="57">
        <v>0</v>
      </c>
      <c r="AP240" s="57">
        <v>0</v>
      </c>
      <c r="AQ240" s="57">
        <v>0</v>
      </c>
      <c r="AR240" s="57">
        <v>0</v>
      </c>
      <c r="AS240" s="57">
        <v>0</v>
      </c>
      <c r="AT240" s="57">
        <v>0</v>
      </c>
      <c r="AU240" s="57">
        <v>0</v>
      </c>
      <c r="AV240" s="57">
        <v>0</v>
      </c>
      <c r="AW240" s="57">
        <v>0</v>
      </c>
      <c r="AX240" s="57">
        <v>0</v>
      </c>
      <c r="AY240" s="57">
        <v>0</v>
      </c>
      <c r="AZ240" s="57">
        <v>0</v>
      </c>
      <c r="BA240" s="57">
        <v>0</v>
      </c>
      <c r="BB240" s="57">
        <v>0</v>
      </c>
      <c r="BC240" s="57">
        <v>0</v>
      </c>
      <c r="BD240" s="57">
        <v>0</v>
      </c>
      <c r="BE240" s="57">
        <v>0</v>
      </c>
      <c r="BF240" s="57">
        <v>0</v>
      </c>
      <c r="BG240" s="57">
        <v>0</v>
      </c>
      <c r="BH240" s="57">
        <v>0</v>
      </c>
      <c r="BI240" s="57">
        <v>0</v>
      </c>
      <c r="BJ240" s="57">
        <v>0</v>
      </c>
      <c r="BK240" s="57">
        <v>0</v>
      </c>
      <c r="BL240" s="57">
        <v>0</v>
      </c>
      <c r="BM240" s="57">
        <v>0</v>
      </c>
      <c r="BN240" s="57">
        <v>0</v>
      </c>
      <c r="BO240" s="57">
        <v>0</v>
      </c>
      <c r="BP240" s="57">
        <v>0</v>
      </c>
      <c r="BQ240" s="57">
        <v>0</v>
      </c>
      <c r="BR240" s="57">
        <v>0</v>
      </c>
      <c r="BS240" s="57">
        <v>0</v>
      </c>
      <c r="BT240" s="57">
        <v>0</v>
      </c>
      <c r="BU240" s="57">
        <v>0</v>
      </c>
      <c r="BV240" s="57">
        <v>0</v>
      </c>
      <c r="BW240" s="57">
        <v>0</v>
      </c>
      <c r="BX240" s="57">
        <v>0</v>
      </c>
      <c r="BY240" s="57">
        <v>0</v>
      </c>
      <c r="BZ240" s="57">
        <v>0</v>
      </c>
      <c r="CA240" s="57">
        <v>0</v>
      </c>
    </row>
    <row r="241" spans="1:79" x14ac:dyDescent="0.3">
      <c r="A241" s="19"/>
      <c r="B241" s="20" t="str">
        <f t="shared" si="38"/>
        <v>13090003</v>
      </c>
      <c r="C241" s="55">
        <v>3</v>
      </c>
      <c r="D241" s="55">
        <f t="shared" si="40"/>
        <v>0</v>
      </c>
      <c r="E241" s="49">
        <v>3</v>
      </c>
      <c r="F241" s="57">
        <v>1</v>
      </c>
      <c r="G241" s="57">
        <v>100</v>
      </c>
      <c r="H241" s="57" t="str">
        <f t="shared" si="41"/>
        <v>Item_Name_13090003</v>
      </c>
      <c r="I241" s="57" t="s">
        <v>779</v>
      </c>
      <c r="J241" s="57">
        <v>10103001</v>
      </c>
      <c r="K241" s="57">
        <v>99</v>
      </c>
      <c r="L241" s="57">
        <v>0</v>
      </c>
      <c r="M241" s="57">
        <v>0</v>
      </c>
      <c r="N241" s="57">
        <v>15</v>
      </c>
      <c r="O241" s="57">
        <v>100</v>
      </c>
      <c r="P241" s="57">
        <v>1</v>
      </c>
      <c r="Q241" s="57" t="s">
        <v>782</v>
      </c>
      <c r="R241" s="57" t="s">
        <v>448</v>
      </c>
      <c r="S241" s="57" t="s">
        <v>783</v>
      </c>
      <c r="T241" s="57" t="s">
        <v>329</v>
      </c>
      <c r="U241" s="57">
        <v>0</v>
      </c>
      <c r="V241" s="57">
        <v>0</v>
      </c>
      <c r="W241" s="57">
        <v>73</v>
      </c>
      <c r="X241" s="57">
        <v>3</v>
      </c>
      <c r="Y241" s="57">
        <v>1202</v>
      </c>
      <c r="Z241" s="57">
        <v>1202</v>
      </c>
      <c r="AA241" s="57">
        <v>1206</v>
      </c>
      <c r="AB241" s="57">
        <v>1206</v>
      </c>
      <c r="AC241" s="57">
        <v>0</v>
      </c>
      <c r="AD241" s="57">
        <v>0</v>
      </c>
      <c r="AE241" s="58">
        <v>10303</v>
      </c>
      <c r="AF241" s="30">
        <v>0</v>
      </c>
      <c r="AG241" s="57">
        <v>0</v>
      </c>
      <c r="AH241" s="57">
        <v>0</v>
      </c>
      <c r="AI241" s="57">
        <v>0</v>
      </c>
      <c r="AJ241" s="57">
        <v>0</v>
      </c>
      <c r="AK241" s="57">
        <v>0</v>
      </c>
      <c r="AL241" s="57">
        <v>0</v>
      </c>
      <c r="AM241" s="57">
        <v>0</v>
      </c>
      <c r="AN241" s="57">
        <v>0</v>
      </c>
      <c r="AO241" s="57">
        <v>0</v>
      </c>
      <c r="AP241" s="57">
        <v>0</v>
      </c>
      <c r="AQ241" s="57">
        <v>0</v>
      </c>
      <c r="AR241" s="57">
        <v>0</v>
      </c>
      <c r="AS241" s="57">
        <v>0</v>
      </c>
      <c r="AT241" s="57">
        <v>0</v>
      </c>
      <c r="AU241" s="57">
        <v>0</v>
      </c>
      <c r="AV241" s="57">
        <v>0</v>
      </c>
      <c r="AW241" s="57">
        <v>0</v>
      </c>
      <c r="AX241" s="57">
        <v>0</v>
      </c>
      <c r="AY241" s="57">
        <v>0</v>
      </c>
      <c r="AZ241" s="57">
        <v>0</v>
      </c>
      <c r="BA241" s="57">
        <v>0</v>
      </c>
      <c r="BB241" s="57">
        <v>0</v>
      </c>
      <c r="BC241" s="57">
        <v>0</v>
      </c>
      <c r="BD241" s="57">
        <v>0</v>
      </c>
      <c r="BE241" s="57">
        <v>0</v>
      </c>
      <c r="BF241" s="57">
        <v>0</v>
      </c>
      <c r="BG241" s="57">
        <v>0</v>
      </c>
      <c r="BH241" s="57">
        <v>0</v>
      </c>
      <c r="BI241" s="57">
        <v>0</v>
      </c>
      <c r="BJ241" s="57">
        <v>0</v>
      </c>
      <c r="BK241" s="57">
        <v>0</v>
      </c>
      <c r="BL241" s="57">
        <v>0</v>
      </c>
      <c r="BM241" s="57">
        <v>0</v>
      </c>
      <c r="BN241" s="57">
        <v>0</v>
      </c>
      <c r="BO241" s="57">
        <v>0</v>
      </c>
      <c r="BP241" s="57">
        <v>0</v>
      </c>
      <c r="BQ241" s="57">
        <v>0</v>
      </c>
      <c r="BR241" s="57">
        <v>0</v>
      </c>
      <c r="BS241" s="57">
        <v>0</v>
      </c>
      <c r="BT241" s="57">
        <v>0</v>
      </c>
      <c r="BU241" s="57">
        <v>0</v>
      </c>
      <c r="BV241" s="57">
        <v>0</v>
      </c>
      <c r="BW241" s="57">
        <v>0</v>
      </c>
      <c r="BX241" s="57">
        <v>0</v>
      </c>
      <c r="BY241" s="57">
        <v>0</v>
      </c>
      <c r="BZ241" s="57">
        <v>0</v>
      </c>
      <c r="CA241" s="57">
        <v>0</v>
      </c>
    </row>
    <row r="242" spans="1:79" x14ac:dyDescent="0.3">
      <c r="A242" s="19"/>
      <c r="B242" s="20" t="str">
        <f t="shared" si="38"/>
        <v>14090001</v>
      </c>
      <c r="C242" s="55">
        <v>4</v>
      </c>
      <c r="D242" s="55">
        <f t="shared" ref="D242:D244" si="80">IF(G242&lt;100, G242, G242-100)</f>
        <v>0</v>
      </c>
      <c r="E242" s="49">
        <v>1</v>
      </c>
      <c r="F242" s="57">
        <v>1</v>
      </c>
      <c r="G242" s="57">
        <v>100</v>
      </c>
      <c r="H242" s="57" t="str">
        <f t="shared" si="41"/>
        <v>Item_Name_14090001</v>
      </c>
      <c r="I242" s="57" t="s">
        <v>620</v>
      </c>
      <c r="J242" s="57">
        <v>10104001</v>
      </c>
      <c r="K242" s="57">
        <v>99</v>
      </c>
      <c r="L242" s="57">
        <v>0</v>
      </c>
      <c r="M242" s="57">
        <v>0</v>
      </c>
      <c r="N242" s="57">
        <v>15</v>
      </c>
      <c r="O242" s="57">
        <v>100</v>
      </c>
      <c r="P242" s="57">
        <v>1</v>
      </c>
      <c r="Q242" s="57" t="s">
        <v>632</v>
      </c>
      <c r="R242" s="57" t="s">
        <v>448</v>
      </c>
      <c r="S242" s="57" t="s">
        <v>524</v>
      </c>
      <c r="T242" s="57" t="s">
        <v>329</v>
      </c>
      <c r="U242" s="57">
        <v>0</v>
      </c>
      <c r="V242" s="57">
        <v>0</v>
      </c>
      <c r="W242" s="57">
        <v>73</v>
      </c>
      <c r="X242" s="57">
        <v>1</v>
      </c>
      <c r="Y242" s="57">
        <v>1202</v>
      </c>
      <c r="Z242" s="57">
        <v>1202</v>
      </c>
      <c r="AA242" s="57">
        <v>1206</v>
      </c>
      <c r="AB242" s="57">
        <v>1206</v>
      </c>
      <c r="AC242" s="57">
        <v>0</v>
      </c>
      <c r="AD242" s="57">
        <v>0</v>
      </c>
      <c r="AE242" s="58">
        <v>10401</v>
      </c>
      <c r="AF242" s="30">
        <v>0</v>
      </c>
      <c r="AG242" s="57">
        <v>0</v>
      </c>
      <c r="AH242" s="57">
        <v>0</v>
      </c>
      <c r="AI242" s="57">
        <v>0</v>
      </c>
      <c r="AJ242" s="57">
        <v>0</v>
      </c>
      <c r="AK242" s="57">
        <v>0</v>
      </c>
      <c r="AL242" s="57">
        <v>0</v>
      </c>
      <c r="AM242" s="57">
        <v>0</v>
      </c>
      <c r="AN242" s="57">
        <v>0</v>
      </c>
      <c r="AO242" s="57">
        <v>0</v>
      </c>
      <c r="AP242" s="57">
        <v>0</v>
      </c>
      <c r="AQ242" s="57">
        <v>0</v>
      </c>
      <c r="AR242" s="57">
        <v>0</v>
      </c>
      <c r="AS242" s="57">
        <v>0</v>
      </c>
      <c r="AT242" s="57">
        <v>0</v>
      </c>
      <c r="AU242" s="57">
        <v>0</v>
      </c>
      <c r="AV242" s="57">
        <v>0</v>
      </c>
      <c r="AW242" s="57">
        <v>0</v>
      </c>
      <c r="AX242" s="57">
        <v>0</v>
      </c>
      <c r="AY242" s="57">
        <v>0</v>
      </c>
      <c r="AZ242" s="57">
        <v>0</v>
      </c>
      <c r="BA242" s="57">
        <v>0</v>
      </c>
      <c r="BB242" s="57">
        <v>0</v>
      </c>
      <c r="BC242" s="57">
        <v>0</v>
      </c>
      <c r="BD242" s="57">
        <v>0</v>
      </c>
      <c r="BE242" s="57">
        <v>0</v>
      </c>
      <c r="BF242" s="57">
        <v>0</v>
      </c>
      <c r="BG242" s="57">
        <v>0</v>
      </c>
      <c r="BH242" s="57">
        <v>0</v>
      </c>
      <c r="BI242" s="57">
        <v>0</v>
      </c>
      <c r="BJ242" s="57">
        <v>0</v>
      </c>
      <c r="BK242" s="57">
        <v>0</v>
      </c>
      <c r="BL242" s="57">
        <v>0</v>
      </c>
      <c r="BM242" s="57">
        <v>0</v>
      </c>
      <c r="BN242" s="57">
        <v>0</v>
      </c>
      <c r="BO242" s="57">
        <v>0</v>
      </c>
      <c r="BP242" s="57">
        <v>0</v>
      </c>
      <c r="BQ242" s="57">
        <v>0</v>
      </c>
      <c r="BR242" s="57">
        <v>0</v>
      </c>
      <c r="BS242" s="57">
        <v>0</v>
      </c>
      <c r="BT242" s="57">
        <v>0</v>
      </c>
      <c r="BU242" s="57">
        <v>0</v>
      </c>
      <c r="BV242" s="57">
        <v>0</v>
      </c>
      <c r="BW242" s="57">
        <v>0</v>
      </c>
      <c r="BX242" s="57">
        <v>0</v>
      </c>
      <c r="BY242" s="57">
        <v>0</v>
      </c>
      <c r="BZ242" s="57">
        <v>0</v>
      </c>
      <c r="CA242" s="57">
        <v>0</v>
      </c>
    </row>
    <row r="243" spans="1:79" x14ac:dyDescent="0.3">
      <c r="A243" s="19"/>
      <c r="B243" s="20" t="str">
        <f t="shared" si="38"/>
        <v>14090002</v>
      </c>
      <c r="C243" s="55">
        <v>4</v>
      </c>
      <c r="D243" s="55">
        <f t="shared" si="80"/>
        <v>0</v>
      </c>
      <c r="E243" s="49">
        <v>2</v>
      </c>
      <c r="F243" s="57">
        <v>1</v>
      </c>
      <c r="G243" s="57">
        <v>100</v>
      </c>
      <c r="H243" s="57" t="str">
        <f t="shared" si="41"/>
        <v>Item_Name_14090002</v>
      </c>
      <c r="I243" s="57" t="s">
        <v>621</v>
      </c>
      <c r="J243" s="57">
        <v>10104001</v>
      </c>
      <c r="K243" s="57">
        <v>99</v>
      </c>
      <c r="L243" s="57">
        <v>0</v>
      </c>
      <c r="M243" s="57">
        <v>0</v>
      </c>
      <c r="N243" s="57">
        <v>15</v>
      </c>
      <c r="O243" s="57">
        <v>100</v>
      </c>
      <c r="P243" s="57">
        <v>1</v>
      </c>
      <c r="Q243" s="57" t="s">
        <v>633</v>
      </c>
      <c r="R243" s="57" t="s">
        <v>448</v>
      </c>
      <c r="S243" s="57" t="s">
        <v>524</v>
      </c>
      <c r="T243" s="57" t="s">
        <v>329</v>
      </c>
      <c r="U243" s="57">
        <v>0</v>
      </c>
      <c r="V243" s="57">
        <v>0</v>
      </c>
      <c r="W243" s="57">
        <v>73</v>
      </c>
      <c r="X243" s="57">
        <v>2</v>
      </c>
      <c r="Y243" s="57">
        <v>1202</v>
      </c>
      <c r="Z243" s="57">
        <v>1202</v>
      </c>
      <c r="AA243" s="57">
        <v>1206</v>
      </c>
      <c r="AB243" s="57">
        <v>1206</v>
      </c>
      <c r="AC243" s="57">
        <v>0</v>
      </c>
      <c r="AD243" s="57">
        <v>0</v>
      </c>
      <c r="AE243" s="58">
        <v>10402</v>
      </c>
      <c r="AF243" s="30">
        <v>0</v>
      </c>
      <c r="AG243" s="57">
        <v>0</v>
      </c>
      <c r="AH243" s="57">
        <v>0</v>
      </c>
      <c r="AI243" s="57">
        <v>0</v>
      </c>
      <c r="AJ243" s="57">
        <v>0</v>
      </c>
      <c r="AK243" s="57">
        <v>0</v>
      </c>
      <c r="AL243" s="57">
        <v>0</v>
      </c>
      <c r="AM243" s="57">
        <v>0</v>
      </c>
      <c r="AN243" s="57">
        <v>0</v>
      </c>
      <c r="AO243" s="57">
        <v>0</v>
      </c>
      <c r="AP243" s="57">
        <v>0</v>
      </c>
      <c r="AQ243" s="57">
        <v>0</v>
      </c>
      <c r="AR243" s="57">
        <v>0</v>
      </c>
      <c r="AS243" s="57">
        <v>0</v>
      </c>
      <c r="AT243" s="57">
        <v>0</v>
      </c>
      <c r="AU243" s="57">
        <v>0</v>
      </c>
      <c r="AV243" s="57">
        <v>0</v>
      </c>
      <c r="AW243" s="57">
        <v>0</v>
      </c>
      <c r="AX243" s="57">
        <v>0</v>
      </c>
      <c r="AY243" s="57">
        <v>0</v>
      </c>
      <c r="AZ243" s="57">
        <v>0</v>
      </c>
      <c r="BA243" s="57">
        <v>0</v>
      </c>
      <c r="BB243" s="57">
        <v>0</v>
      </c>
      <c r="BC243" s="57">
        <v>0</v>
      </c>
      <c r="BD243" s="57">
        <v>0</v>
      </c>
      <c r="BE243" s="57">
        <v>0</v>
      </c>
      <c r="BF243" s="57">
        <v>0</v>
      </c>
      <c r="BG243" s="57">
        <v>0</v>
      </c>
      <c r="BH243" s="57">
        <v>0</v>
      </c>
      <c r="BI243" s="57">
        <v>0</v>
      </c>
      <c r="BJ243" s="57">
        <v>0</v>
      </c>
      <c r="BK243" s="57">
        <v>0</v>
      </c>
      <c r="BL243" s="57">
        <v>0</v>
      </c>
      <c r="BM243" s="57">
        <v>0</v>
      </c>
      <c r="BN243" s="57">
        <v>0</v>
      </c>
      <c r="BO243" s="57">
        <v>0</v>
      </c>
      <c r="BP243" s="57">
        <v>0</v>
      </c>
      <c r="BQ243" s="57">
        <v>0</v>
      </c>
      <c r="BR243" s="57">
        <v>0</v>
      </c>
      <c r="BS243" s="57">
        <v>0</v>
      </c>
      <c r="BT243" s="57">
        <v>0</v>
      </c>
      <c r="BU243" s="57">
        <v>0</v>
      </c>
      <c r="BV243" s="57">
        <v>0</v>
      </c>
      <c r="BW243" s="57">
        <v>0</v>
      </c>
      <c r="BX243" s="57">
        <v>0</v>
      </c>
      <c r="BY243" s="57">
        <v>0</v>
      </c>
      <c r="BZ243" s="57">
        <v>0</v>
      </c>
      <c r="CA243" s="57">
        <v>0</v>
      </c>
    </row>
    <row r="244" spans="1:79" x14ac:dyDescent="0.3">
      <c r="A244" s="19"/>
      <c r="B244" s="20" t="str">
        <f t="shared" si="38"/>
        <v>14090003</v>
      </c>
      <c r="C244" s="55">
        <v>4</v>
      </c>
      <c r="D244" s="55">
        <f t="shared" si="80"/>
        <v>0</v>
      </c>
      <c r="E244" s="49">
        <v>3</v>
      </c>
      <c r="F244" s="57">
        <v>1</v>
      </c>
      <c r="G244" s="57">
        <v>100</v>
      </c>
      <c r="H244" s="57" t="str">
        <f t="shared" si="41"/>
        <v>Item_Name_14090003</v>
      </c>
      <c r="I244" s="57" t="s">
        <v>622</v>
      </c>
      <c r="J244" s="57">
        <v>10104001</v>
      </c>
      <c r="K244" s="57">
        <v>99</v>
      </c>
      <c r="L244" s="57">
        <v>0</v>
      </c>
      <c r="M244" s="57">
        <v>0</v>
      </c>
      <c r="N244" s="57">
        <v>15</v>
      </c>
      <c r="O244" s="57">
        <v>100</v>
      </c>
      <c r="P244" s="57">
        <v>1</v>
      </c>
      <c r="Q244" s="57" t="s">
        <v>634</v>
      </c>
      <c r="R244" s="57" t="s">
        <v>448</v>
      </c>
      <c r="S244" s="57" t="s">
        <v>524</v>
      </c>
      <c r="T244" s="57" t="s">
        <v>329</v>
      </c>
      <c r="U244" s="57">
        <v>0</v>
      </c>
      <c r="V244" s="57">
        <v>0</v>
      </c>
      <c r="W244" s="57">
        <v>73</v>
      </c>
      <c r="X244" s="57">
        <v>3</v>
      </c>
      <c r="Y244" s="57">
        <v>1202</v>
      </c>
      <c r="Z244" s="57">
        <v>1202</v>
      </c>
      <c r="AA244" s="57">
        <v>1206</v>
      </c>
      <c r="AB244" s="57">
        <v>1206</v>
      </c>
      <c r="AC244" s="57">
        <v>0</v>
      </c>
      <c r="AD244" s="57">
        <v>0</v>
      </c>
      <c r="AE244" s="58">
        <v>10403</v>
      </c>
      <c r="AF244" s="30">
        <v>0</v>
      </c>
      <c r="AG244" s="57">
        <v>0</v>
      </c>
      <c r="AH244" s="57">
        <v>0</v>
      </c>
      <c r="AI244" s="57">
        <v>0</v>
      </c>
      <c r="AJ244" s="57">
        <v>0</v>
      </c>
      <c r="AK244" s="57">
        <v>0</v>
      </c>
      <c r="AL244" s="57">
        <v>0</v>
      </c>
      <c r="AM244" s="57">
        <v>0</v>
      </c>
      <c r="AN244" s="57">
        <v>0</v>
      </c>
      <c r="AO244" s="57">
        <v>0</v>
      </c>
      <c r="AP244" s="57">
        <v>0</v>
      </c>
      <c r="AQ244" s="57">
        <v>0</v>
      </c>
      <c r="AR244" s="57">
        <v>0</v>
      </c>
      <c r="AS244" s="57">
        <v>0</v>
      </c>
      <c r="AT244" s="57">
        <v>0</v>
      </c>
      <c r="AU244" s="57">
        <v>0</v>
      </c>
      <c r="AV244" s="57">
        <v>0</v>
      </c>
      <c r="AW244" s="57">
        <v>0</v>
      </c>
      <c r="AX244" s="57">
        <v>0</v>
      </c>
      <c r="AY244" s="57">
        <v>0</v>
      </c>
      <c r="AZ244" s="57">
        <v>0</v>
      </c>
      <c r="BA244" s="57">
        <v>0</v>
      </c>
      <c r="BB244" s="57">
        <v>0</v>
      </c>
      <c r="BC244" s="57">
        <v>0</v>
      </c>
      <c r="BD244" s="57">
        <v>0</v>
      </c>
      <c r="BE244" s="57">
        <v>0</v>
      </c>
      <c r="BF244" s="57">
        <v>0</v>
      </c>
      <c r="BG244" s="57">
        <v>0</v>
      </c>
      <c r="BH244" s="57">
        <v>0</v>
      </c>
      <c r="BI244" s="57">
        <v>0</v>
      </c>
      <c r="BJ244" s="57">
        <v>0</v>
      </c>
      <c r="BK244" s="57">
        <v>0</v>
      </c>
      <c r="BL244" s="57">
        <v>0</v>
      </c>
      <c r="BM244" s="57">
        <v>0</v>
      </c>
      <c r="BN244" s="57">
        <v>0</v>
      </c>
      <c r="BO244" s="57">
        <v>0</v>
      </c>
      <c r="BP244" s="57">
        <v>0</v>
      </c>
      <c r="BQ244" s="57">
        <v>0</v>
      </c>
      <c r="BR244" s="57">
        <v>0</v>
      </c>
      <c r="BS244" s="57">
        <v>0</v>
      </c>
      <c r="BT244" s="57">
        <v>0</v>
      </c>
      <c r="BU244" s="57">
        <v>0</v>
      </c>
      <c r="BV244" s="57">
        <v>0</v>
      </c>
      <c r="BW244" s="57">
        <v>0</v>
      </c>
      <c r="BX244" s="57">
        <v>0</v>
      </c>
      <c r="BY244" s="57">
        <v>0</v>
      </c>
      <c r="BZ244" s="57">
        <v>0</v>
      </c>
      <c r="CA244" s="57">
        <v>0</v>
      </c>
    </row>
    <row r="245" spans="1:79" x14ac:dyDescent="0.3">
      <c r="A245" s="19"/>
      <c r="B245" s="20" t="str">
        <f t="shared" si="38"/>
        <v>11190001</v>
      </c>
      <c r="C245" s="55" t="str">
        <f t="shared" si="39"/>
        <v>1</v>
      </c>
      <c r="D245" s="55">
        <f t="shared" si="40"/>
        <v>1</v>
      </c>
      <c r="E245" s="49">
        <v>1</v>
      </c>
      <c r="F245" s="57">
        <v>1</v>
      </c>
      <c r="G245" s="57">
        <v>101</v>
      </c>
      <c r="H245" s="57" t="str">
        <f t="shared" si="41"/>
        <v>Item_Name_11190001</v>
      </c>
      <c r="I245" s="57" t="s">
        <v>451</v>
      </c>
      <c r="J245" s="57">
        <v>10101001</v>
      </c>
      <c r="K245" s="57">
        <v>99</v>
      </c>
      <c r="L245" s="57">
        <v>0</v>
      </c>
      <c r="M245" s="57">
        <v>0</v>
      </c>
      <c r="N245" s="57">
        <v>15</v>
      </c>
      <c r="O245" s="57">
        <v>100</v>
      </c>
      <c r="P245" s="57">
        <v>1</v>
      </c>
      <c r="Q245" s="57" t="s">
        <v>644</v>
      </c>
      <c r="R245" s="57" t="s">
        <v>448</v>
      </c>
      <c r="S245" s="57" t="s">
        <v>319</v>
      </c>
      <c r="T245" s="57" t="s">
        <v>330</v>
      </c>
      <c r="U245" s="57">
        <v>0</v>
      </c>
      <c r="V245" s="57">
        <v>0</v>
      </c>
      <c r="W245" s="57">
        <v>73</v>
      </c>
      <c r="X245" s="57">
        <v>1</v>
      </c>
      <c r="Y245" s="57">
        <v>1201</v>
      </c>
      <c r="Z245" s="57">
        <v>1201</v>
      </c>
      <c r="AA245" s="57">
        <v>1201</v>
      </c>
      <c r="AB245" s="57">
        <v>1201</v>
      </c>
      <c r="AC245" s="57">
        <v>0</v>
      </c>
      <c r="AD245" s="57">
        <v>0</v>
      </c>
      <c r="AE245" s="58">
        <v>10101</v>
      </c>
      <c r="AF245" s="30">
        <v>0</v>
      </c>
      <c r="AG245" s="57">
        <v>0</v>
      </c>
      <c r="AH245" s="57">
        <v>0</v>
      </c>
      <c r="AI245" s="57">
        <v>0</v>
      </c>
      <c r="AJ245" s="57">
        <v>0</v>
      </c>
      <c r="AK245" s="57">
        <v>0</v>
      </c>
      <c r="AL245" s="57">
        <v>0</v>
      </c>
      <c r="AM245" s="57">
        <v>0</v>
      </c>
      <c r="AN245" s="57">
        <v>0</v>
      </c>
      <c r="AO245" s="57">
        <v>0</v>
      </c>
      <c r="AP245" s="57">
        <v>0</v>
      </c>
      <c r="AQ245" s="57">
        <v>0</v>
      </c>
      <c r="AR245" s="57">
        <v>0</v>
      </c>
      <c r="AS245" s="57">
        <v>0</v>
      </c>
      <c r="AT245" s="57">
        <v>0</v>
      </c>
      <c r="AU245" s="57">
        <v>0</v>
      </c>
      <c r="AV245" s="57">
        <v>0</v>
      </c>
      <c r="AW245" s="57">
        <v>0</v>
      </c>
      <c r="AX245" s="57">
        <v>0</v>
      </c>
      <c r="AY245" s="57">
        <v>0</v>
      </c>
      <c r="AZ245" s="57">
        <v>0</v>
      </c>
      <c r="BA245" s="57">
        <v>0</v>
      </c>
      <c r="BB245" s="57">
        <v>0</v>
      </c>
      <c r="BC245" s="57">
        <v>0</v>
      </c>
      <c r="BD245" s="57">
        <v>0</v>
      </c>
      <c r="BE245" s="57">
        <v>0</v>
      </c>
      <c r="BF245" s="57">
        <v>0</v>
      </c>
      <c r="BG245" s="57">
        <v>0</v>
      </c>
      <c r="BH245" s="57">
        <v>0</v>
      </c>
      <c r="BI245" s="57">
        <v>0</v>
      </c>
      <c r="BJ245" s="57">
        <v>0</v>
      </c>
      <c r="BK245" s="57">
        <v>0</v>
      </c>
      <c r="BL245" s="57">
        <v>0</v>
      </c>
      <c r="BM245" s="57">
        <v>0</v>
      </c>
      <c r="BN245" s="57">
        <v>0</v>
      </c>
      <c r="BO245" s="57">
        <v>0</v>
      </c>
      <c r="BP245" s="57">
        <v>0</v>
      </c>
      <c r="BQ245" s="57">
        <v>0</v>
      </c>
      <c r="BR245" s="57">
        <v>0</v>
      </c>
      <c r="BS245" s="57">
        <v>0</v>
      </c>
      <c r="BT245" s="57">
        <v>0</v>
      </c>
      <c r="BU245" s="57">
        <v>0</v>
      </c>
      <c r="BV245" s="57">
        <v>0</v>
      </c>
      <c r="BW245" s="57">
        <v>0</v>
      </c>
      <c r="BX245" s="57">
        <v>0</v>
      </c>
      <c r="BY245" s="57">
        <v>0</v>
      </c>
      <c r="BZ245" s="57">
        <v>0</v>
      </c>
      <c r="CA245" s="57">
        <v>0</v>
      </c>
    </row>
    <row r="246" spans="1:79" x14ac:dyDescent="0.3">
      <c r="A246" s="19"/>
      <c r="B246" s="20" t="str">
        <f t="shared" si="38"/>
        <v>11190002</v>
      </c>
      <c r="C246" s="55" t="str">
        <f t="shared" ref="C246:C247" si="81">IF(J246&gt;0,MID(J246,5, 1), 0)</f>
        <v>1</v>
      </c>
      <c r="D246" s="55">
        <f t="shared" ref="D246:D247" si="82">IF(G246&lt;100, G246, G246-100)</f>
        <v>1</v>
      </c>
      <c r="E246" s="49">
        <v>2</v>
      </c>
      <c r="F246" s="57">
        <v>1</v>
      </c>
      <c r="G246" s="57">
        <v>101</v>
      </c>
      <c r="H246" s="57" t="str">
        <f t="shared" si="41"/>
        <v>Item_Name_11190002</v>
      </c>
      <c r="I246" s="57" t="s">
        <v>588</v>
      </c>
      <c r="J246" s="57">
        <v>10101001</v>
      </c>
      <c r="K246" s="57">
        <v>99</v>
      </c>
      <c r="L246" s="57">
        <v>0</v>
      </c>
      <c r="M246" s="57">
        <v>0</v>
      </c>
      <c r="N246" s="57">
        <v>15</v>
      </c>
      <c r="O246" s="57">
        <v>100</v>
      </c>
      <c r="P246" s="57">
        <v>1</v>
      </c>
      <c r="Q246" s="57" t="s">
        <v>645</v>
      </c>
      <c r="R246" s="57" t="s">
        <v>448</v>
      </c>
      <c r="S246" s="57" t="s">
        <v>319</v>
      </c>
      <c r="T246" s="57" t="s">
        <v>330</v>
      </c>
      <c r="U246" s="57">
        <v>0</v>
      </c>
      <c r="V246" s="57">
        <v>0</v>
      </c>
      <c r="W246" s="57">
        <v>73</v>
      </c>
      <c r="X246" s="57">
        <v>2</v>
      </c>
      <c r="Y246" s="57">
        <v>1201</v>
      </c>
      <c r="Z246" s="57">
        <v>1201</v>
      </c>
      <c r="AA246" s="57">
        <v>1201</v>
      </c>
      <c r="AB246" s="57">
        <v>1201</v>
      </c>
      <c r="AC246" s="57">
        <v>0</v>
      </c>
      <c r="AD246" s="57">
        <v>0</v>
      </c>
      <c r="AE246" s="58">
        <v>10102</v>
      </c>
      <c r="AF246" s="30">
        <v>0</v>
      </c>
      <c r="AG246" s="57">
        <v>0</v>
      </c>
      <c r="AH246" s="57">
        <v>0</v>
      </c>
      <c r="AI246" s="57">
        <v>0</v>
      </c>
      <c r="AJ246" s="57">
        <v>0</v>
      </c>
      <c r="AK246" s="57">
        <v>0</v>
      </c>
      <c r="AL246" s="57">
        <v>0</v>
      </c>
      <c r="AM246" s="57">
        <v>0</v>
      </c>
      <c r="AN246" s="57">
        <v>0</v>
      </c>
      <c r="AO246" s="57">
        <v>0</v>
      </c>
      <c r="AP246" s="57">
        <v>0</v>
      </c>
      <c r="AQ246" s="57">
        <v>0</v>
      </c>
      <c r="AR246" s="57">
        <v>0</v>
      </c>
      <c r="AS246" s="57">
        <v>0</v>
      </c>
      <c r="AT246" s="57">
        <v>0</v>
      </c>
      <c r="AU246" s="57">
        <v>0</v>
      </c>
      <c r="AV246" s="57">
        <v>0</v>
      </c>
      <c r="AW246" s="57">
        <v>0</v>
      </c>
      <c r="AX246" s="57">
        <v>0</v>
      </c>
      <c r="AY246" s="57">
        <v>0</v>
      </c>
      <c r="AZ246" s="57">
        <v>0</v>
      </c>
      <c r="BA246" s="57">
        <v>0</v>
      </c>
      <c r="BB246" s="57">
        <v>0</v>
      </c>
      <c r="BC246" s="57">
        <v>0</v>
      </c>
      <c r="BD246" s="57">
        <v>0</v>
      </c>
      <c r="BE246" s="57">
        <v>0</v>
      </c>
      <c r="BF246" s="57">
        <v>0</v>
      </c>
      <c r="BG246" s="57">
        <v>0</v>
      </c>
      <c r="BH246" s="57">
        <v>0</v>
      </c>
      <c r="BI246" s="57">
        <v>0</v>
      </c>
      <c r="BJ246" s="57">
        <v>0</v>
      </c>
      <c r="BK246" s="57">
        <v>0</v>
      </c>
      <c r="BL246" s="57">
        <v>0</v>
      </c>
      <c r="BM246" s="57">
        <v>0</v>
      </c>
      <c r="BN246" s="57">
        <v>0</v>
      </c>
      <c r="BO246" s="57">
        <v>0</v>
      </c>
      <c r="BP246" s="57">
        <v>0</v>
      </c>
      <c r="BQ246" s="57">
        <v>0</v>
      </c>
      <c r="BR246" s="57">
        <v>0</v>
      </c>
      <c r="BS246" s="57">
        <v>0</v>
      </c>
      <c r="BT246" s="57">
        <v>0</v>
      </c>
      <c r="BU246" s="57">
        <v>0</v>
      </c>
      <c r="BV246" s="57">
        <v>0</v>
      </c>
      <c r="BW246" s="57">
        <v>0</v>
      </c>
      <c r="BX246" s="57">
        <v>0</v>
      </c>
      <c r="BY246" s="57">
        <v>0</v>
      </c>
      <c r="BZ246" s="57">
        <v>0</v>
      </c>
      <c r="CA246" s="57">
        <v>0</v>
      </c>
    </row>
    <row r="247" spans="1:79" x14ac:dyDescent="0.3">
      <c r="A247" s="19"/>
      <c r="B247" s="20" t="str">
        <f t="shared" si="38"/>
        <v>11190003</v>
      </c>
      <c r="C247" s="55" t="str">
        <f t="shared" si="81"/>
        <v>1</v>
      </c>
      <c r="D247" s="55">
        <f t="shared" si="82"/>
        <v>1</v>
      </c>
      <c r="E247" s="49">
        <v>3</v>
      </c>
      <c r="F247" s="57">
        <v>1</v>
      </c>
      <c r="G247" s="57">
        <v>101</v>
      </c>
      <c r="H247" s="57" t="str">
        <f t="shared" si="41"/>
        <v>Item_Name_11190003</v>
      </c>
      <c r="I247" s="57" t="s">
        <v>589</v>
      </c>
      <c r="J247" s="57">
        <v>10101001</v>
      </c>
      <c r="K247" s="57">
        <v>99</v>
      </c>
      <c r="L247" s="57">
        <v>0</v>
      </c>
      <c r="M247" s="57">
        <v>0</v>
      </c>
      <c r="N247" s="57">
        <v>15</v>
      </c>
      <c r="O247" s="57">
        <v>100</v>
      </c>
      <c r="P247" s="57">
        <v>1</v>
      </c>
      <c r="Q247" s="57" t="s">
        <v>646</v>
      </c>
      <c r="R247" s="57" t="s">
        <v>448</v>
      </c>
      <c r="S247" s="57" t="s">
        <v>319</v>
      </c>
      <c r="T247" s="57" t="s">
        <v>330</v>
      </c>
      <c r="U247" s="57">
        <v>0</v>
      </c>
      <c r="V247" s="57">
        <v>0</v>
      </c>
      <c r="W247" s="57">
        <v>73</v>
      </c>
      <c r="X247" s="57">
        <v>3</v>
      </c>
      <c r="Y247" s="57">
        <v>1201</v>
      </c>
      <c r="Z247" s="57">
        <v>1201</v>
      </c>
      <c r="AA247" s="57">
        <v>1201</v>
      </c>
      <c r="AB247" s="57">
        <v>1201</v>
      </c>
      <c r="AC247" s="57">
        <v>0</v>
      </c>
      <c r="AD247" s="57">
        <v>0</v>
      </c>
      <c r="AE247" s="58">
        <v>10103</v>
      </c>
      <c r="AF247" s="30">
        <v>0</v>
      </c>
      <c r="AG247" s="57">
        <v>0</v>
      </c>
      <c r="AH247" s="57">
        <v>0</v>
      </c>
      <c r="AI247" s="57">
        <v>0</v>
      </c>
      <c r="AJ247" s="57">
        <v>0</v>
      </c>
      <c r="AK247" s="57">
        <v>0</v>
      </c>
      <c r="AL247" s="57">
        <v>0</v>
      </c>
      <c r="AM247" s="57">
        <v>0</v>
      </c>
      <c r="AN247" s="57">
        <v>0</v>
      </c>
      <c r="AO247" s="57">
        <v>0</v>
      </c>
      <c r="AP247" s="57">
        <v>0</v>
      </c>
      <c r="AQ247" s="57">
        <v>0</v>
      </c>
      <c r="AR247" s="57">
        <v>0</v>
      </c>
      <c r="AS247" s="57">
        <v>0</v>
      </c>
      <c r="AT247" s="57">
        <v>0</v>
      </c>
      <c r="AU247" s="57">
        <v>0</v>
      </c>
      <c r="AV247" s="57">
        <v>0</v>
      </c>
      <c r="AW247" s="57">
        <v>0</v>
      </c>
      <c r="AX247" s="57">
        <v>0</v>
      </c>
      <c r="AY247" s="57">
        <v>0</v>
      </c>
      <c r="AZ247" s="57">
        <v>0</v>
      </c>
      <c r="BA247" s="57">
        <v>0</v>
      </c>
      <c r="BB247" s="57">
        <v>0</v>
      </c>
      <c r="BC247" s="57">
        <v>0</v>
      </c>
      <c r="BD247" s="57">
        <v>0</v>
      </c>
      <c r="BE247" s="57">
        <v>0</v>
      </c>
      <c r="BF247" s="57">
        <v>0</v>
      </c>
      <c r="BG247" s="57">
        <v>0</v>
      </c>
      <c r="BH247" s="57">
        <v>0</v>
      </c>
      <c r="BI247" s="57">
        <v>0</v>
      </c>
      <c r="BJ247" s="57">
        <v>0</v>
      </c>
      <c r="BK247" s="57">
        <v>0</v>
      </c>
      <c r="BL247" s="57">
        <v>0</v>
      </c>
      <c r="BM247" s="57">
        <v>0</v>
      </c>
      <c r="BN247" s="57">
        <v>0</v>
      </c>
      <c r="BO247" s="57">
        <v>0</v>
      </c>
      <c r="BP247" s="57">
        <v>0</v>
      </c>
      <c r="BQ247" s="57">
        <v>0</v>
      </c>
      <c r="BR247" s="57">
        <v>0</v>
      </c>
      <c r="BS247" s="57">
        <v>0</v>
      </c>
      <c r="BT247" s="57">
        <v>0</v>
      </c>
      <c r="BU247" s="57">
        <v>0</v>
      </c>
      <c r="BV247" s="57">
        <v>0</v>
      </c>
      <c r="BW247" s="57">
        <v>0</v>
      </c>
      <c r="BX247" s="57">
        <v>0</v>
      </c>
      <c r="BY247" s="57">
        <v>0</v>
      </c>
      <c r="BZ247" s="57">
        <v>0</v>
      </c>
      <c r="CA247" s="57">
        <v>0</v>
      </c>
    </row>
    <row r="248" spans="1:79" x14ac:dyDescent="0.3">
      <c r="A248" s="19"/>
      <c r="B248" s="20" t="str">
        <f t="shared" si="38"/>
        <v>12190001</v>
      </c>
      <c r="C248" s="55" t="str">
        <f t="shared" si="39"/>
        <v>2</v>
      </c>
      <c r="D248" s="55">
        <f t="shared" si="40"/>
        <v>1</v>
      </c>
      <c r="E248" s="49">
        <v>1</v>
      </c>
      <c r="F248" s="20">
        <v>1</v>
      </c>
      <c r="G248" s="20">
        <v>101</v>
      </c>
      <c r="H248" s="20" t="str">
        <f t="shared" si="41"/>
        <v>Item_Name_12190001</v>
      </c>
      <c r="I248" s="20" t="s">
        <v>593</v>
      </c>
      <c r="J248" s="20">
        <v>10102001</v>
      </c>
      <c r="K248" s="20">
        <v>99</v>
      </c>
      <c r="L248" s="20">
        <v>0</v>
      </c>
      <c r="M248" s="20">
        <v>0</v>
      </c>
      <c r="N248" s="20">
        <v>15</v>
      </c>
      <c r="O248" s="20">
        <v>100</v>
      </c>
      <c r="P248" s="20">
        <v>1</v>
      </c>
      <c r="Q248" s="20" t="s">
        <v>452</v>
      </c>
      <c r="R248" s="20" t="s">
        <v>448</v>
      </c>
      <c r="S248" s="20" t="s">
        <v>320</v>
      </c>
      <c r="T248" s="20" t="s">
        <v>330</v>
      </c>
      <c r="U248" s="20">
        <v>0</v>
      </c>
      <c r="V248" s="20">
        <v>0</v>
      </c>
      <c r="W248" s="20">
        <v>73</v>
      </c>
      <c r="X248" s="20">
        <v>1</v>
      </c>
      <c r="Y248" s="20">
        <v>1203</v>
      </c>
      <c r="Z248" s="20">
        <v>1203</v>
      </c>
      <c r="AA248" s="20">
        <v>1203</v>
      </c>
      <c r="AB248" s="20">
        <v>1203</v>
      </c>
      <c r="AC248" s="20">
        <v>0</v>
      </c>
      <c r="AD248" s="20">
        <v>0</v>
      </c>
      <c r="AE248" s="39">
        <v>10201</v>
      </c>
      <c r="AF248" s="31">
        <v>0</v>
      </c>
      <c r="AG248" s="20">
        <v>0</v>
      </c>
      <c r="AH248" s="20">
        <v>0</v>
      </c>
      <c r="AI248" s="20">
        <v>0</v>
      </c>
      <c r="AJ248" s="20">
        <v>0</v>
      </c>
      <c r="AK248" s="20">
        <v>0</v>
      </c>
      <c r="AL248" s="20">
        <v>0</v>
      </c>
      <c r="AM248" s="20">
        <v>0</v>
      </c>
      <c r="AN248" s="20">
        <v>0</v>
      </c>
      <c r="AO248" s="20">
        <v>0</v>
      </c>
      <c r="AP248" s="20">
        <v>0</v>
      </c>
      <c r="AQ248" s="20">
        <v>0</v>
      </c>
      <c r="AR248" s="20">
        <v>0</v>
      </c>
      <c r="AS248" s="20">
        <v>0</v>
      </c>
      <c r="AT248" s="20">
        <v>0</v>
      </c>
      <c r="AU248" s="20">
        <v>0</v>
      </c>
      <c r="AV248" s="20">
        <v>0</v>
      </c>
      <c r="AW248" s="20">
        <v>0</v>
      </c>
      <c r="AX248" s="20">
        <v>0</v>
      </c>
      <c r="AY248" s="20">
        <v>0</v>
      </c>
      <c r="AZ248" s="20">
        <v>0</v>
      </c>
      <c r="BA248" s="20">
        <v>0</v>
      </c>
      <c r="BB248" s="20">
        <v>0</v>
      </c>
      <c r="BC248" s="20">
        <v>0</v>
      </c>
      <c r="BD248" s="20">
        <v>0</v>
      </c>
      <c r="BE248" s="20">
        <v>0</v>
      </c>
      <c r="BF248" s="20">
        <v>0</v>
      </c>
      <c r="BG248" s="20">
        <v>0</v>
      </c>
      <c r="BH248" s="20">
        <v>0</v>
      </c>
      <c r="BI248" s="20">
        <v>0</v>
      </c>
      <c r="BJ248" s="20">
        <v>0</v>
      </c>
      <c r="BK248" s="20">
        <v>0</v>
      </c>
      <c r="BL248" s="20">
        <v>0</v>
      </c>
      <c r="BM248" s="20">
        <v>0</v>
      </c>
      <c r="BN248" s="20">
        <v>0</v>
      </c>
      <c r="BO248" s="20">
        <v>0</v>
      </c>
      <c r="BP248" s="20">
        <v>0</v>
      </c>
      <c r="BQ248" s="20">
        <v>0</v>
      </c>
      <c r="BR248" s="20">
        <v>0</v>
      </c>
      <c r="BS248" s="20">
        <v>0</v>
      </c>
      <c r="BT248" s="20">
        <v>0</v>
      </c>
      <c r="BU248" s="20">
        <v>0</v>
      </c>
      <c r="BV248" s="20">
        <v>0</v>
      </c>
      <c r="BW248" s="20">
        <v>0</v>
      </c>
      <c r="BX248" s="20">
        <v>0</v>
      </c>
      <c r="BY248" s="20">
        <v>0</v>
      </c>
      <c r="BZ248" s="20">
        <v>0</v>
      </c>
      <c r="CA248" s="20">
        <v>0</v>
      </c>
    </row>
    <row r="249" spans="1:79" x14ac:dyDescent="0.3">
      <c r="A249" s="19"/>
      <c r="B249" s="20" t="str">
        <f t="shared" si="38"/>
        <v>12190002</v>
      </c>
      <c r="C249" s="55" t="str">
        <f t="shared" si="39"/>
        <v>2</v>
      </c>
      <c r="D249" s="55">
        <f t="shared" si="40"/>
        <v>1</v>
      </c>
      <c r="E249" s="49">
        <v>2</v>
      </c>
      <c r="F249" s="20">
        <v>1</v>
      </c>
      <c r="G249" s="20">
        <v>101</v>
      </c>
      <c r="H249" s="20" t="str">
        <f t="shared" si="41"/>
        <v>Item_Name_12190002</v>
      </c>
      <c r="I249" s="20" t="s">
        <v>594</v>
      </c>
      <c r="J249" s="20">
        <v>10102001</v>
      </c>
      <c r="K249" s="20">
        <v>99</v>
      </c>
      <c r="L249" s="20">
        <v>0</v>
      </c>
      <c r="M249" s="20">
        <v>0</v>
      </c>
      <c r="N249" s="20">
        <v>15</v>
      </c>
      <c r="O249" s="20">
        <v>100</v>
      </c>
      <c r="P249" s="20">
        <v>1</v>
      </c>
      <c r="Q249" s="20" t="s">
        <v>453</v>
      </c>
      <c r="R249" s="20" t="s">
        <v>448</v>
      </c>
      <c r="S249" s="20" t="s">
        <v>320</v>
      </c>
      <c r="T249" s="20" t="s">
        <v>330</v>
      </c>
      <c r="U249" s="20">
        <v>0</v>
      </c>
      <c r="V249" s="20">
        <v>0</v>
      </c>
      <c r="W249" s="20">
        <v>73</v>
      </c>
      <c r="X249" s="20">
        <v>2</v>
      </c>
      <c r="Y249" s="20">
        <v>1203</v>
      </c>
      <c r="Z249" s="20">
        <v>1203</v>
      </c>
      <c r="AA249" s="20">
        <v>1203</v>
      </c>
      <c r="AB249" s="20">
        <v>1203</v>
      </c>
      <c r="AC249" s="20">
        <v>0</v>
      </c>
      <c r="AD249" s="20">
        <v>0</v>
      </c>
      <c r="AE249" s="39">
        <v>10202</v>
      </c>
      <c r="AF249" s="31">
        <v>0</v>
      </c>
      <c r="AG249" s="20">
        <v>0</v>
      </c>
      <c r="AH249" s="20">
        <v>0</v>
      </c>
      <c r="AI249" s="20">
        <v>0</v>
      </c>
      <c r="AJ249" s="20">
        <v>0</v>
      </c>
      <c r="AK249" s="20">
        <v>0</v>
      </c>
      <c r="AL249" s="20">
        <v>0</v>
      </c>
      <c r="AM249" s="20">
        <v>0</v>
      </c>
      <c r="AN249" s="20">
        <v>0</v>
      </c>
      <c r="AO249" s="20">
        <v>0</v>
      </c>
      <c r="AP249" s="20">
        <v>0</v>
      </c>
      <c r="AQ249" s="20">
        <v>0</v>
      </c>
      <c r="AR249" s="20">
        <v>0</v>
      </c>
      <c r="AS249" s="20">
        <v>0</v>
      </c>
      <c r="AT249" s="20">
        <v>0</v>
      </c>
      <c r="AU249" s="20">
        <v>0</v>
      </c>
      <c r="AV249" s="20">
        <v>0</v>
      </c>
      <c r="AW249" s="20">
        <v>0</v>
      </c>
      <c r="AX249" s="20">
        <v>0</v>
      </c>
      <c r="AY249" s="20">
        <v>0</v>
      </c>
      <c r="AZ249" s="20">
        <v>0</v>
      </c>
      <c r="BA249" s="20">
        <v>0</v>
      </c>
      <c r="BB249" s="20">
        <v>0</v>
      </c>
      <c r="BC249" s="20">
        <v>0</v>
      </c>
      <c r="BD249" s="20">
        <v>0</v>
      </c>
      <c r="BE249" s="20">
        <v>0</v>
      </c>
      <c r="BF249" s="20">
        <v>0</v>
      </c>
      <c r="BG249" s="20">
        <v>0</v>
      </c>
      <c r="BH249" s="20">
        <v>0</v>
      </c>
      <c r="BI249" s="20">
        <v>0</v>
      </c>
      <c r="BJ249" s="20">
        <v>0</v>
      </c>
      <c r="BK249" s="20">
        <v>0</v>
      </c>
      <c r="BL249" s="20">
        <v>0</v>
      </c>
      <c r="BM249" s="20">
        <v>0</v>
      </c>
      <c r="BN249" s="20">
        <v>0</v>
      </c>
      <c r="BO249" s="20">
        <v>0</v>
      </c>
      <c r="BP249" s="20">
        <v>0</v>
      </c>
      <c r="BQ249" s="20">
        <v>0</v>
      </c>
      <c r="BR249" s="20">
        <v>0</v>
      </c>
      <c r="BS249" s="20">
        <v>0</v>
      </c>
      <c r="BT249" s="20">
        <v>0</v>
      </c>
      <c r="BU249" s="20">
        <v>0</v>
      </c>
      <c r="BV249" s="20">
        <v>0</v>
      </c>
      <c r="BW249" s="20">
        <v>0</v>
      </c>
      <c r="BX249" s="20">
        <v>0</v>
      </c>
      <c r="BY249" s="20">
        <v>0</v>
      </c>
      <c r="BZ249" s="20">
        <v>0</v>
      </c>
      <c r="CA249" s="20">
        <v>0</v>
      </c>
    </row>
    <row r="250" spans="1:79" x14ac:dyDescent="0.3">
      <c r="A250" s="19"/>
      <c r="B250" s="20" t="str">
        <f t="shared" si="38"/>
        <v>12190003</v>
      </c>
      <c r="C250" s="55" t="str">
        <f t="shared" si="39"/>
        <v>2</v>
      </c>
      <c r="D250" s="55">
        <f t="shared" si="40"/>
        <v>1</v>
      </c>
      <c r="E250" s="49">
        <v>3</v>
      </c>
      <c r="F250" s="20">
        <v>1</v>
      </c>
      <c r="G250" s="20">
        <v>101</v>
      </c>
      <c r="H250" s="20" t="str">
        <f t="shared" si="41"/>
        <v>Item_Name_12190003</v>
      </c>
      <c r="I250" s="20" t="s">
        <v>595</v>
      </c>
      <c r="J250" s="20">
        <v>10102001</v>
      </c>
      <c r="K250" s="20">
        <v>99</v>
      </c>
      <c r="L250" s="20">
        <v>0</v>
      </c>
      <c r="M250" s="20">
        <v>0</v>
      </c>
      <c r="N250" s="20">
        <v>15</v>
      </c>
      <c r="O250" s="20">
        <v>100</v>
      </c>
      <c r="P250" s="20">
        <v>1</v>
      </c>
      <c r="Q250" s="20" t="s">
        <v>224</v>
      </c>
      <c r="R250" s="20" t="s">
        <v>448</v>
      </c>
      <c r="S250" s="20" t="s">
        <v>320</v>
      </c>
      <c r="T250" s="20" t="s">
        <v>330</v>
      </c>
      <c r="U250" s="20">
        <v>0</v>
      </c>
      <c r="V250" s="20">
        <v>0</v>
      </c>
      <c r="W250" s="20">
        <v>73</v>
      </c>
      <c r="X250" s="20">
        <v>3</v>
      </c>
      <c r="Y250" s="20">
        <v>1203</v>
      </c>
      <c r="Z250" s="20">
        <v>1203</v>
      </c>
      <c r="AA250" s="20">
        <v>1203</v>
      </c>
      <c r="AB250" s="20">
        <v>1203</v>
      </c>
      <c r="AC250" s="20">
        <v>0</v>
      </c>
      <c r="AD250" s="20">
        <v>0</v>
      </c>
      <c r="AE250" s="39">
        <v>10203</v>
      </c>
      <c r="AF250" s="31">
        <v>0</v>
      </c>
      <c r="AG250" s="20">
        <v>0</v>
      </c>
      <c r="AH250" s="20">
        <v>0</v>
      </c>
      <c r="AI250" s="20">
        <v>0</v>
      </c>
      <c r="AJ250" s="20">
        <v>0</v>
      </c>
      <c r="AK250" s="20">
        <v>0</v>
      </c>
      <c r="AL250" s="20">
        <v>0</v>
      </c>
      <c r="AM250" s="20">
        <v>0</v>
      </c>
      <c r="AN250" s="20">
        <v>0</v>
      </c>
      <c r="AO250" s="20">
        <v>0</v>
      </c>
      <c r="AP250" s="20">
        <v>0</v>
      </c>
      <c r="AQ250" s="20">
        <v>0</v>
      </c>
      <c r="AR250" s="20">
        <v>0</v>
      </c>
      <c r="AS250" s="20">
        <v>0</v>
      </c>
      <c r="AT250" s="20">
        <v>0</v>
      </c>
      <c r="AU250" s="20">
        <v>0</v>
      </c>
      <c r="AV250" s="20">
        <v>0</v>
      </c>
      <c r="AW250" s="20">
        <v>0</v>
      </c>
      <c r="AX250" s="20">
        <v>0</v>
      </c>
      <c r="AY250" s="20">
        <v>0</v>
      </c>
      <c r="AZ250" s="20">
        <v>0</v>
      </c>
      <c r="BA250" s="20">
        <v>0</v>
      </c>
      <c r="BB250" s="20">
        <v>0</v>
      </c>
      <c r="BC250" s="20">
        <v>0</v>
      </c>
      <c r="BD250" s="20">
        <v>0</v>
      </c>
      <c r="BE250" s="20">
        <v>0</v>
      </c>
      <c r="BF250" s="20">
        <v>0</v>
      </c>
      <c r="BG250" s="20">
        <v>0</v>
      </c>
      <c r="BH250" s="20">
        <v>0</v>
      </c>
      <c r="BI250" s="20">
        <v>0</v>
      </c>
      <c r="BJ250" s="20">
        <v>0</v>
      </c>
      <c r="BK250" s="20">
        <v>0</v>
      </c>
      <c r="BL250" s="20">
        <v>0</v>
      </c>
      <c r="BM250" s="20">
        <v>0</v>
      </c>
      <c r="BN250" s="20">
        <v>0</v>
      </c>
      <c r="BO250" s="20">
        <v>0</v>
      </c>
      <c r="BP250" s="20">
        <v>0</v>
      </c>
      <c r="BQ250" s="20">
        <v>0</v>
      </c>
      <c r="BR250" s="20">
        <v>0</v>
      </c>
      <c r="BS250" s="20">
        <v>0</v>
      </c>
      <c r="BT250" s="20">
        <v>0</v>
      </c>
      <c r="BU250" s="20">
        <v>0</v>
      </c>
      <c r="BV250" s="20">
        <v>0</v>
      </c>
      <c r="BW250" s="20">
        <v>0</v>
      </c>
      <c r="BX250" s="20">
        <v>0</v>
      </c>
      <c r="BY250" s="20">
        <v>0</v>
      </c>
      <c r="BZ250" s="20">
        <v>0</v>
      </c>
      <c r="CA250" s="20">
        <v>0</v>
      </c>
    </row>
    <row r="251" spans="1:79" x14ac:dyDescent="0.3">
      <c r="A251" s="19"/>
      <c r="B251" s="20" t="str">
        <f t="shared" si="38"/>
        <v>13190001</v>
      </c>
      <c r="C251" s="55">
        <v>3</v>
      </c>
      <c r="D251" s="55">
        <f t="shared" ref="D251:D253" si="83">IF(G251&lt;100, G251, G251-100)</f>
        <v>1</v>
      </c>
      <c r="E251" s="49">
        <v>1</v>
      </c>
      <c r="F251" s="57">
        <v>1</v>
      </c>
      <c r="G251" s="57">
        <v>101</v>
      </c>
      <c r="H251" s="57" t="str">
        <f t="shared" si="41"/>
        <v>Item_Name_13190001</v>
      </c>
      <c r="I251" s="57" t="s">
        <v>788</v>
      </c>
      <c r="J251" s="57">
        <v>10103001</v>
      </c>
      <c r="K251" s="57">
        <v>99</v>
      </c>
      <c r="L251" s="57">
        <v>0</v>
      </c>
      <c r="M251" s="57">
        <v>0</v>
      </c>
      <c r="N251" s="57">
        <v>15</v>
      </c>
      <c r="O251" s="57">
        <v>100</v>
      </c>
      <c r="P251" s="57">
        <v>1</v>
      </c>
      <c r="Q251" s="57" t="s">
        <v>784</v>
      </c>
      <c r="R251" s="57" t="s">
        <v>448</v>
      </c>
      <c r="S251" s="57" t="s">
        <v>787</v>
      </c>
      <c r="T251" s="57" t="s">
        <v>330</v>
      </c>
      <c r="U251" s="57">
        <v>0</v>
      </c>
      <c r="V251" s="57">
        <v>0</v>
      </c>
      <c r="W251" s="57">
        <v>73</v>
      </c>
      <c r="X251" s="57">
        <v>1</v>
      </c>
      <c r="Y251" s="57">
        <v>1202</v>
      </c>
      <c r="Z251" s="57">
        <v>1202</v>
      </c>
      <c r="AA251" s="57">
        <v>1206</v>
      </c>
      <c r="AB251" s="57">
        <v>1206</v>
      </c>
      <c r="AC251" s="57">
        <v>0</v>
      </c>
      <c r="AD251" s="57">
        <v>0</v>
      </c>
      <c r="AE251" s="58">
        <v>10301</v>
      </c>
      <c r="AF251" s="30">
        <v>0</v>
      </c>
      <c r="AG251" s="57">
        <v>0</v>
      </c>
      <c r="AH251" s="57">
        <v>0</v>
      </c>
      <c r="AI251" s="57">
        <v>0</v>
      </c>
      <c r="AJ251" s="57">
        <v>0</v>
      </c>
      <c r="AK251" s="57">
        <v>0</v>
      </c>
      <c r="AL251" s="57">
        <v>0</v>
      </c>
      <c r="AM251" s="57">
        <v>0</v>
      </c>
      <c r="AN251" s="57">
        <v>0</v>
      </c>
      <c r="AO251" s="57">
        <v>0</v>
      </c>
      <c r="AP251" s="57">
        <v>0</v>
      </c>
      <c r="AQ251" s="57">
        <v>0</v>
      </c>
      <c r="AR251" s="57">
        <v>0</v>
      </c>
      <c r="AS251" s="57">
        <v>0</v>
      </c>
      <c r="AT251" s="57">
        <v>0</v>
      </c>
      <c r="AU251" s="57">
        <v>0</v>
      </c>
      <c r="AV251" s="57">
        <v>0</v>
      </c>
      <c r="AW251" s="57">
        <v>0</v>
      </c>
      <c r="AX251" s="57">
        <v>0</v>
      </c>
      <c r="AY251" s="57">
        <v>0</v>
      </c>
      <c r="AZ251" s="57">
        <v>0</v>
      </c>
      <c r="BA251" s="57">
        <v>0</v>
      </c>
      <c r="BB251" s="57">
        <v>0</v>
      </c>
      <c r="BC251" s="57">
        <v>0</v>
      </c>
      <c r="BD251" s="57">
        <v>0</v>
      </c>
      <c r="BE251" s="57">
        <v>0</v>
      </c>
      <c r="BF251" s="57">
        <v>0</v>
      </c>
      <c r="BG251" s="57">
        <v>0</v>
      </c>
      <c r="BH251" s="57">
        <v>0</v>
      </c>
      <c r="BI251" s="57">
        <v>0</v>
      </c>
      <c r="BJ251" s="57">
        <v>0</v>
      </c>
      <c r="BK251" s="57">
        <v>0</v>
      </c>
      <c r="BL251" s="57">
        <v>0</v>
      </c>
      <c r="BM251" s="57">
        <v>0</v>
      </c>
      <c r="BN251" s="57">
        <v>0</v>
      </c>
      <c r="BO251" s="57">
        <v>0</v>
      </c>
      <c r="BP251" s="57">
        <v>0</v>
      </c>
      <c r="BQ251" s="57">
        <v>0</v>
      </c>
      <c r="BR251" s="57">
        <v>0</v>
      </c>
      <c r="BS251" s="57">
        <v>0</v>
      </c>
      <c r="BT251" s="57">
        <v>0</v>
      </c>
      <c r="BU251" s="57">
        <v>0</v>
      </c>
      <c r="BV251" s="57">
        <v>0</v>
      </c>
      <c r="BW251" s="57">
        <v>0</v>
      </c>
      <c r="BX251" s="57">
        <v>0</v>
      </c>
      <c r="BY251" s="57">
        <v>0</v>
      </c>
      <c r="BZ251" s="57">
        <v>0</v>
      </c>
      <c r="CA251" s="57">
        <v>0</v>
      </c>
    </row>
    <row r="252" spans="1:79" x14ac:dyDescent="0.3">
      <c r="A252" s="19"/>
      <c r="B252" s="20" t="str">
        <f t="shared" si="38"/>
        <v>13190002</v>
      </c>
      <c r="C252" s="55">
        <v>3</v>
      </c>
      <c r="D252" s="55">
        <f t="shared" si="83"/>
        <v>1</v>
      </c>
      <c r="E252" s="49">
        <v>2</v>
      </c>
      <c r="F252" s="57">
        <v>1</v>
      </c>
      <c r="G252" s="57">
        <v>101</v>
      </c>
      <c r="H252" s="57" t="str">
        <f t="shared" si="41"/>
        <v>Item_Name_13190002</v>
      </c>
      <c r="I252" s="57" t="s">
        <v>789</v>
      </c>
      <c r="J252" s="57">
        <v>10103001</v>
      </c>
      <c r="K252" s="57">
        <v>99</v>
      </c>
      <c r="L252" s="57">
        <v>0</v>
      </c>
      <c r="M252" s="57">
        <v>0</v>
      </c>
      <c r="N252" s="57">
        <v>15</v>
      </c>
      <c r="O252" s="57">
        <v>100</v>
      </c>
      <c r="P252" s="57">
        <v>1</v>
      </c>
      <c r="Q252" s="57" t="s">
        <v>785</v>
      </c>
      <c r="R252" s="57" t="s">
        <v>448</v>
      </c>
      <c r="S252" s="57" t="s">
        <v>787</v>
      </c>
      <c r="T252" s="57" t="s">
        <v>330</v>
      </c>
      <c r="U252" s="57">
        <v>0</v>
      </c>
      <c r="V252" s="57">
        <v>0</v>
      </c>
      <c r="W252" s="57">
        <v>73</v>
      </c>
      <c r="X252" s="57">
        <v>2</v>
      </c>
      <c r="Y252" s="57">
        <v>1202</v>
      </c>
      <c r="Z252" s="57">
        <v>1202</v>
      </c>
      <c r="AA252" s="57">
        <v>1206</v>
      </c>
      <c r="AB252" s="57">
        <v>1206</v>
      </c>
      <c r="AC252" s="57">
        <v>0</v>
      </c>
      <c r="AD252" s="57">
        <v>0</v>
      </c>
      <c r="AE252" s="58">
        <v>10302</v>
      </c>
      <c r="AF252" s="30">
        <v>0</v>
      </c>
      <c r="AG252" s="57">
        <v>0</v>
      </c>
      <c r="AH252" s="57">
        <v>0</v>
      </c>
      <c r="AI252" s="57">
        <v>0</v>
      </c>
      <c r="AJ252" s="57">
        <v>0</v>
      </c>
      <c r="AK252" s="57">
        <v>0</v>
      </c>
      <c r="AL252" s="57">
        <v>0</v>
      </c>
      <c r="AM252" s="57">
        <v>0</v>
      </c>
      <c r="AN252" s="57">
        <v>0</v>
      </c>
      <c r="AO252" s="57">
        <v>0</v>
      </c>
      <c r="AP252" s="57">
        <v>0</v>
      </c>
      <c r="AQ252" s="57">
        <v>0</v>
      </c>
      <c r="AR252" s="57">
        <v>0</v>
      </c>
      <c r="AS252" s="57">
        <v>0</v>
      </c>
      <c r="AT252" s="57">
        <v>0</v>
      </c>
      <c r="AU252" s="57">
        <v>0</v>
      </c>
      <c r="AV252" s="57">
        <v>0</v>
      </c>
      <c r="AW252" s="57">
        <v>0</v>
      </c>
      <c r="AX252" s="57">
        <v>0</v>
      </c>
      <c r="AY252" s="57">
        <v>0</v>
      </c>
      <c r="AZ252" s="57">
        <v>0</v>
      </c>
      <c r="BA252" s="57">
        <v>0</v>
      </c>
      <c r="BB252" s="57">
        <v>0</v>
      </c>
      <c r="BC252" s="57">
        <v>0</v>
      </c>
      <c r="BD252" s="57">
        <v>0</v>
      </c>
      <c r="BE252" s="57">
        <v>0</v>
      </c>
      <c r="BF252" s="57">
        <v>0</v>
      </c>
      <c r="BG252" s="57">
        <v>0</v>
      </c>
      <c r="BH252" s="57">
        <v>0</v>
      </c>
      <c r="BI252" s="57">
        <v>0</v>
      </c>
      <c r="BJ252" s="57">
        <v>0</v>
      </c>
      <c r="BK252" s="57">
        <v>0</v>
      </c>
      <c r="BL252" s="57">
        <v>0</v>
      </c>
      <c r="BM252" s="57">
        <v>0</v>
      </c>
      <c r="BN252" s="57">
        <v>0</v>
      </c>
      <c r="BO252" s="57">
        <v>0</v>
      </c>
      <c r="BP252" s="57">
        <v>0</v>
      </c>
      <c r="BQ252" s="57">
        <v>0</v>
      </c>
      <c r="BR252" s="57">
        <v>0</v>
      </c>
      <c r="BS252" s="57">
        <v>0</v>
      </c>
      <c r="BT252" s="57">
        <v>0</v>
      </c>
      <c r="BU252" s="57">
        <v>0</v>
      </c>
      <c r="BV252" s="57">
        <v>0</v>
      </c>
      <c r="BW252" s="57">
        <v>0</v>
      </c>
      <c r="BX252" s="57">
        <v>0</v>
      </c>
      <c r="BY252" s="57">
        <v>0</v>
      </c>
      <c r="BZ252" s="57">
        <v>0</v>
      </c>
      <c r="CA252" s="57">
        <v>0</v>
      </c>
    </row>
    <row r="253" spans="1:79" x14ac:dyDescent="0.3">
      <c r="A253" s="19"/>
      <c r="B253" s="20" t="str">
        <f t="shared" si="38"/>
        <v>13190003</v>
      </c>
      <c r="C253" s="55">
        <v>3</v>
      </c>
      <c r="D253" s="55">
        <f t="shared" si="83"/>
        <v>1</v>
      </c>
      <c r="E253" s="49">
        <v>3</v>
      </c>
      <c r="F253" s="57">
        <v>1</v>
      </c>
      <c r="G253" s="57">
        <v>101</v>
      </c>
      <c r="H253" s="57" t="str">
        <f t="shared" si="41"/>
        <v>Item_Name_13190003</v>
      </c>
      <c r="I253" s="57" t="s">
        <v>790</v>
      </c>
      <c r="J253" s="57">
        <v>10103001</v>
      </c>
      <c r="K253" s="57">
        <v>99</v>
      </c>
      <c r="L253" s="57">
        <v>0</v>
      </c>
      <c r="M253" s="57">
        <v>0</v>
      </c>
      <c r="N253" s="57">
        <v>15</v>
      </c>
      <c r="O253" s="57">
        <v>100</v>
      </c>
      <c r="P253" s="57">
        <v>1</v>
      </c>
      <c r="Q253" s="57" t="s">
        <v>786</v>
      </c>
      <c r="R253" s="57" t="s">
        <v>448</v>
      </c>
      <c r="S253" s="57" t="s">
        <v>787</v>
      </c>
      <c r="T253" s="57" t="s">
        <v>330</v>
      </c>
      <c r="U253" s="57">
        <v>0</v>
      </c>
      <c r="V253" s="57">
        <v>0</v>
      </c>
      <c r="W253" s="57">
        <v>73</v>
      </c>
      <c r="X253" s="57">
        <v>3</v>
      </c>
      <c r="Y253" s="57">
        <v>1202</v>
      </c>
      <c r="Z253" s="57">
        <v>1202</v>
      </c>
      <c r="AA253" s="57">
        <v>1206</v>
      </c>
      <c r="AB253" s="57">
        <v>1206</v>
      </c>
      <c r="AC253" s="57">
        <v>0</v>
      </c>
      <c r="AD253" s="57">
        <v>0</v>
      </c>
      <c r="AE253" s="58">
        <v>10303</v>
      </c>
      <c r="AF253" s="30">
        <v>0</v>
      </c>
      <c r="AG253" s="57">
        <v>0</v>
      </c>
      <c r="AH253" s="57">
        <v>0</v>
      </c>
      <c r="AI253" s="57">
        <v>0</v>
      </c>
      <c r="AJ253" s="57">
        <v>0</v>
      </c>
      <c r="AK253" s="57">
        <v>0</v>
      </c>
      <c r="AL253" s="57">
        <v>0</v>
      </c>
      <c r="AM253" s="57">
        <v>0</v>
      </c>
      <c r="AN253" s="57">
        <v>0</v>
      </c>
      <c r="AO253" s="57">
        <v>0</v>
      </c>
      <c r="AP253" s="57">
        <v>0</v>
      </c>
      <c r="AQ253" s="57">
        <v>0</v>
      </c>
      <c r="AR253" s="57">
        <v>0</v>
      </c>
      <c r="AS253" s="57">
        <v>0</v>
      </c>
      <c r="AT253" s="57">
        <v>0</v>
      </c>
      <c r="AU253" s="57">
        <v>0</v>
      </c>
      <c r="AV253" s="57">
        <v>0</v>
      </c>
      <c r="AW253" s="57">
        <v>0</v>
      </c>
      <c r="AX253" s="57">
        <v>0</v>
      </c>
      <c r="AY253" s="57">
        <v>0</v>
      </c>
      <c r="AZ253" s="57">
        <v>0</v>
      </c>
      <c r="BA253" s="57">
        <v>0</v>
      </c>
      <c r="BB253" s="57">
        <v>0</v>
      </c>
      <c r="BC253" s="57">
        <v>0</v>
      </c>
      <c r="BD253" s="57">
        <v>0</v>
      </c>
      <c r="BE253" s="57">
        <v>0</v>
      </c>
      <c r="BF253" s="57">
        <v>0</v>
      </c>
      <c r="BG253" s="57">
        <v>0</v>
      </c>
      <c r="BH253" s="57">
        <v>0</v>
      </c>
      <c r="BI253" s="57">
        <v>0</v>
      </c>
      <c r="BJ253" s="57">
        <v>0</v>
      </c>
      <c r="BK253" s="57">
        <v>0</v>
      </c>
      <c r="BL253" s="57">
        <v>0</v>
      </c>
      <c r="BM253" s="57">
        <v>0</v>
      </c>
      <c r="BN253" s="57">
        <v>0</v>
      </c>
      <c r="BO253" s="57">
        <v>0</v>
      </c>
      <c r="BP253" s="57">
        <v>0</v>
      </c>
      <c r="BQ253" s="57">
        <v>0</v>
      </c>
      <c r="BR253" s="57">
        <v>0</v>
      </c>
      <c r="BS253" s="57">
        <v>0</v>
      </c>
      <c r="BT253" s="57">
        <v>0</v>
      </c>
      <c r="BU253" s="57">
        <v>0</v>
      </c>
      <c r="BV253" s="57">
        <v>0</v>
      </c>
      <c r="BW253" s="57">
        <v>0</v>
      </c>
      <c r="BX253" s="57">
        <v>0</v>
      </c>
      <c r="BY253" s="57">
        <v>0</v>
      </c>
      <c r="BZ253" s="57">
        <v>0</v>
      </c>
      <c r="CA253" s="57">
        <v>0</v>
      </c>
    </row>
    <row r="254" spans="1:79" x14ac:dyDescent="0.3">
      <c r="A254" s="19"/>
      <c r="B254" s="20" t="str">
        <f t="shared" si="38"/>
        <v>14190001</v>
      </c>
      <c r="C254" s="55">
        <v>4</v>
      </c>
      <c r="D254" s="55">
        <f t="shared" ref="D254:D256" si="84">IF(G254&lt;100, G254, G254-100)</f>
        <v>1</v>
      </c>
      <c r="E254" s="49">
        <v>1</v>
      </c>
      <c r="F254" s="57">
        <v>1</v>
      </c>
      <c r="G254" s="57">
        <v>101</v>
      </c>
      <c r="H254" s="57" t="str">
        <f t="shared" si="41"/>
        <v>Item_Name_14190001</v>
      </c>
      <c r="I254" s="57" t="s">
        <v>626</v>
      </c>
      <c r="J254" s="57">
        <v>10104001</v>
      </c>
      <c r="K254" s="57">
        <v>99</v>
      </c>
      <c r="L254" s="57">
        <v>0</v>
      </c>
      <c r="M254" s="57">
        <v>0</v>
      </c>
      <c r="N254" s="57">
        <v>15</v>
      </c>
      <c r="O254" s="57">
        <v>100</v>
      </c>
      <c r="P254" s="57">
        <v>1</v>
      </c>
      <c r="Q254" s="57" t="s">
        <v>635</v>
      </c>
      <c r="R254" s="57" t="s">
        <v>448</v>
      </c>
      <c r="S254" s="57" t="s">
        <v>526</v>
      </c>
      <c r="T254" s="57" t="s">
        <v>330</v>
      </c>
      <c r="U254" s="57">
        <v>0</v>
      </c>
      <c r="V254" s="57">
        <v>0</v>
      </c>
      <c r="W254" s="57">
        <v>73</v>
      </c>
      <c r="X254" s="57">
        <v>1</v>
      </c>
      <c r="Y254" s="57">
        <v>1202</v>
      </c>
      <c r="Z254" s="57">
        <v>1202</v>
      </c>
      <c r="AA254" s="57">
        <v>1206</v>
      </c>
      <c r="AB254" s="57">
        <v>1206</v>
      </c>
      <c r="AC254" s="57">
        <v>0</v>
      </c>
      <c r="AD254" s="57">
        <v>0</v>
      </c>
      <c r="AE254" s="58">
        <v>10401</v>
      </c>
      <c r="AF254" s="30">
        <v>0</v>
      </c>
      <c r="AG254" s="57">
        <v>0</v>
      </c>
      <c r="AH254" s="57">
        <v>0</v>
      </c>
      <c r="AI254" s="57">
        <v>0</v>
      </c>
      <c r="AJ254" s="57">
        <v>0</v>
      </c>
      <c r="AK254" s="57">
        <v>0</v>
      </c>
      <c r="AL254" s="57">
        <v>0</v>
      </c>
      <c r="AM254" s="57">
        <v>0</v>
      </c>
      <c r="AN254" s="57">
        <v>0</v>
      </c>
      <c r="AO254" s="57">
        <v>0</v>
      </c>
      <c r="AP254" s="57">
        <v>0</v>
      </c>
      <c r="AQ254" s="57">
        <v>0</v>
      </c>
      <c r="AR254" s="57">
        <v>0</v>
      </c>
      <c r="AS254" s="57">
        <v>0</v>
      </c>
      <c r="AT254" s="57">
        <v>0</v>
      </c>
      <c r="AU254" s="57">
        <v>0</v>
      </c>
      <c r="AV254" s="57">
        <v>0</v>
      </c>
      <c r="AW254" s="57">
        <v>0</v>
      </c>
      <c r="AX254" s="57">
        <v>0</v>
      </c>
      <c r="AY254" s="57">
        <v>0</v>
      </c>
      <c r="AZ254" s="57">
        <v>0</v>
      </c>
      <c r="BA254" s="57">
        <v>0</v>
      </c>
      <c r="BB254" s="57">
        <v>0</v>
      </c>
      <c r="BC254" s="57">
        <v>0</v>
      </c>
      <c r="BD254" s="57">
        <v>0</v>
      </c>
      <c r="BE254" s="57">
        <v>0</v>
      </c>
      <c r="BF254" s="57">
        <v>0</v>
      </c>
      <c r="BG254" s="57">
        <v>0</v>
      </c>
      <c r="BH254" s="57">
        <v>0</v>
      </c>
      <c r="BI254" s="57">
        <v>0</v>
      </c>
      <c r="BJ254" s="57">
        <v>0</v>
      </c>
      <c r="BK254" s="57">
        <v>0</v>
      </c>
      <c r="BL254" s="57">
        <v>0</v>
      </c>
      <c r="BM254" s="57">
        <v>0</v>
      </c>
      <c r="BN254" s="57">
        <v>0</v>
      </c>
      <c r="BO254" s="57">
        <v>0</v>
      </c>
      <c r="BP254" s="57">
        <v>0</v>
      </c>
      <c r="BQ254" s="57">
        <v>0</v>
      </c>
      <c r="BR254" s="57">
        <v>0</v>
      </c>
      <c r="BS254" s="57">
        <v>0</v>
      </c>
      <c r="BT254" s="57">
        <v>0</v>
      </c>
      <c r="BU254" s="57">
        <v>0</v>
      </c>
      <c r="BV254" s="57">
        <v>0</v>
      </c>
      <c r="BW254" s="57">
        <v>0</v>
      </c>
      <c r="BX254" s="57">
        <v>0</v>
      </c>
      <c r="BY254" s="57">
        <v>0</v>
      </c>
      <c r="BZ254" s="57">
        <v>0</v>
      </c>
      <c r="CA254" s="57">
        <v>0</v>
      </c>
    </row>
    <row r="255" spans="1:79" x14ac:dyDescent="0.3">
      <c r="A255" s="19"/>
      <c r="B255" s="20" t="str">
        <f t="shared" ref="B255:B256" si="85">1&amp;$C255&amp;$D255&amp;IF($K255=99,9,$K255)&amp;REPT("0",4-LEN($E255))&amp;$E255</f>
        <v>14190002</v>
      </c>
      <c r="C255" s="55">
        <v>4</v>
      </c>
      <c r="D255" s="55">
        <f t="shared" si="84"/>
        <v>1</v>
      </c>
      <c r="E255" s="49">
        <v>2</v>
      </c>
      <c r="F255" s="57">
        <v>1</v>
      </c>
      <c r="G255" s="57">
        <v>101</v>
      </c>
      <c r="H255" s="57" t="str">
        <f t="shared" ref="H255:H256" si="86">"Item_Name_"&amp;$B255</f>
        <v>Item_Name_14190002</v>
      </c>
      <c r="I255" s="57" t="s">
        <v>627</v>
      </c>
      <c r="J255" s="57">
        <v>10104001</v>
      </c>
      <c r="K255" s="57">
        <v>99</v>
      </c>
      <c r="L255" s="57">
        <v>0</v>
      </c>
      <c r="M255" s="57">
        <v>0</v>
      </c>
      <c r="N255" s="57">
        <v>15</v>
      </c>
      <c r="O255" s="57">
        <v>100</v>
      </c>
      <c r="P255" s="57">
        <v>1</v>
      </c>
      <c r="Q255" s="57" t="s">
        <v>636</v>
      </c>
      <c r="R255" s="57" t="s">
        <v>448</v>
      </c>
      <c r="S255" s="57" t="s">
        <v>526</v>
      </c>
      <c r="T255" s="57" t="s">
        <v>330</v>
      </c>
      <c r="U255" s="57">
        <v>0</v>
      </c>
      <c r="V255" s="57">
        <v>0</v>
      </c>
      <c r="W255" s="57">
        <v>73</v>
      </c>
      <c r="X255" s="57">
        <v>2</v>
      </c>
      <c r="Y255" s="57">
        <v>1202</v>
      </c>
      <c r="Z255" s="57">
        <v>1202</v>
      </c>
      <c r="AA255" s="57">
        <v>1206</v>
      </c>
      <c r="AB255" s="57">
        <v>1206</v>
      </c>
      <c r="AC255" s="57">
        <v>0</v>
      </c>
      <c r="AD255" s="57">
        <v>0</v>
      </c>
      <c r="AE255" s="58">
        <v>10402</v>
      </c>
      <c r="AF255" s="30">
        <v>0</v>
      </c>
      <c r="AG255" s="57">
        <v>0</v>
      </c>
      <c r="AH255" s="57">
        <v>0</v>
      </c>
      <c r="AI255" s="57">
        <v>0</v>
      </c>
      <c r="AJ255" s="57">
        <v>0</v>
      </c>
      <c r="AK255" s="57">
        <v>0</v>
      </c>
      <c r="AL255" s="57">
        <v>0</v>
      </c>
      <c r="AM255" s="57">
        <v>0</v>
      </c>
      <c r="AN255" s="57">
        <v>0</v>
      </c>
      <c r="AO255" s="57">
        <v>0</v>
      </c>
      <c r="AP255" s="57">
        <v>0</v>
      </c>
      <c r="AQ255" s="57">
        <v>0</v>
      </c>
      <c r="AR255" s="57">
        <v>0</v>
      </c>
      <c r="AS255" s="57">
        <v>0</v>
      </c>
      <c r="AT255" s="57">
        <v>0</v>
      </c>
      <c r="AU255" s="57">
        <v>0</v>
      </c>
      <c r="AV255" s="57">
        <v>0</v>
      </c>
      <c r="AW255" s="57">
        <v>0</v>
      </c>
      <c r="AX255" s="57">
        <v>0</v>
      </c>
      <c r="AY255" s="57">
        <v>0</v>
      </c>
      <c r="AZ255" s="57">
        <v>0</v>
      </c>
      <c r="BA255" s="57">
        <v>0</v>
      </c>
      <c r="BB255" s="57">
        <v>0</v>
      </c>
      <c r="BC255" s="57">
        <v>0</v>
      </c>
      <c r="BD255" s="57">
        <v>0</v>
      </c>
      <c r="BE255" s="57">
        <v>0</v>
      </c>
      <c r="BF255" s="57">
        <v>0</v>
      </c>
      <c r="BG255" s="57">
        <v>0</v>
      </c>
      <c r="BH255" s="57">
        <v>0</v>
      </c>
      <c r="BI255" s="57">
        <v>0</v>
      </c>
      <c r="BJ255" s="57">
        <v>0</v>
      </c>
      <c r="BK255" s="57">
        <v>0</v>
      </c>
      <c r="BL255" s="57">
        <v>0</v>
      </c>
      <c r="BM255" s="57">
        <v>0</v>
      </c>
      <c r="BN255" s="57">
        <v>0</v>
      </c>
      <c r="BO255" s="57">
        <v>0</v>
      </c>
      <c r="BP255" s="57">
        <v>0</v>
      </c>
      <c r="BQ255" s="57">
        <v>0</v>
      </c>
      <c r="BR255" s="57">
        <v>0</v>
      </c>
      <c r="BS255" s="57">
        <v>0</v>
      </c>
      <c r="BT255" s="57">
        <v>0</v>
      </c>
      <c r="BU255" s="57">
        <v>0</v>
      </c>
      <c r="BV255" s="57">
        <v>0</v>
      </c>
      <c r="BW255" s="57">
        <v>0</v>
      </c>
      <c r="BX255" s="57">
        <v>0</v>
      </c>
      <c r="BY255" s="57">
        <v>0</v>
      </c>
      <c r="BZ255" s="57">
        <v>0</v>
      </c>
      <c r="CA255" s="57">
        <v>0</v>
      </c>
    </row>
    <row r="256" spans="1:79" x14ac:dyDescent="0.3">
      <c r="A256" s="19"/>
      <c r="B256" s="20" t="str">
        <f t="shared" si="85"/>
        <v>14190003</v>
      </c>
      <c r="C256" s="55">
        <v>4</v>
      </c>
      <c r="D256" s="55">
        <f t="shared" si="84"/>
        <v>1</v>
      </c>
      <c r="E256" s="49">
        <v>3</v>
      </c>
      <c r="F256" s="57">
        <v>1</v>
      </c>
      <c r="G256" s="57">
        <v>101</v>
      </c>
      <c r="H256" s="57" t="str">
        <f t="shared" si="86"/>
        <v>Item_Name_14190003</v>
      </c>
      <c r="I256" s="57" t="s">
        <v>628</v>
      </c>
      <c r="J256" s="57">
        <v>10104001</v>
      </c>
      <c r="K256" s="57">
        <v>99</v>
      </c>
      <c r="L256" s="57">
        <v>0</v>
      </c>
      <c r="M256" s="57">
        <v>0</v>
      </c>
      <c r="N256" s="57">
        <v>15</v>
      </c>
      <c r="O256" s="57">
        <v>100</v>
      </c>
      <c r="P256" s="57">
        <v>1</v>
      </c>
      <c r="Q256" s="57" t="s">
        <v>637</v>
      </c>
      <c r="R256" s="57" t="s">
        <v>448</v>
      </c>
      <c r="S256" s="57" t="s">
        <v>526</v>
      </c>
      <c r="T256" s="57" t="s">
        <v>330</v>
      </c>
      <c r="U256" s="57">
        <v>0</v>
      </c>
      <c r="V256" s="57">
        <v>0</v>
      </c>
      <c r="W256" s="57">
        <v>73</v>
      </c>
      <c r="X256" s="57">
        <v>3</v>
      </c>
      <c r="Y256" s="57">
        <v>1202</v>
      </c>
      <c r="Z256" s="57">
        <v>1202</v>
      </c>
      <c r="AA256" s="57">
        <v>1206</v>
      </c>
      <c r="AB256" s="57">
        <v>1206</v>
      </c>
      <c r="AC256" s="57">
        <v>0</v>
      </c>
      <c r="AD256" s="57">
        <v>0</v>
      </c>
      <c r="AE256" s="58">
        <v>10403</v>
      </c>
      <c r="AF256" s="30">
        <v>0</v>
      </c>
      <c r="AG256" s="57">
        <v>0</v>
      </c>
      <c r="AH256" s="57">
        <v>0</v>
      </c>
      <c r="AI256" s="57">
        <v>0</v>
      </c>
      <c r="AJ256" s="57">
        <v>0</v>
      </c>
      <c r="AK256" s="57">
        <v>0</v>
      </c>
      <c r="AL256" s="57">
        <v>0</v>
      </c>
      <c r="AM256" s="57">
        <v>0</v>
      </c>
      <c r="AN256" s="57">
        <v>0</v>
      </c>
      <c r="AO256" s="57">
        <v>0</v>
      </c>
      <c r="AP256" s="57">
        <v>0</v>
      </c>
      <c r="AQ256" s="57">
        <v>0</v>
      </c>
      <c r="AR256" s="57">
        <v>0</v>
      </c>
      <c r="AS256" s="57">
        <v>0</v>
      </c>
      <c r="AT256" s="57">
        <v>0</v>
      </c>
      <c r="AU256" s="57">
        <v>0</v>
      </c>
      <c r="AV256" s="57">
        <v>0</v>
      </c>
      <c r="AW256" s="57">
        <v>0</v>
      </c>
      <c r="AX256" s="57">
        <v>0</v>
      </c>
      <c r="AY256" s="57">
        <v>0</v>
      </c>
      <c r="AZ256" s="57">
        <v>0</v>
      </c>
      <c r="BA256" s="57">
        <v>0</v>
      </c>
      <c r="BB256" s="57">
        <v>0</v>
      </c>
      <c r="BC256" s="57">
        <v>0</v>
      </c>
      <c r="BD256" s="57">
        <v>0</v>
      </c>
      <c r="BE256" s="57">
        <v>0</v>
      </c>
      <c r="BF256" s="57">
        <v>0</v>
      </c>
      <c r="BG256" s="57">
        <v>0</v>
      </c>
      <c r="BH256" s="57">
        <v>0</v>
      </c>
      <c r="BI256" s="57">
        <v>0</v>
      </c>
      <c r="BJ256" s="57">
        <v>0</v>
      </c>
      <c r="BK256" s="57">
        <v>0</v>
      </c>
      <c r="BL256" s="57">
        <v>0</v>
      </c>
      <c r="BM256" s="57">
        <v>0</v>
      </c>
      <c r="BN256" s="57">
        <v>0</v>
      </c>
      <c r="BO256" s="57">
        <v>0</v>
      </c>
      <c r="BP256" s="57">
        <v>0</v>
      </c>
      <c r="BQ256" s="57">
        <v>0</v>
      </c>
      <c r="BR256" s="57">
        <v>0</v>
      </c>
      <c r="BS256" s="57">
        <v>0</v>
      </c>
      <c r="BT256" s="57">
        <v>0</v>
      </c>
      <c r="BU256" s="57">
        <v>0</v>
      </c>
      <c r="BV256" s="57">
        <v>0</v>
      </c>
      <c r="BW256" s="57">
        <v>0</v>
      </c>
      <c r="BX256" s="57">
        <v>0</v>
      </c>
      <c r="BY256" s="57">
        <v>0</v>
      </c>
      <c r="BZ256" s="57">
        <v>0</v>
      </c>
      <c r="CA256" s="57">
        <v>0</v>
      </c>
    </row>
    <row r="257" spans="1:79" x14ac:dyDescent="0.3">
      <c r="A257" s="19"/>
      <c r="B257" s="20" t="str">
        <f t="shared" ref="B257:B329" si="87">1&amp;$C257&amp;$D257&amp;IF($K257=99,9,$K257)&amp;REPT("0",4-LEN($E257))&amp;$E257</f>
        <v>11290001</v>
      </c>
      <c r="C257" s="55" t="str">
        <f t="shared" ref="C257:C322" si="88">IF(J257&gt;0,MID(J257,5, 1), 0)</f>
        <v>1</v>
      </c>
      <c r="D257" s="55">
        <f t="shared" ref="D257:D322" si="89">IF(G257&lt;100, G257, G257-100)</f>
        <v>2</v>
      </c>
      <c r="E257" s="49">
        <v>1</v>
      </c>
      <c r="F257" s="57">
        <v>1</v>
      </c>
      <c r="G257" s="57">
        <v>102</v>
      </c>
      <c r="H257" s="57" t="str">
        <f t="shared" ref="H257:H329" si="90">"Item_Name_"&amp;$B257</f>
        <v>Item_Name_11290001</v>
      </c>
      <c r="I257" s="57" t="s">
        <v>454</v>
      </c>
      <c r="J257" s="57">
        <v>10101001</v>
      </c>
      <c r="K257" s="57">
        <v>99</v>
      </c>
      <c r="L257" s="57">
        <v>0</v>
      </c>
      <c r="M257" s="57">
        <v>0</v>
      </c>
      <c r="N257" s="57">
        <v>15</v>
      </c>
      <c r="O257" s="57">
        <v>100</v>
      </c>
      <c r="P257" s="57">
        <v>1</v>
      </c>
      <c r="Q257" s="57" t="s">
        <v>647</v>
      </c>
      <c r="R257" s="57" t="s">
        <v>448</v>
      </c>
      <c r="S257" s="57" t="s">
        <v>321</v>
      </c>
      <c r="T257" s="57" t="s">
        <v>400</v>
      </c>
      <c r="U257" s="57">
        <v>0</v>
      </c>
      <c r="V257" s="57">
        <v>0</v>
      </c>
      <c r="W257" s="57">
        <v>73</v>
      </c>
      <c r="X257" s="57">
        <v>1</v>
      </c>
      <c r="Y257" s="57">
        <v>1201</v>
      </c>
      <c r="Z257" s="57">
        <v>1201</v>
      </c>
      <c r="AA257" s="57">
        <v>1205</v>
      </c>
      <c r="AB257" s="57">
        <v>1205</v>
      </c>
      <c r="AC257" s="57">
        <v>0</v>
      </c>
      <c r="AD257" s="57">
        <v>0</v>
      </c>
      <c r="AE257" s="58">
        <v>10101</v>
      </c>
      <c r="AF257" s="30">
        <v>0</v>
      </c>
      <c r="AG257" s="57">
        <v>0</v>
      </c>
      <c r="AH257" s="57">
        <v>0</v>
      </c>
      <c r="AI257" s="57">
        <v>0</v>
      </c>
      <c r="AJ257" s="57">
        <v>0</v>
      </c>
      <c r="AK257" s="57">
        <v>0</v>
      </c>
      <c r="AL257" s="57">
        <v>0</v>
      </c>
      <c r="AM257" s="57">
        <v>0</v>
      </c>
      <c r="AN257" s="57">
        <v>0</v>
      </c>
      <c r="AO257" s="57">
        <v>0</v>
      </c>
      <c r="AP257" s="57">
        <v>0</v>
      </c>
      <c r="AQ257" s="57">
        <v>0</v>
      </c>
      <c r="AR257" s="57">
        <v>0</v>
      </c>
      <c r="AS257" s="57">
        <v>0</v>
      </c>
      <c r="AT257" s="57">
        <v>0</v>
      </c>
      <c r="AU257" s="57">
        <v>0</v>
      </c>
      <c r="AV257" s="57">
        <v>0</v>
      </c>
      <c r="AW257" s="57">
        <v>0</v>
      </c>
      <c r="AX257" s="57">
        <v>0</v>
      </c>
      <c r="AY257" s="57">
        <v>0</v>
      </c>
      <c r="AZ257" s="57">
        <v>0</v>
      </c>
      <c r="BA257" s="57">
        <v>0</v>
      </c>
      <c r="BB257" s="57">
        <v>0</v>
      </c>
      <c r="BC257" s="57">
        <v>0</v>
      </c>
      <c r="BD257" s="57">
        <v>0</v>
      </c>
      <c r="BE257" s="57">
        <v>0</v>
      </c>
      <c r="BF257" s="57">
        <v>0</v>
      </c>
      <c r="BG257" s="57">
        <v>0</v>
      </c>
      <c r="BH257" s="57">
        <v>0</v>
      </c>
      <c r="BI257" s="57">
        <v>0</v>
      </c>
      <c r="BJ257" s="57">
        <v>0</v>
      </c>
      <c r="BK257" s="57">
        <v>0</v>
      </c>
      <c r="BL257" s="57">
        <v>0</v>
      </c>
      <c r="BM257" s="57">
        <v>0</v>
      </c>
      <c r="BN257" s="57">
        <v>0</v>
      </c>
      <c r="BO257" s="57">
        <v>0</v>
      </c>
      <c r="BP257" s="57">
        <v>0</v>
      </c>
      <c r="BQ257" s="57">
        <v>0</v>
      </c>
      <c r="BR257" s="57">
        <v>0</v>
      </c>
      <c r="BS257" s="57">
        <v>0</v>
      </c>
      <c r="BT257" s="57">
        <v>0</v>
      </c>
      <c r="BU257" s="57">
        <v>0</v>
      </c>
      <c r="BV257" s="57">
        <v>0</v>
      </c>
      <c r="BW257" s="57">
        <v>0</v>
      </c>
      <c r="BX257" s="57">
        <v>0</v>
      </c>
      <c r="BY257" s="57">
        <v>0</v>
      </c>
      <c r="BZ257" s="57">
        <v>0</v>
      </c>
      <c r="CA257" s="57">
        <v>0</v>
      </c>
    </row>
    <row r="258" spans="1:79" x14ac:dyDescent="0.3">
      <c r="A258" s="19"/>
      <c r="B258" s="20" t="str">
        <f t="shared" si="87"/>
        <v>11290002</v>
      </c>
      <c r="C258" s="55" t="str">
        <f t="shared" ref="C258:C259" si="91">IF(J258&gt;0,MID(J258,5, 1), 0)</f>
        <v>1</v>
      </c>
      <c r="D258" s="55">
        <f t="shared" ref="D258:D259" si="92">IF(G258&lt;100, G258, G258-100)</f>
        <v>2</v>
      </c>
      <c r="E258" s="49">
        <v>2</v>
      </c>
      <c r="F258" s="57">
        <v>1</v>
      </c>
      <c r="G258" s="57">
        <v>102</v>
      </c>
      <c r="H258" s="57" t="str">
        <f t="shared" si="90"/>
        <v>Item_Name_11290002</v>
      </c>
      <c r="I258" s="57" t="s">
        <v>596</v>
      </c>
      <c r="J258" s="57">
        <v>10101001</v>
      </c>
      <c r="K258" s="57">
        <v>99</v>
      </c>
      <c r="L258" s="57">
        <v>0</v>
      </c>
      <c r="M258" s="57">
        <v>0</v>
      </c>
      <c r="N258" s="57">
        <v>15</v>
      </c>
      <c r="O258" s="57">
        <v>100</v>
      </c>
      <c r="P258" s="57">
        <v>1</v>
      </c>
      <c r="Q258" s="57" t="s">
        <v>648</v>
      </c>
      <c r="R258" s="57" t="s">
        <v>448</v>
      </c>
      <c r="S258" s="57" t="s">
        <v>321</v>
      </c>
      <c r="T258" s="57" t="s">
        <v>400</v>
      </c>
      <c r="U258" s="57">
        <v>0</v>
      </c>
      <c r="V258" s="57">
        <v>0</v>
      </c>
      <c r="W258" s="57">
        <v>73</v>
      </c>
      <c r="X258" s="57">
        <v>2</v>
      </c>
      <c r="Y258" s="57">
        <v>1201</v>
      </c>
      <c r="Z258" s="57">
        <v>1201</v>
      </c>
      <c r="AA258" s="57">
        <v>1205</v>
      </c>
      <c r="AB258" s="57">
        <v>1205</v>
      </c>
      <c r="AC258" s="57">
        <v>0</v>
      </c>
      <c r="AD258" s="57">
        <v>0</v>
      </c>
      <c r="AE258" s="58">
        <v>10102</v>
      </c>
      <c r="AF258" s="30">
        <v>0</v>
      </c>
      <c r="AG258" s="57">
        <v>0</v>
      </c>
      <c r="AH258" s="57">
        <v>0</v>
      </c>
      <c r="AI258" s="57">
        <v>0</v>
      </c>
      <c r="AJ258" s="57">
        <v>0</v>
      </c>
      <c r="AK258" s="57">
        <v>0</v>
      </c>
      <c r="AL258" s="57">
        <v>0</v>
      </c>
      <c r="AM258" s="57">
        <v>0</v>
      </c>
      <c r="AN258" s="57">
        <v>0</v>
      </c>
      <c r="AO258" s="57">
        <v>0</v>
      </c>
      <c r="AP258" s="57">
        <v>0</v>
      </c>
      <c r="AQ258" s="57">
        <v>0</v>
      </c>
      <c r="AR258" s="57">
        <v>0</v>
      </c>
      <c r="AS258" s="57">
        <v>0</v>
      </c>
      <c r="AT258" s="57">
        <v>0</v>
      </c>
      <c r="AU258" s="57">
        <v>0</v>
      </c>
      <c r="AV258" s="57">
        <v>0</v>
      </c>
      <c r="AW258" s="57">
        <v>0</v>
      </c>
      <c r="AX258" s="57">
        <v>0</v>
      </c>
      <c r="AY258" s="57">
        <v>0</v>
      </c>
      <c r="AZ258" s="57">
        <v>0</v>
      </c>
      <c r="BA258" s="57">
        <v>0</v>
      </c>
      <c r="BB258" s="57">
        <v>0</v>
      </c>
      <c r="BC258" s="57">
        <v>0</v>
      </c>
      <c r="BD258" s="57">
        <v>0</v>
      </c>
      <c r="BE258" s="57">
        <v>0</v>
      </c>
      <c r="BF258" s="57">
        <v>0</v>
      </c>
      <c r="BG258" s="57">
        <v>0</v>
      </c>
      <c r="BH258" s="57">
        <v>0</v>
      </c>
      <c r="BI258" s="57">
        <v>0</v>
      </c>
      <c r="BJ258" s="57">
        <v>0</v>
      </c>
      <c r="BK258" s="57">
        <v>0</v>
      </c>
      <c r="BL258" s="57">
        <v>0</v>
      </c>
      <c r="BM258" s="57">
        <v>0</v>
      </c>
      <c r="BN258" s="57">
        <v>0</v>
      </c>
      <c r="BO258" s="57">
        <v>0</v>
      </c>
      <c r="BP258" s="57">
        <v>0</v>
      </c>
      <c r="BQ258" s="57">
        <v>0</v>
      </c>
      <c r="BR258" s="57">
        <v>0</v>
      </c>
      <c r="BS258" s="57">
        <v>0</v>
      </c>
      <c r="BT258" s="57">
        <v>0</v>
      </c>
      <c r="BU258" s="57">
        <v>0</v>
      </c>
      <c r="BV258" s="57">
        <v>0</v>
      </c>
      <c r="BW258" s="57">
        <v>0</v>
      </c>
      <c r="BX258" s="57">
        <v>0</v>
      </c>
      <c r="BY258" s="57">
        <v>0</v>
      </c>
      <c r="BZ258" s="57">
        <v>0</v>
      </c>
      <c r="CA258" s="57">
        <v>0</v>
      </c>
    </row>
    <row r="259" spans="1:79" x14ac:dyDescent="0.3">
      <c r="A259" s="19"/>
      <c r="B259" s="20" t="str">
        <f t="shared" si="87"/>
        <v>11290003</v>
      </c>
      <c r="C259" s="55" t="str">
        <f t="shared" si="91"/>
        <v>1</v>
      </c>
      <c r="D259" s="55">
        <f t="shared" si="92"/>
        <v>2</v>
      </c>
      <c r="E259" s="49">
        <v>3</v>
      </c>
      <c r="F259" s="57">
        <v>1</v>
      </c>
      <c r="G259" s="57">
        <v>102</v>
      </c>
      <c r="H259" s="57" t="str">
        <f t="shared" si="90"/>
        <v>Item_Name_11290003</v>
      </c>
      <c r="I259" s="57" t="s">
        <v>597</v>
      </c>
      <c r="J259" s="57">
        <v>10101001</v>
      </c>
      <c r="K259" s="57">
        <v>99</v>
      </c>
      <c r="L259" s="57">
        <v>0</v>
      </c>
      <c r="M259" s="57">
        <v>0</v>
      </c>
      <c r="N259" s="57">
        <v>15</v>
      </c>
      <c r="O259" s="57">
        <v>100</v>
      </c>
      <c r="P259" s="57">
        <v>1</v>
      </c>
      <c r="Q259" s="57" t="s">
        <v>649</v>
      </c>
      <c r="R259" s="57" t="s">
        <v>448</v>
      </c>
      <c r="S259" s="57" t="s">
        <v>321</v>
      </c>
      <c r="T259" s="57" t="s">
        <v>400</v>
      </c>
      <c r="U259" s="57">
        <v>0</v>
      </c>
      <c r="V259" s="57">
        <v>0</v>
      </c>
      <c r="W259" s="57">
        <v>73</v>
      </c>
      <c r="X259" s="57">
        <v>3</v>
      </c>
      <c r="Y259" s="57">
        <v>1201</v>
      </c>
      <c r="Z259" s="57">
        <v>1201</v>
      </c>
      <c r="AA259" s="57">
        <v>1205</v>
      </c>
      <c r="AB259" s="57">
        <v>1205</v>
      </c>
      <c r="AC259" s="57">
        <v>0</v>
      </c>
      <c r="AD259" s="57">
        <v>0</v>
      </c>
      <c r="AE259" s="58">
        <v>10103</v>
      </c>
      <c r="AF259" s="30">
        <v>0</v>
      </c>
      <c r="AG259" s="57">
        <v>0</v>
      </c>
      <c r="AH259" s="57">
        <v>0</v>
      </c>
      <c r="AI259" s="57">
        <v>0</v>
      </c>
      <c r="AJ259" s="57">
        <v>0</v>
      </c>
      <c r="AK259" s="57">
        <v>0</v>
      </c>
      <c r="AL259" s="57">
        <v>0</v>
      </c>
      <c r="AM259" s="57">
        <v>0</v>
      </c>
      <c r="AN259" s="57">
        <v>0</v>
      </c>
      <c r="AO259" s="57">
        <v>0</v>
      </c>
      <c r="AP259" s="57">
        <v>0</v>
      </c>
      <c r="AQ259" s="57">
        <v>0</v>
      </c>
      <c r="AR259" s="57">
        <v>0</v>
      </c>
      <c r="AS259" s="57">
        <v>0</v>
      </c>
      <c r="AT259" s="57">
        <v>0</v>
      </c>
      <c r="AU259" s="57">
        <v>0</v>
      </c>
      <c r="AV259" s="57">
        <v>0</v>
      </c>
      <c r="AW259" s="57">
        <v>0</v>
      </c>
      <c r="AX259" s="57">
        <v>0</v>
      </c>
      <c r="AY259" s="57">
        <v>0</v>
      </c>
      <c r="AZ259" s="57">
        <v>0</v>
      </c>
      <c r="BA259" s="57">
        <v>0</v>
      </c>
      <c r="BB259" s="57">
        <v>0</v>
      </c>
      <c r="BC259" s="57">
        <v>0</v>
      </c>
      <c r="BD259" s="57">
        <v>0</v>
      </c>
      <c r="BE259" s="57">
        <v>0</v>
      </c>
      <c r="BF259" s="57">
        <v>0</v>
      </c>
      <c r="BG259" s="57">
        <v>0</v>
      </c>
      <c r="BH259" s="57">
        <v>0</v>
      </c>
      <c r="BI259" s="57">
        <v>0</v>
      </c>
      <c r="BJ259" s="57">
        <v>0</v>
      </c>
      <c r="BK259" s="57">
        <v>0</v>
      </c>
      <c r="BL259" s="57">
        <v>0</v>
      </c>
      <c r="BM259" s="57">
        <v>0</v>
      </c>
      <c r="BN259" s="57">
        <v>0</v>
      </c>
      <c r="BO259" s="57">
        <v>0</v>
      </c>
      <c r="BP259" s="57">
        <v>0</v>
      </c>
      <c r="BQ259" s="57">
        <v>0</v>
      </c>
      <c r="BR259" s="57">
        <v>0</v>
      </c>
      <c r="BS259" s="57">
        <v>0</v>
      </c>
      <c r="BT259" s="57">
        <v>0</v>
      </c>
      <c r="BU259" s="57">
        <v>0</v>
      </c>
      <c r="BV259" s="57">
        <v>0</v>
      </c>
      <c r="BW259" s="57">
        <v>0</v>
      </c>
      <c r="BX259" s="57">
        <v>0</v>
      </c>
      <c r="BY259" s="57">
        <v>0</v>
      </c>
      <c r="BZ259" s="57">
        <v>0</v>
      </c>
      <c r="CA259" s="57">
        <v>0</v>
      </c>
    </row>
    <row r="260" spans="1:79" x14ac:dyDescent="0.3">
      <c r="A260" s="19"/>
      <c r="B260" s="20" t="str">
        <f t="shared" si="87"/>
        <v>12290001</v>
      </c>
      <c r="C260" s="55" t="str">
        <f t="shared" si="88"/>
        <v>2</v>
      </c>
      <c r="D260" s="55">
        <f t="shared" si="89"/>
        <v>2</v>
      </c>
      <c r="E260" s="49">
        <v>1</v>
      </c>
      <c r="F260" s="20">
        <v>1</v>
      </c>
      <c r="G260" s="20">
        <v>102</v>
      </c>
      <c r="H260" s="20" t="str">
        <f t="shared" si="90"/>
        <v>Item_Name_12290001</v>
      </c>
      <c r="I260" s="20" t="s">
        <v>598</v>
      </c>
      <c r="J260" s="20">
        <v>10102001</v>
      </c>
      <c r="K260" s="20">
        <v>99</v>
      </c>
      <c r="L260" s="20">
        <v>0</v>
      </c>
      <c r="M260" s="20">
        <v>0</v>
      </c>
      <c r="N260" s="20">
        <v>15</v>
      </c>
      <c r="O260" s="20">
        <v>100</v>
      </c>
      <c r="P260" s="20">
        <v>1</v>
      </c>
      <c r="Q260" s="20" t="s">
        <v>225</v>
      </c>
      <c r="R260" s="20" t="s">
        <v>448</v>
      </c>
      <c r="S260" s="20" t="s">
        <v>321</v>
      </c>
      <c r="T260" s="20" t="s">
        <v>400</v>
      </c>
      <c r="U260" s="20">
        <v>0</v>
      </c>
      <c r="V260" s="20">
        <v>0</v>
      </c>
      <c r="W260" s="20">
        <v>73</v>
      </c>
      <c r="X260" s="20">
        <v>1</v>
      </c>
      <c r="Y260" s="20">
        <v>1203</v>
      </c>
      <c r="Z260" s="20">
        <v>1203</v>
      </c>
      <c r="AA260" s="20">
        <v>1205</v>
      </c>
      <c r="AB260" s="20">
        <v>1205</v>
      </c>
      <c r="AC260" s="20">
        <v>0</v>
      </c>
      <c r="AD260" s="20">
        <v>0</v>
      </c>
      <c r="AE260" s="39">
        <v>10201</v>
      </c>
      <c r="AF260" s="31">
        <v>0</v>
      </c>
      <c r="AG260" s="20">
        <v>0</v>
      </c>
      <c r="AH260" s="20">
        <v>0</v>
      </c>
      <c r="AI260" s="20">
        <v>0</v>
      </c>
      <c r="AJ260" s="20">
        <v>0</v>
      </c>
      <c r="AK260" s="20">
        <v>0</v>
      </c>
      <c r="AL260" s="20">
        <v>0</v>
      </c>
      <c r="AM260" s="20">
        <v>0</v>
      </c>
      <c r="AN260" s="20">
        <v>0</v>
      </c>
      <c r="AO260" s="20">
        <v>0</v>
      </c>
      <c r="AP260" s="20">
        <v>0</v>
      </c>
      <c r="AQ260" s="20">
        <v>0</v>
      </c>
      <c r="AR260" s="20">
        <v>0</v>
      </c>
      <c r="AS260" s="20">
        <v>0</v>
      </c>
      <c r="AT260" s="20">
        <v>0</v>
      </c>
      <c r="AU260" s="20">
        <v>0</v>
      </c>
      <c r="AV260" s="20">
        <v>0</v>
      </c>
      <c r="AW260" s="20">
        <v>0</v>
      </c>
      <c r="AX260" s="20">
        <v>0</v>
      </c>
      <c r="AY260" s="20">
        <v>0</v>
      </c>
      <c r="AZ260" s="20">
        <v>0</v>
      </c>
      <c r="BA260" s="20">
        <v>0</v>
      </c>
      <c r="BB260" s="20">
        <v>0</v>
      </c>
      <c r="BC260" s="20">
        <v>0</v>
      </c>
      <c r="BD260" s="20">
        <v>0</v>
      </c>
      <c r="BE260" s="20">
        <v>0</v>
      </c>
      <c r="BF260" s="20">
        <v>0</v>
      </c>
      <c r="BG260" s="20">
        <v>0</v>
      </c>
      <c r="BH260" s="20">
        <v>0</v>
      </c>
      <c r="BI260" s="20">
        <v>0</v>
      </c>
      <c r="BJ260" s="20">
        <v>0</v>
      </c>
      <c r="BK260" s="20">
        <v>0</v>
      </c>
      <c r="BL260" s="20">
        <v>0</v>
      </c>
      <c r="BM260" s="20">
        <v>0</v>
      </c>
      <c r="BN260" s="20">
        <v>0</v>
      </c>
      <c r="BO260" s="20">
        <v>0</v>
      </c>
      <c r="BP260" s="20">
        <v>0</v>
      </c>
      <c r="BQ260" s="20">
        <v>0</v>
      </c>
      <c r="BR260" s="20">
        <v>0</v>
      </c>
      <c r="BS260" s="20">
        <v>0</v>
      </c>
      <c r="BT260" s="20">
        <v>0</v>
      </c>
      <c r="BU260" s="20">
        <v>0</v>
      </c>
      <c r="BV260" s="20">
        <v>0</v>
      </c>
      <c r="BW260" s="20">
        <v>0</v>
      </c>
      <c r="BX260" s="20">
        <v>0</v>
      </c>
      <c r="BY260" s="20">
        <v>0</v>
      </c>
      <c r="BZ260" s="20">
        <v>0</v>
      </c>
      <c r="CA260" s="20">
        <v>0</v>
      </c>
    </row>
    <row r="261" spans="1:79" x14ac:dyDescent="0.3">
      <c r="A261" s="19"/>
      <c r="B261" s="20" t="str">
        <f t="shared" si="87"/>
        <v>12290002</v>
      </c>
      <c r="C261" s="55" t="str">
        <f t="shared" si="88"/>
        <v>2</v>
      </c>
      <c r="D261" s="55">
        <f t="shared" si="89"/>
        <v>2</v>
      </c>
      <c r="E261" s="49">
        <v>2</v>
      </c>
      <c r="F261" s="20">
        <v>1</v>
      </c>
      <c r="G261" s="20">
        <v>102</v>
      </c>
      <c r="H261" s="20" t="str">
        <f t="shared" si="90"/>
        <v>Item_Name_12290002</v>
      </c>
      <c r="I261" s="20" t="s">
        <v>599</v>
      </c>
      <c r="J261" s="20">
        <v>10102001</v>
      </c>
      <c r="K261" s="20">
        <v>99</v>
      </c>
      <c r="L261" s="20">
        <v>0</v>
      </c>
      <c r="M261" s="20">
        <v>0</v>
      </c>
      <c r="N261" s="20">
        <v>15</v>
      </c>
      <c r="O261" s="20">
        <v>100</v>
      </c>
      <c r="P261" s="20">
        <v>1</v>
      </c>
      <c r="Q261" s="20" t="s">
        <v>226</v>
      </c>
      <c r="R261" s="20" t="s">
        <v>448</v>
      </c>
      <c r="S261" s="20" t="s">
        <v>321</v>
      </c>
      <c r="T261" s="20" t="s">
        <v>400</v>
      </c>
      <c r="U261" s="20">
        <v>0</v>
      </c>
      <c r="V261" s="20">
        <v>0</v>
      </c>
      <c r="W261" s="20">
        <v>73</v>
      </c>
      <c r="X261" s="20">
        <v>2</v>
      </c>
      <c r="Y261" s="20">
        <v>1203</v>
      </c>
      <c r="Z261" s="20">
        <v>1203</v>
      </c>
      <c r="AA261" s="20">
        <v>1205</v>
      </c>
      <c r="AB261" s="20">
        <v>1205</v>
      </c>
      <c r="AC261" s="20">
        <v>0</v>
      </c>
      <c r="AD261" s="20">
        <v>0</v>
      </c>
      <c r="AE261" s="39">
        <v>10202</v>
      </c>
      <c r="AF261" s="31">
        <v>0</v>
      </c>
      <c r="AG261" s="20">
        <v>0</v>
      </c>
      <c r="AH261" s="20">
        <v>0</v>
      </c>
      <c r="AI261" s="20">
        <v>0</v>
      </c>
      <c r="AJ261" s="20">
        <v>0</v>
      </c>
      <c r="AK261" s="20">
        <v>0</v>
      </c>
      <c r="AL261" s="20">
        <v>0</v>
      </c>
      <c r="AM261" s="20">
        <v>0</v>
      </c>
      <c r="AN261" s="20">
        <v>0</v>
      </c>
      <c r="AO261" s="20">
        <v>0</v>
      </c>
      <c r="AP261" s="20">
        <v>0</v>
      </c>
      <c r="AQ261" s="20">
        <v>0</v>
      </c>
      <c r="AR261" s="20">
        <v>0</v>
      </c>
      <c r="AS261" s="20">
        <v>0</v>
      </c>
      <c r="AT261" s="20">
        <v>0</v>
      </c>
      <c r="AU261" s="20">
        <v>0</v>
      </c>
      <c r="AV261" s="20">
        <v>0</v>
      </c>
      <c r="AW261" s="20">
        <v>0</v>
      </c>
      <c r="AX261" s="20">
        <v>0</v>
      </c>
      <c r="AY261" s="20">
        <v>0</v>
      </c>
      <c r="AZ261" s="20">
        <v>0</v>
      </c>
      <c r="BA261" s="20">
        <v>0</v>
      </c>
      <c r="BB261" s="20">
        <v>0</v>
      </c>
      <c r="BC261" s="20">
        <v>0</v>
      </c>
      <c r="BD261" s="20">
        <v>0</v>
      </c>
      <c r="BE261" s="20">
        <v>0</v>
      </c>
      <c r="BF261" s="20">
        <v>0</v>
      </c>
      <c r="BG261" s="20">
        <v>0</v>
      </c>
      <c r="BH261" s="20">
        <v>0</v>
      </c>
      <c r="BI261" s="20">
        <v>0</v>
      </c>
      <c r="BJ261" s="20">
        <v>0</v>
      </c>
      <c r="BK261" s="20">
        <v>0</v>
      </c>
      <c r="BL261" s="20">
        <v>0</v>
      </c>
      <c r="BM261" s="20">
        <v>0</v>
      </c>
      <c r="BN261" s="20">
        <v>0</v>
      </c>
      <c r="BO261" s="20">
        <v>0</v>
      </c>
      <c r="BP261" s="20">
        <v>0</v>
      </c>
      <c r="BQ261" s="20">
        <v>0</v>
      </c>
      <c r="BR261" s="20">
        <v>0</v>
      </c>
      <c r="BS261" s="20">
        <v>0</v>
      </c>
      <c r="BT261" s="20">
        <v>0</v>
      </c>
      <c r="BU261" s="20">
        <v>0</v>
      </c>
      <c r="BV261" s="20">
        <v>0</v>
      </c>
      <c r="BW261" s="20">
        <v>0</v>
      </c>
      <c r="BX261" s="20">
        <v>0</v>
      </c>
      <c r="BY261" s="20">
        <v>0</v>
      </c>
      <c r="BZ261" s="20">
        <v>0</v>
      </c>
      <c r="CA261" s="20">
        <v>0</v>
      </c>
    </row>
    <row r="262" spans="1:79" x14ac:dyDescent="0.3">
      <c r="A262" s="19"/>
      <c r="B262" s="20" t="str">
        <f t="shared" si="87"/>
        <v>12290003</v>
      </c>
      <c r="C262" s="55" t="str">
        <f t="shared" si="88"/>
        <v>2</v>
      </c>
      <c r="D262" s="55">
        <f t="shared" si="89"/>
        <v>2</v>
      </c>
      <c r="E262" s="49">
        <v>3</v>
      </c>
      <c r="F262" s="20">
        <v>1</v>
      </c>
      <c r="G262" s="20">
        <v>102</v>
      </c>
      <c r="H262" s="20" t="str">
        <f t="shared" si="90"/>
        <v>Item_Name_12290003</v>
      </c>
      <c r="I262" s="20" t="s">
        <v>600</v>
      </c>
      <c r="J262" s="20">
        <v>10102001</v>
      </c>
      <c r="K262" s="20">
        <v>99</v>
      </c>
      <c r="L262" s="20">
        <v>0</v>
      </c>
      <c r="M262" s="20">
        <v>0</v>
      </c>
      <c r="N262" s="20">
        <v>15</v>
      </c>
      <c r="O262" s="20">
        <v>100</v>
      </c>
      <c r="P262" s="20">
        <v>1</v>
      </c>
      <c r="Q262" s="20" t="s">
        <v>227</v>
      </c>
      <c r="R262" s="20" t="s">
        <v>448</v>
      </c>
      <c r="S262" s="20" t="s">
        <v>321</v>
      </c>
      <c r="T262" s="20" t="s">
        <v>400</v>
      </c>
      <c r="U262" s="20">
        <v>0</v>
      </c>
      <c r="V262" s="20">
        <v>0</v>
      </c>
      <c r="W262" s="20">
        <v>73</v>
      </c>
      <c r="X262" s="20">
        <v>3</v>
      </c>
      <c r="Y262" s="20">
        <v>1203</v>
      </c>
      <c r="Z262" s="20">
        <v>1203</v>
      </c>
      <c r="AA262" s="20">
        <v>1205</v>
      </c>
      <c r="AB262" s="20">
        <v>1205</v>
      </c>
      <c r="AC262" s="20">
        <v>0</v>
      </c>
      <c r="AD262" s="20">
        <v>0</v>
      </c>
      <c r="AE262" s="39">
        <v>10203</v>
      </c>
      <c r="AF262" s="31">
        <v>0</v>
      </c>
      <c r="AG262" s="20">
        <v>0</v>
      </c>
      <c r="AH262" s="20">
        <v>0</v>
      </c>
      <c r="AI262" s="20">
        <v>0</v>
      </c>
      <c r="AJ262" s="20">
        <v>0</v>
      </c>
      <c r="AK262" s="20">
        <v>0</v>
      </c>
      <c r="AL262" s="20">
        <v>0</v>
      </c>
      <c r="AM262" s="20">
        <v>0</v>
      </c>
      <c r="AN262" s="20">
        <v>0</v>
      </c>
      <c r="AO262" s="20">
        <v>0</v>
      </c>
      <c r="AP262" s="20">
        <v>0</v>
      </c>
      <c r="AQ262" s="20">
        <v>0</v>
      </c>
      <c r="AR262" s="20">
        <v>0</v>
      </c>
      <c r="AS262" s="20">
        <v>0</v>
      </c>
      <c r="AT262" s="20">
        <v>0</v>
      </c>
      <c r="AU262" s="20">
        <v>0</v>
      </c>
      <c r="AV262" s="20">
        <v>0</v>
      </c>
      <c r="AW262" s="20">
        <v>0</v>
      </c>
      <c r="AX262" s="20">
        <v>0</v>
      </c>
      <c r="AY262" s="20">
        <v>0</v>
      </c>
      <c r="AZ262" s="20">
        <v>0</v>
      </c>
      <c r="BA262" s="20">
        <v>0</v>
      </c>
      <c r="BB262" s="20">
        <v>0</v>
      </c>
      <c r="BC262" s="20">
        <v>0</v>
      </c>
      <c r="BD262" s="20">
        <v>0</v>
      </c>
      <c r="BE262" s="20">
        <v>0</v>
      </c>
      <c r="BF262" s="20">
        <v>0</v>
      </c>
      <c r="BG262" s="20">
        <v>0</v>
      </c>
      <c r="BH262" s="20">
        <v>0</v>
      </c>
      <c r="BI262" s="20">
        <v>0</v>
      </c>
      <c r="BJ262" s="20">
        <v>0</v>
      </c>
      <c r="BK262" s="20">
        <v>0</v>
      </c>
      <c r="BL262" s="20">
        <v>0</v>
      </c>
      <c r="BM262" s="20">
        <v>0</v>
      </c>
      <c r="BN262" s="20">
        <v>0</v>
      </c>
      <c r="BO262" s="20">
        <v>0</v>
      </c>
      <c r="BP262" s="20">
        <v>0</v>
      </c>
      <c r="BQ262" s="20">
        <v>0</v>
      </c>
      <c r="BR262" s="20">
        <v>0</v>
      </c>
      <c r="BS262" s="20">
        <v>0</v>
      </c>
      <c r="BT262" s="20">
        <v>0</v>
      </c>
      <c r="BU262" s="20">
        <v>0</v>
      </c>
      <c r="BV262" s="20">
        <v>0</v>
      </c>
      <c r="BW262" s="20">
        <v>0</v>
      </c>
      <c r="BX262" s="20">
        <v>0</v>
      </c>
      <c r="BY262" s="20">
        <v>0</v>
      </c>
      <c r="BZ262" s="20">
        <v>0</v>
      </c>
      <c r="CA262" s="20">
        <v>0</v>
      </c>
    </row>
    <row r="263" spans="1:79" x14ac:dyDescent="0.3">
      <c r="A263" s="19"/>
      <c r="B263" s="20" t="str">
        <f t="shared" si="87"/>
        <v>13290001</v>
      </c>
      <c r="C263" s="55">
        <v>3</v>
      </c>
      <c r="D263" s="55">
        <f t="shared" si="89"/>
        <v>2</v>
      </c>
      <c r="E263" s="49">
        <v>1</v>
      </c>
      <c r="F263" s="57">
        <v>1</v>
      </c>
      <c r="G263" s="57">
        <v>102</v>
      </c>
      <c r="H263" s="57" t="str">
        <f t="shared" si="90"/>
        <v>Item_Name_13290001</v>
      </c>
      <c r="I263" s="57" t="s">
        <v>791</v>
      </c>
      <c r="J263" s="57">
        <v>10103001</v>
      </c>
      <c r="K263" s="57">
        <v>99</v>
      </c>
      <c r="L263" s="57">
        <v>0</v>
      </c>
      <c r="M263" s="57">
        <v>0</v>
      </c>
      <c r="N263" s="57">
        <v>15</v>
      </c>
      <c r="O263" s="57">
        <v>100</v>
      </c>
      <c r="P263" s="57">
        <v>1</v>
      </c>
      <c r="Q263" s="57" t="s">
        <v>794</v>
      </c>
      <c r="R263" s="57" t="s">
        <v>448</v>
      </c>
      <c r="S263" s="57" t="s">
        <v>321</v>
      </c>
      <c r="T263" s="57" t="s">
        <v>400</v>
      </c>
      <c r="U263" s="57">
        <v>0</v>
      </c>
      <c r="V263" s="57">
        <v>0</v>
      </c>
      <c r="W263" s="57">
        <v>73</v>
      </c>
      <c r="X263" s="57">
        <v>1</v>
      </c>
      <c r="Y263" s="57">
        <v>1202</v>
      </c>
      <c r="Z263" s="57">
        <v>1202</v>
      </c>
      <c r="AA263" s="57">
        <v>1206</v>
      </c>
      <c r="AB263" s="57">
        <v>1206</v>
      </c>
      <c r="AC263" s="57">
        <v>0</v>
      </c>
      <c r="AD263" s="57">
        <v>0</v>
      </c>
      <c r="AE263" s="58">
        <v>10301</v>
      </c>
      <c r="AF263" s="30">
        <v>0</v>
      </c>
      <c r="AG263" s="57">
        <v>0</v>
      </c>
      <c r="AH263" s="57">
        <v>0</v>
      </c>
      <c r="AI263" s="57">
        <v>0</v>
      </c>
      <c r="AJ263" s="57">
        <v>0</v>
      </c>
      <c r="AK263" s="57">
        <v>0</v>
      </c>
      <c r="AL263" s="57">
        <v>0</v>
      </c>
      <c r="AM263" s="57">
        <v>0</v>
      </c>
      <c r="AN263" s="57">
        <v>0</v>
      </c>
      <c r="AO263" s="57">
        <v>0</v>
      </c>
      <c r="AP263" s="57">
        <v>0</v>
      </c>
      <c r="AQ263" s="57">
        <v>0</v>
      </c>
      <c r="AR263" s="57">
        <v>0</v>
      </c>
      <c r="AS263" s="57">
        <v>0</v>
      </c>
      <c r="AT263" s="57">
        <v>0</v>
      </c>
      <c r="AU263" s="57">
        <v>0</v>
      </c>
      <c r="AV263" s="57">
        <v>0</v>
      </c>
      <c r="AW263" s="57">
        <v>0</v>
      </c>
      <c r="AX263" s="57">
        <v>0</v>
      </c>
      <c r="AY263" s="57">
        <v>0</v>
      </c>
      <c r="AZ263" s="57">
        <v>0</v>
      </c>
      <c r="BA263" s="57">
        <v>0</v>
      </c>
      <c r="BB263" s="57">
        <v>0</v>
      </c>
      <c r="BC263" s="57">
        <v>0</v>
      </c>
      <c r="BD263" s="57">
        <v>0</v>
      </c>
      <c r="BE263" s="57">
        <v>0</v>
      </c>
      <c r="BF263" s="57">
        <v>0</v>
      </c>
      <c r="BG263" s="57">
        <v>0</v>
      </c>
      <c r="BH263" s="57">
        <v>0</v>
      </c>
      <c r="BI263" s="57">
        <v>0</v>
      </c>
      <c r="BJ263" s="57">
        <v>0</v>
      </c>
      <c r="BK263" s="57">
        <v>0</v>
      </c>
      <c r="BL263" s="57">
        <v>0</v>
      </c>
      <c r="BM263" s="57">
        <v>0</v>
      </c>
      <c r="BN263" s="57">
        <v>0</v>
      </c>
      <c r="BO263" s="57">
        <v>0</v>
      </c>
      <c r="BP263" s="57">
        <v>0</v>
      </c>
      <c r="BQ263" s="57">
        <v>0</v>
      </c>
      <c r="BR263" s="57">
        <v>0</v>
      </c>
      <c r="BS263" s="57">
        <v>0</v>
      </c>
      <c r="BT263" s="57">
        <v>0</v>
      </c>
      <c r="BU263" s="57">
        <v>0</v>
      </c>
      <c r="BV263" s="57">
        <v>0</v>
      </c>
      <c r="BW263" s="57">
        <v>0</v>
      </c>
      <c r="BX263" s="57">
        <v>0</v>
      </c>
      <c r="BY263" s="57">
        <v>0</v>
      </c>
      <c r="BZ263" s="57">
        <v>0</v>
      </c>
      <c r="CA263" s="57">
        <v>0</v>
      </c>
    </row>
    <row r="264" spans="1:79" x14ac:dyDescent="0.3">
      <c r="A264" s="19"/>
      <c r="B264" s="20" t="str">
        <f t="shared" si="87"/>
        <v>13290002</v>
      </c>
      <c r="C264" s="55">
        <v>3</v>
      </c>
      <c r="D264" s="55">
        <f t="shared" si="89"/>
        <v>2</v>
      </c>
      <c r="E264" s="49">
        <v>2</v>
      </c>
      <c r="F264" s="57">
        <v>1</v>
      </c>
      <c r="G264" s="57">
        <v>102</v>
      </c>
      <c r="H264" s="57" t="str">
        <f t="shared" si="90"/>
        <v>Item_Name_13290002</v>
      </c>
      <c r="I264" s="57" t="s">
        <v>792</v>
      </c>
      <c r="J264" s="57">
        <v>10103001</v>
      </c>
      <c r="K264" s="57">
        <v>99</v>
      </c>
      <c r="L264" s="57">
        <v>0</v>
      </c>
      <c r="M264" s="57">
        <v>0</v>
      </c>
      <c r="N264" s="57">
        <v>15</v>
      </c>
      <c r="O264" s="57">
        <v>100</v>
      </c>
      <c r="P264" s="57">
        <v>1</v>
      </c>
      <c r="Q264" s="57" t="s">
        <v>795</v>
      </c>
      <c r="R264" s="57" t="s">
        <v>448</v>
      </c>
      <c r="S264" s="57" t="s">
        <v>321</v>
      </c>
      <c r="T264" s="57" t="s">
        <v>400</v>
      </c>
      <c r="U264" s="57">
        <v>0</v>
      </c>
      <c r="V264" s="57">
        <v>0</v>
      </c>
      <c r="W264" s="57">
        <v>73</v>
      </c>
      <c r="X264" s="57">
        <v>2</v>
      </c>
      <c r="Y264" s="57">
        <v>1202</v>
      </c>
      <c r="Z264" s="57">
        <v>1202</v>
      </c>
      <c r="AA264" s="57">
        <v>1206</v>
      </c>
      <c r="AB264" s="57">
        <v>1206</v>
      </c>
      <c r="AC264" s="57">
        <v>0</v>
      </c>
      <c r="AD264" s="57">
        <v>0</v>
      </c>
      <c r="AE264" s="58">
        <v>10302</v>
      </c>
      <c r="AF264" s="30">
        <v>0</v>
      </c>
      <c r="AG264" s="57">
        <v>0</v>
      </c>
      <c r="AH264" s="57">
        <v>0</v>
      </c>
      <c r="AI264" s="57">
        <v>0</v>
      </c>
      <c r="AJ264" s="57">
        <v>0</v>
      </c>
      <c r="AK264" s="57">
        <v>0</v>
      </c>
      <c r="AL264" s="57">
        <v>0</v>
      </c>
      <c r="AM264" s="57">
        <v>0</v>
      </c>
      <c r="AN264" s="57">
        <v>0</v>
      </c>
      <c r="AO264" s="57">
        <v>0</v>
      </c>
      <c r="AP264" s="57">
        <v>0</v>
      </c>
      <c r="AQ264" s="57">
        <v>0</v>
      </c>
      <c r="AR264" s="57">
        <v>0</v>
      </c>
      <c r="AS264" s="57">
        <v>0</v>
      </c>
      <c r="AT264" s="57">
        <v>0</v>
      </c>
      <c r="AU264" s="57">
        <v>0</v>
      </c>
      <c r="AV264" s="57">
        <v>0</v>
      </c>
      <c r="AW264" s="57">
        <v>0</v>
      </c>
      <c r="AX264" s="57">
        <v>0</v>
      </c>
      <c r="AY264" s="57">
        <v>0</v>
      </c>
      <c r="AZ264" s="57">
        <v>0</v>
      </c>
      <c r="BA264" s="57">
        <v>0</v>
      </c>
      <c r="BB264" s="57">
        <v>0</v>
      </c>
      <c r="BC264" s="57">
        <v>0</v>
      </c>
      <c r="BD264" s="57">
        <v>0</v>
      </c>
      <c r="BE264" s="57">
        <v>0</v>
      </c>
      <c r="BF264" s="57">
        <v>0</v>
      </c>
      <c r="BG264" s="57">
        <v>0</v>
      </c>
      <c r="BH264" s="57">
        <v>0</v>
      </c>
      <c r="BI264" s="57">
        <v>0</v>
      </c>
      <c r="BJ264" s="57">
        <v>0</v>
      </c>
      <c r="BK264" s="57">
        <v>0</v>
      </c>
      <c r="BL264" s="57">
        <v>0</v>
      </c>
      <c r="BM264" s="57">
        <v>0</v>
      </c>
      <c r="BN264" s="57">
        <v>0</v>
      </c>
      <c r="BO264" s="57">
        <v>0</v>
      </c>
      <c r="BP264" s="57">
        <v>0</v>
      </c>
      <c r="BQ264" s="57">
        <v>0</v>
      </c>
      <c r="BR264" s="57">
        <v>0</v>
      </c>
      <c r="BS264" s="57">
        <v>0</v>
      </c>
      <c r="BT264" s="57">
        <v>0</v>
      </c>
      <c r="BU264" s="57">
        <v>0</v>
      </c>
      <c r="BV264" s="57">
        <v>0</v>
      </c>
      <c r="BW264" s="57">
        <v>0</v>
      </c>
      <c r="BX264" s="57">
        <v>0</v>
      </c>
      <c r="BY264" s="57">
        <v>0</v>
      </c>
      <c r="BZ264" s="57">
        <v>0</v>
      </c>
      <c r="CA264" s="57">
        <v>0</v>
      </c>
    </row>
    <row r="265" spans="1:79" x14ac:dyDescent="0.3">
      <c r="A265" s="19"/>
      <c r="B265" s="20" t="str">
        <f t="shared" si="87"/>
        <v>13290003</v>
      </c>
      <c r="C265" s="55">
        <v>3</v>
      </c>
      <c r="D265" s="55">
        <f t="shared" si="89"/>
        <v>2</v>
      </c>
      <c r="E265" s="49">
        <v>3</v>
      </c>
      <c r="F265" s="57">
        <v>1</v>
      </c>
      <c r="G265" s="57">
        <v>102</v>
      </c>
      <c r="H265" s="57" t="str">
        <f t="shared" si="90"/>
        <v>Item_Name_13290003</v>
      </c>
      <c r="I265" s="57" t="s">
        <v>793</v>
      </c>
      <c r="J265" s="57">
        <v>10103001</v>
      </c>
      <c r="K265" s="57">
        <v>99</v>
      </c>
      <c r="L265" s="57">
        <v>0</v>
      </c>
      <c r="M265" s="57">
        <v>0</v>
      </c>
      <c r="N265" s="57">
        <v>15</v>
      </c>
      <c r="O265" s="57">
        <v>100</v>
      </c>
      <c r="P265" s="57">
        <v>1</v>
      </c>
      <c r="Q265" s="57" t="s">
        <v>796</v>
      </c>
      <c r="R265" s="57" t="s">
        <v>448</v>
      </c>
      <c r="S265" s="57" t="s">
        <v>321</v>
      </c>
      <c r="T265" s="57" t="s">
        <v>400</v>
      </c>
      <c r="U265" s="57">
        <v>0</v>
      </c>
      <c r="V265" s="57">
        <v>0</v>
      </c>
      <c r="W265" s="57">
        <v>73</v>
      </c>
      <c r="X265" s="57">
        <v>3</v>
      </c>
      <c r="Y265" s="57">
        <v>1202</v>
      </c>
      <c r="Z265" s="57">
        <v>1202</v>
      </c>
      <c r="AA265" s="57">
        <v>1206</v>
      </c>
      <c r="AB265" s="57">
        <v>1206</v>
      </c>
      <c r="AC265" s="57">
        <v>0</v>
      </c>
      <c r="AD265" s="57">
        <v>0</v>
      </c>
      <c r="AE265" s="58">
        <v>10303</v>
      </c>
      <c r="AF265" s="30">
        <v>0</v>
      </c>
      <c r="AG265" s="57">
        <v>0</v>
      </c>
      <c r="AH265" s="57">
        <v>0</v>
      </c>
      <c r="AI265" s="57">
        <v>0</v>
      </c>
      <c r="AJ265" s="57">
        <v>0</v>
      </c>
      <c r="AK265" s="57">
        <v>0</v>
      </c>
      <c r="AL265" s="57">
        <v>0</v>
      </c>
      <c r="AM265" s="57">
        <v>0</v>
      </c>
      <c r="AN265" s="57">
        <v>0</v>
      </c>
      <c r="AO265" s="57">
        <v>0</v>
      </c>
      <c r="AP265" s="57">
        <v>0</v>
      </c>
      <c r="AQ265" s="57">
        <v>0</v>
      </c>
      <c r="AR265" s="57">
        <v>0</v>
      </c>
      <c r="AS265" s="57">
        <v>0</v>
      </c>
      <c r="AT265" s="57">
        <v>0</v>
      </c>
      <c r="AU265" s="57">
        <v>0</v>
      </c>
      <c r="AV265" s="57">
        <v>0</v>
      </c>
      <c r="AW265" s="57">
        <v>0</v>
      </c>
      <c r="AX265" s="57">
        <v>0</v>
      </c>
      <c r="AY265" s="57">
        <v>0</v>
      </c>
      <c r="AZ265" s="57">
        <v>0</v>
      </c>
      <c r="BA265" s="57">
        <v>0</v>
      </c>
      <c r="BB265" s="57">
        <v>0</v>
      </c>
      <c r="BC265" s="57">
        <v>0</v>
      </c>
      <c r="BD265" s="57">
        <v>0</v>
      </c>
      <c r="BE265" s="57">
        <v>0</v>
      </c>
      <c r="BF265" s="57">
        <v>0</v>
      </c>
      <c r="BG265" s="57">
        <v>0</v>
      </c>
      <c r="BH265" s="57">
        <v>0</v>
      </c>
      <c r="BI265" s="57">
        <v>0</v>
      </c>
      <c r="BJ265" s="57">
        <v>0</v>
      </c>
      <c r="BK265" s="57">
        <v>0</v>
      </c>
      <c r="BL265" s="57">
        <v>0</v>
      </c>
      <c r="BM265" s="57">
        <v>0</v>
      </c>
      <c r="BN265" s="57">
        <v>0</v>
      </c>
      <c r="BO265" s="57">
        <v>0</v>
      </c>
      <c r="BP265" s="57">
        <v>0</v>
      </c>
      <c r="BQ265" s="57">
        <v>0</v>
      </c>
      <c r="BR265" s="57">
        <v>0</v>
      </c>
      <c r="BS265" s="57">
        <v>0</v>
      </c>
      <c r="BT265" s="57">
        <v>0</v>
      </c>
      <c r="BU265" s="57">
        <v>0</v>
      </c>
      <c r="BV265" s="57">
        <v>0</v>
      </c>
      <c r="BW265" s="57">
        <v>0</v>
      </c>
      <c r="BX265" s="57">
        <v>0</v>
      </c>
      <c r="BY265" s="57">
        <v>0</v>
      </c>
      <c r="BZ265" s="57">
        <v>0</v>
      </c>
      <c r="CA265" s="57">
        <v>0</v>
      </c>
    </row>
    <row r="266" spans="1:79" x14ac:dyDescent="0.3">
      <c r="A266" s="19"/>
      <c r="B266" s="20" t="str">
        <f t="shared" si="87"/>
        <v>14290001</v>
      </c>
      <c r="C266" s="55">
        <v>4</v>
      </c>
      <c r="D266" s="55">
        <f t="shared" ref="D266:D268" si="93">IF(G266&lt;100, G266, G266-100)</f>
        <v>2</v>
      </c>
      <c r="E266" s="49">
        <v>1</v>
      </c>
      <c r="F266" s="57">
        <v>1</v>
      </c>
      <c r="G266" s="57">
        <v>102</v>
      </c>
      <c r="H266" s="57" t="str">
        <f t="shared" si="90"/>
        <v>Item_Name_14290001</v>
      </c>
      <c r="I266" s="57" t="s">
        <v>629</v>
      </c>
      <c r="J266" s="57">
        <v>10104001</v>
      </c>
      <c r="K266" s="57">
        <v>99</v>
      </c>
      <c r="L266" s="57">
        <v>0</v>
      </c>
      <c r="M266" s="57">
        <v>0</v>
      </c>
      <c r="N266" s="57">
        <v>15</v>
      </c>
      <c r="O266" s="57">
        <v>100</v>
      </c>
      <c r="P266" s="57">
        <v>1</v>
      </c>
      <c r="Q266" s="57" t="s">
        <v>638</v>
      </c>
      <c r="R266" s="57" t="s">
        <v>448</v>
      </c>
      <c r="S266" s="57" t="s">
        <v>321</v>
      </c>
      <c r="T266" s="57" t="s">
        <v>400</v>
      </c>
      <c r="U266" s="57">
        <v>0</v>
      </c>
      <c r="V266" s="57">
        <v>0</v>
      </c>
      <c r="W266" s="57">
        <v>73</v>
      </c>
      <c r="X266" s="57">
        <v>1</v>
      </c>
      <c r="Y266" s="57">
        <v>1202</v>
      </c>
      <c r="Z266" s="57">
        <v>1202</v>
      </c>
      <c r="AA266" s="57">
        <v>1206</v>
      </c>
      <c r="AB266" s="57">
        <v>1206</v>
      </c>
      <c r="AC266" s="57">
        <v>0</v>
      </c>
      <c r="AD266" s="57">
        <v>0</v>
      </c>
      <c r="AE266" s="58">
        <v>10401</v>
      </c>
      <c r="AF266" s="30">
        <v>0</v>
      </c>
      <c r="AG266" s="57">
        <v>0</v>
      </c>
      <c r="AH266" s="57">
        <v>0</v>
      </c>
      <c r="AI266" s="57">
        <v>0</v>
      </c>
      <c r="AJ266" s="57">
        <v>0</v>
      </c>
      <c r="AK266" s="57">
        <v>0</v>
      </c>
      <c r="AL266" s="57">
        <v>0</v>
      </c>
      <c r="AM266" s="57">
        <v>0</v>
      </c>
      <c r="AN266" s="57">
        <v>0</v>
      </c>
      <c r="AO266" s="57">
        <v>0</v>
      </c>
      <c r="AP266" s="57">
        <v>0</v>
      </c>
      <c r="AQ266" s="57">
        <v>0</v>
      </c>
      <c r="AR266" s="57">
        <v>0</v>
      </c>
      <c r="AS266" s="57">
        <v>0</v>
      </c>
      <c r="AT266" s="57">
        <v>0</v>
      </c>
      <c r="AU266" s="57">
        <v>0</v>
      </c>
      <c r="AV266" s="57">
        <v>0</v>
      </c>
      <c r="AW266" s="57">
        <v>0</v>
      </c>
      <c r="AX266" s="57">
        <v>0</v>
      </c>
      <c r="AY266" s="57">
        <v>0</v>
      </c>
      <c r="AZ266" s="57">
        <v>0</v>
      </c>
      <c r="BA266" s="57">
        <v>0</v>
      </c>
      <c r="BB266" s="57">
        <v>0</v>
      </c>
      <c r="BC266" s="57">
        <v>0</v>
      </c>
      <c r="BD266" s="57">
        <v>0</v>
      </c>
      <c r="BE266" s="57">
        <v>0</v>
      </c>
      <c r="BF266" s="57">
        <v>0</v>
      </c>
      <c r="BG266" s="57">
        <v>0</v>
      </c>
      <c r="BH266" s="57">
        <v>0</v>
      </c>
      <c r="BI266" s="57">
        <v>0</v>
      </c>
      <c r="BJ266" s="57">
        <v>0</v>
      </c>
      <c r="BK266" s="57">
        <v>0</v>
      </c>
      <c r="BL266" s="57">
        <v>0</v>
      </c>
      <c r="BM266" s="57">
        <v>0</v>
      </c>
      <c r="BN266" s="57">
        <v>0</v>
      </c>
      <c r="BO266" s="57">
        <v>0</v>
      </c>
      <c r="BP266" s="57">
        <v>0</v>
      </c>
      <c r="BQ266" s="57">
        <v>0</v>
      </c>
      <c r="BR266" s="57">
        <v>0</v>
      </c>
      <c r="BS266" s="57">
        <v>0</v>
      </c>
      <c r="BT266" s="57">
        <v>0</v>
      </c>
      <c r="BU266" s="57">
        <v>0</v>
      </c>
      <c r="BV266" s="57">
        <v>0</v>
      </c>
      <c r="BW266" s="57">
        <v>0</v>
      </c>
      <c r="BX266" s="57">
        <v>0</v>
      </c>
      <c r="BY266" s="57">
        <v>0</v>
      </c>
      <c r="BZ266" s="57">
        <v>0</v>
      </c>
      <c r="CA266" s="57">
        <v>0</v>
      </c>
    </row>
    <row r="267" spans="1:79" x14ac:dyDescent="0.3">
      <c r="A267" s="19"/>
      <c r="B267" s="20" t="str">
        <f t="shared" si="87"/>
        <v>14290002</v>
      </c>
      <c r="C267" s="55">
        <v>4</v>
      </c>
      <c r="D267" s="55">
        <f t="shared" si="93"/>
        <v>2</v>
      </c>
      <c r="E267" s="49">
        <v>2</v>
      </c>
      <c r="F267" s="57">
        <v>1</v>
      </c>
      <c r="G267" s="57">
        <v>102</v>
      </c>
      <c r="H267" s="57" t="str">
        <f t="shared" si="90"/>
        <v>Item_Name_14290002</v>
      </c>
      <c r="I267" s="57" t="s">
        <v>630</v>
      </c>
      <c r="J267" s="57">
        <v>10104001</v>
      </c>
      <c r="K267" s="57">
        <v>99</v>
      </c>
      <c r="L267" s="57">
        <v>0</v>
      </c>
      <c r="M267" s="57">
        <v>0</v>
      </c>
      <c r="N267" s="57">
        <v>15</v>
      </c>
      <c r="O267" s="57">
        <v>100</v>
      </c>
      <c r="P267" s="57">
        <v>1</v>
      </c>
      <c r="Q267" s="57" t="s">
        <v>639</v>
      </c>
      <c r="R267" s="57" t="s">
        <v>448</v>
      </c>
      <c r="S267" s="57" t="s">
        <v>321</v>
      </c>
      <c r="T267" s="57" t="s">
        <v>400</v>
      </c>
      <c r="U267" s="57">
        <v>0</v>
      </c>
      <c r="V267" s="57">
        <v>0</v>
      </c>
      <c r="W267" s="57">
        <v>73</v>
      </c>
      <c r="X267" s="57">
        <v>2</v>
      </c>
      <c r="Y267" s="57">
        <v>1202</v>
      </c>
      <c r="Z267" s="57">
        <v>1202</v>
      </c>
      <c r="AA267" s="57">
        <v>1206</v>
      </c>
      <c r="AB267" s="57">
        <v>1206</v>
      </c>
      <c r="AC267" s="57">
        <v>0</v>
      </c>
      <c r="AD267" s="57">
        <v>0</v>
      </c>
      <c r="AE267" s="58">
        <v>10402</v>
      </c>
      <c r="AF267" s="30">
        <v>0</v>
      </c>
      <c r="AG267" s="57">
        <v>0</v>
      </c>
      <c r="AH267" s="57">
        <v>0</v>
      </c>
      <c r="AI267" s="57">
        <v>0</v>
      </c>
      <c r="AJ267" s="57">
        <v>0</v>
      </c>
      <c r="AK267" s="57">
        <v>0</v>
      </c>
      <c r="AL267" s="57">
        <v>0</v>
      </c>
      <c r="AM267" s="57">
        <v>0</v>
      </c>
      <c r="AN267" s="57">
        <v>0</v>
      </c>
      <c r="AO267" s="57">
        <v>0</v>
      </c>
      <c r="AP267" s="57">
        <v>0</v>
      </c>
      <c r="AQ267" s="57">
        <v>0</v>
      </c>
      <c r="AR267" s="57">
        <v>0</v>
      </c>
      <c r="AS267" s="57">
        <v>0</v>
      </c>
      <c r="AT267" s="57">
        <v>0</v>
      </c>
      <c r="AU267" s="57">
        <v>0</v>
      </c>
      <c r="AV267" s="57">
        <v>0</v>
      </c>
      <c r="AW267" s="57">
        <v>0</v>
      </c>
      <c r="AX267" s="57">
        <v>0</v>
      </c>
      <c r="AY267" s="57">
        <v>0</v>
      </c>
      <c r="AZ267" s="57">
        <v>0</v>
      </c>
      <c r="BA267" s="57">
        <v>0</v>
      </c>
      <c r="BB267" s="57">
        <v>0</v>
      </c>
      <c r="BC267" s="57">
        <v>0</v>
      </c>
      <c r="BD267" s="57">
        <v>0</v>
      </c>
      <c r="BE267" s="57">
        <v>0</v>
      </c>
      <c r="BF267" s="57">
        <v>0</v>
      </c>
      <c r="BG267" s="57">
        <v>0</v>
      </c>
      <c r="BH267" s="57">
        <v>0</v>
      </c>
      <c r="BI267" s="57">
        <v>0</v>
      </c>
      <c r="BJ267" s="57">
        <v>0</v>
      </c>
      <c r="BK267" s="57">
        <v>0</v>
      </c>
      <c r="BL267" s="57">
        <v>0</v>
      </c>
      <c r="BM267" s="57">
        <v>0</v>
      </c>
      <c r="BN267" s="57">
        <v>0</v>
      </c>
      <c r="BO267" s="57">
        <v>0</v>
      </c>
      <c r="BP267" s="57">
        <v>0</v>
      </c>
      <c r="BQ267" s="57">
        <v>0</v>
      </c>
      <c r="BR267" s="57">
        <v>0</v>
      </c>
      <c r="BS267" s="57">
        <v>0</v>
      </c>
      <c r="BT267" s="57">
        <v>0</v>
      </c>
      <c r="BU267" s="57">
        <v>0</v>
      </c>
      <c r="BV267" s="57">
        <v>0</v>
      </c>
      <c r="BW267" s="57">
        <v>0</v>
      </c>
      <c r="BX267" s="57">
        <v>0</v>
      </c>
      <c r="BY267" s="57">
        <v>0</v>
      </c>
      <c r="BZ267" s="57">
        <v>0</v>
      </c>
      <c r="CA267" s="57">
        <v>0</v>
      </c>
    </row>
    <row r="268" spans="1:79" x14ac:dyDescent="0.3">
      <c r="A268" s="19"/>
      <c r="B268" s="20" t="str">
        <f t="shared" si="87"/>
        <v>14290003</v>
      </c>
      <c r="C268" s="55">
        <v>4</v>
      </c>
      <c r="D268" s="55">
        <f t="shared" si="93"/>
        <v>2</v>
      </c>
      <c r="E268" s="49">
        <v>3</v>
      </c>
      <c r="F268" s="57">
        <v>1</v>
      </c>
      <c r="G268" s="57">
        <v>102</v>
      </c>
      <c r="H268" s="57" t="str">
        <f t="shared" si="90"/>
        <v>Item_Name_14290003</v>
      </c>
      <c r="I268" s="57" t="s">
        <v>631</v>
      </c>
      <c r="J268" s="57">
        <v>10104001</v>
      </c>
      <c r="K268" s="57">
        <v>99</v>
      </c>
      <c r="L268" s="57">
        <v>0</v>
      </c>
      <c r="M268" s="57">
        <v>0</v>
      </c>
      <c r="N268" s="57">
        <v>15</v>
      </c>
      <c r="O268" s="57">
        <v>100</v>
      </c>
      <c r="P268" s="57">
        <v>1</v>
      </c>
      <c r="Q268" s="57" t="s">
        <v>640</v>
      </c>
      <c r="R268" s="57" t="s">
        <v>448</v>
      </c>
      <c r="S268" s="57" t="s">
        <v>321</v>
      </c>
      <c r="T268" s="57" t="s">
        <v>400</v>
      </c>
      <c r="U268" s="57">
        <v>0</v>
      </c>
      <c r="V268" s="57">
        <v>0</v>
      </c>
      <c r="W268" s="57">
        <v>73</v>
      </c>
      <c r="X268" s="57">
        <v>3</v>
      </c>
      <c r="Y268" s="57">
        <v>1202</v>
      </c>
      <c r="Z268" s="57">
        <v>1202</v>
      </c>
      <c r="AA268" s="57">
        <v>1206</v>
      </c>
      <c r="AB268" s="57">
        <v>1206</v>
      </c>
      <c r="AC268" s="57">
        <v>0</v>
      </c>
      <c r="AD268" s="57">
        <v>0</v>
      </c>
      <c r="AE268" s="58">
        <v>10403</v>
      </c>
      <c r="AF268" s="30">
        <v>0</v>
      </c>
      <c r="AG268" s="57">
        <v>0</v>
      </c>
      <c r="AH268" s="57">
        <v>0</v>
      </c>
      <c r="AI268" s="57">
        <v>0</v>
      </c>
      <c r="AJ268" s="57">
        <v>0</v>
      </c>
      <c r="AK268" s="57">
        <v>0</v>
      </c>
      <c r="AL268" s="57">
        <v>0</v>
      </c>
      <c r="AM268" s="57">
        <v>0</v>
      </c>
      <c r="AN268" s="57">
        <v>0</v>
      </c>
      <c r="AO268" s="57">
        <v>0</v>
      </c>
      <c r="AP268" s="57">
        <v>0</v>
      </c>
      <c r="AQ268" s="57">
        <v>0</v>
      </c>
      <c r="AR268" s="57">
        <v>0</v>
      </c>
      <c r="AS268" s="57">
        <v>0</v>
      </c>
      <c r="AT268" s="57">
        <v>0</v>
      </c>
      <c r="AU268" s="57">
        <v>0</v>
      </c>
      <c r="AV268" s="57">
        <v>0</v>
      </c>
      <c r="AW268" s="57">
        <v>0</v>
      </c>
      <c r="AX268" s="57">
        <v>0</v>
      </c>
      <c r="AY268" s="57">
        <v>0</v>
      </c>
      <c r="AZ268" s="57">
        <v>0</v>
      </c>
      <c r="BA268" s="57">
        <v>0</v>
      </c>
      <c r="BB268" s="57">
        <v>0</v>
      </c>
      <c r="BC268" s="57">
        <v>0</v>
      </c>
      <c r="BD268" s="57">
        <v>0</v>
      </c>
      <c r="BE268" s="57">
        <v>0</v>
      </c>
      <c r="BF268" s="57">
        <v>0</v>
      </c>
      <c r="BG268" s="57">
        <v>0</v>
      </c>
      <c r="BH268" s="57">
        <v>0</v>
      </c>
      <c r="BI268" s="57">
        <v>0</v>
      </c>
      <c r="BJ268" s="57">
        <v>0</v>
      </c>
      <c r="BK268" s="57">
        <v>0</v>
      </c>
      <c r="BL268" s="57">
        <v>0</v>
      </c>
      <c r="BM268" s="57">
        <v>0</v>
      </c>
      <c r="BN268" s="57">
        <v>0</v>
      </c>
      <c r="BO268" s="57">
        <v>0</v>
      </c>
      <c r="BP268" s="57">
        <v>0</v>
      </c>
      <c r="BQ268" s="57">
        <v>0</v>
      </c>
      <c r="BR268" s="57">
        <v>0</v>
      </c>
      <c r="BS268" s="57">
        <v>0</v>
      </c>
      <c r="BT268" s="57">
        <v>0</v>
      </c>
      <c r="BU268" s="57">
        <v>0</v>
      </c>
      <c r="BV268" s="57">
        <v>0</v>
      </c>
      <c r="BW268" s="57">
        <v>0</v>
      </c>
      <c r="BX268" s="57">
        <v>0</v>
      </c>
      <c r="BY268" s="57">
        <v>0</v>
      </c>
      <c r="BZ268" s="57">
        <v>0</v>
      </c>
      <c r="CA268" s="57">
        <v>0</v>
      </c>
    </row>
    <row r="269" spans="1:79" x14ac:dyDescent="0.3">
      <c r="A269" s="19"/>
      <c r="B269" s="20" t="str">
        <f t="shared" si="87"/>
        <v>11390001</v>
      </c>
      <c r="C269" s="55" t="str">
        <f t="shared" si="88"/>
        <v>1</v>
      </c>
      <c r="D269" s="55">
        <f t="shared" si="89"/>
        <v>3</v>
      </c>
      <c r="E269" s="49">
        <v>1</v>
      </c>
      <c r="F269" s="57">
        <v>1</v>
      </c>
      <c r="G269" s="57">
        <v>103</v>
      </c>
      <c r="H269" s="57" t="str">
        <f t="shared" si="90"/>
        <v>Item_Name_11390001</v>
      </c>
      <c r="I269" s="57" t="s">
        <v>455</v>
      </c>
      <c r="J269" s="57">
        <v>10101001</v>
      </c>
      <c r="K269" s="57">
        <v>99</v>
      </c>
      <c r="L269" s="57">
        <v>0</v>
      </c>
      <c r="M269" s="57">
        <v>0</v>
      </c>
      <c r="N269" s="57">
        <v>15</v>
      </c>
      <c r="O269" s="57">
        <v>100</v>
      </c>
      <c r="P269" s="57">
        <v>1</v>
      </c>
      <c r="Q269" s="57" t="s">
        <v>643</v>
      </c>
      <c r="R269" s="57" t="s">
        <v>448</v>
      </c>
      <c r="S269" s="57" t="s">
        <v>322</v>
      </c>
      <c r="T269" s="57" t="s">
        <v>400</v>
      </c>
      <c r="U269" s="57">
        <v>0</v>
      </c>
      <c r="V269" s="57">
        <v>0</v>
      </c>
      <c r="W269" s="57">
        <v>73</v>
      </c>
      <c r="X269" s="57">
        <v>1</v>
      </c>
      <c r="Y269" s="57">
        <v>1201</v>
      </c>
      <c r="Z269" s="57">
        <v>1201</v>
      </c>
      <c r="AA269" s="57">
        <v>1205</v>
      </c>
      <c r="AB269" s="57">
        <v>1205</v>
      </c>
      <c r="AC269" s="57">
        <v>0</v>
      </c>
      <c r="AD269" s="57">
        <v>0</v>
      </c>
      <c r="AE269" s="58">
        <v>10101</v>
      </c>
      <c r="AF269" s="30">
        <v>0</v>
      </c>
      <c r="AG269" s="57">
        <v>0</v>
      </c>
      <c r="AH269" s="57">
        <v>0</v>
      </c>
      <c r="AI269" s="57">
        <v>0</v>
      </c>
      <c r="AJ269" s="57">
        <v>0</v>
      </c>
      <c r="AK269" s="57">
        <v>0</v>
      </c>
      <c r="AL269" s="57">
        <v>0</v>
      </c>
      <c r="AM269" s="57">
        <v>0</v>
      </c>
      <c r="AN269" s="57">
        <v>0</v>
      </c>
      <c r="AO269" s="57">
        <v>0</v>
      </c>
      <c r="AP269" s="57">
        <v>0</v>
      </c>
      <c r="AQ269" s="57">
        <v>0</v>
      </c>
      <c r="AR269" s="57">
        <v>0</v>
      </c>
      <c r="AS269" s="57">
        <v>0</v>
      </c>
      <c r="AT269" s="57">
        <v>0</v>
      </c>
      <c r="AU269" s="57">
        <v>0</v>
      </c>
      <c r="AV269" s="57">
        <v>0</v>
      </c>
      <c r="AW269" s="57">
        <v>0</v>
      </c>
      <c r="AX269" s="57">
        <v>0</v>
      </c>
      <c r="AY269" s="57">
        <v>0</v>
      </c>
      <c r="AZ269" s="57">
        <v>0</v>
      </c>
      <c r="BA269" s="57">
        <v>0</v>
      </c>
      <c r="BB269" s="57">
        <v>0</v>
      </c>
      <c r="BC269" s="57">
        <v>0</v>
      </c>
      <c r="BD269" s="57">
        <v>0</v>
      </c>
      <c r="BE269" s="57">
        <v>0</v>
      </c>
      <c r="BF269" s="57">
        <v>0</v>
      </c>
      <c r="BG269" s="57">
        <v>0</v>
      </c>
      <c r="BH269" s="57">
        <v>0</v>
      </c>
      <c r="BI269" s="57">
        <v>0</v>
      </c>
      <c r="BJ269" s="57">
        <v>0</v>
      </c>
      <c r="BK269" s="57">
        <v>0</v>
      </c>
      <c r="BL269" s="57">
        <v>0</v>
      </c>
      <c r="BM269" s="57">
        <v>0</v>
      </c>
      <c r="BN269" s="57">
        <v>0</v>
      </c>
      <c r="BO269" s="57">
        <v>0</v>
      </c>
      <c r="BP269" s="57">
        <v>0</v>
      </c>
      <c r="BQ269" s="57">
        <v>0</v>
      </c>
      <c r="BR269" s="57">
        <v>0</v>
      </c>
      <c r="BS269" s="57">
        <v>0</v>
      </c>
      <c r="BT269" s="57">
        <v>0</v>
      </c>
      <c r="BU269" s="57">
        <v>0</v>
      </c>
      <c r="BV269" s="57">
        <v>0</v>
      </c>
      <c r="BW269" s="57">
        <v>0</v>
      </c>
      <c r="BX269" s="57">
        <v>0</v>
      </c>
      <c r="BY269" s="57">
        <v>0</v>
      </c>
      <c r="BZ269" s="57">
        <v>0</v>
      </c>
      <c r="CA269" s="57">
        <v>0</v>
      </c>
    </row>
    <row r="270" spans="1:79" x14ac:dyDescent="0.3">
      <c r="A270" s="19"/>
      <c r="B270" s="20" t="str">
        <f t="shared" si="87"/>
        <v>11390002</v>
      </c>
      <c r="C270" s="55" t="str">
        <f t="shared" ref="C270:C271" si="94">IF(J270&gt;0,MID(J270,5, 1), 0)</f>
        <v>1</v>
      </c>
      <c r="D270" s="55">
        <f t="shared" ref="D270:D271" si="95">IF(G270&lt;100, G270, G270-100)</f>
        <v>3</v>
      </c>
      <c r="E270" s="49">
        <v>2</v>
      </c>
      <c r="F270" s="57">
        <v>1</v>
      </c>
      <c r="G270" s="57">
        <v>103</v>
      </c>
      <c r="H270" s="57" t="str">
        <f t="shared" si="90"/>
        <v>Item_Name_11390002</v>
      </c>
      <c r="I270" s="57" t="s">
        <v>601</v>
      </c>
      <c r="J270" s="57">
        <v>10101001</v>
      </c>
      <c r="K270" s="57">
        <v>99</v>
      </c>
      <c r="L270" s="57">
        <v>0</v>
      </c>
      <c r="M270" s="57">
        <v>0</v>
      </c>
      <c r="N270" s="57">
        <v>15</v>
      </c>
      <c r="O270" s="57">
        <v>100</v>
      </c>
      <c r="P270" s="57">
        <v>1</v>
      </c>
      <c r="Q270" s="57" t="s">
        <v>641</v>
      </c>
      <c r="R270" s="57" t="s">
        <v>448</v>
      </c>
      <c r="S270" s="57" t="s">
        <v>322</v>
      </c>
      <c r="T270" s="57" t="s">
        <v>400</v>
      </c>
      <c r="U270" s="57">
        <v>0</v>
      </c>
      <c r="V270" s="57">
        <v>0</v>
      </c>
      <c r="W270" s="57">
        <v>73</v>
      </c>
      <c r="X270" s="57">
        <v>2</v>
      </c>
      <c r="Y270" s="57">
        <v>1201</v>
      </c>
      <c r="Z270" s="57">
        <v>1201</v>
      </c>
      <c r="AA270" s="57">
        <v>1205</v>
      </c>
      <c r="AB270" s="57">
        <v>1205</v>
      </c>
      <c r="AC270" s="57">
        <v>0</v>
      </c>
      <c r="AD270" s="57">
        <v>0</v>
      </c>
      <c r="AE270" s="58">
        <v>10102</v>
      </c>
      <c r="AF270" s="30">
        <v>0</v>
      </c>
      <c r="AG270" s="57">
        <v>0</v>
      </c>
      <c r="AH270" s="57">
        <v>0</v>
      </c>
      <c r="AI270" s="57">
        <v>0</v>
      </c>
      <c r="AJ270" s="57">
        <v>0</v>
      </c>
      <c r="AK270" s="57">
        <v>0</v>
      </c>
      <c r="AL270" s="57">
        <v>0</v>
      </c>
      <c r="AM270" s="57">
        <v>0</v>
      </c>
      <c r="AN270" s="57">
        <v>0</v>
      </c>
      <c r="AO270" s="57">
        <v>0</v>
      </c>
      <c r="AP270" s="57">
        <v>0</v>
      </c>
      <c r="AQ270" s="57">
        <v>0</v>
      </c>
      <c r="AR270" s="57">
        <v>0</v>
      </c>
      <c r="AS270" s="57">
        <v>0</v>
      </c>
      <c r="AT270" s="57">
        <v>0</v>
      </c>
      <c r="AU270" s="57">
        <v>0</v>
      </c>
      <c r="AV270" s="57">
        <v>0</v>
      </c>
      <c r="AW270" s="57">
        <v>0</v>
      </c>
      <c r="AX270" s="57">
        <v>0</v>
      </c>
      <c r="AY270" s="57">
        <v>0</v>
      </c>
      <c r="AZ270" s="57">
        <v>0</v>
      </c>
      <c r="BA270" s="57">
        <v>0</v>
      </c>
      <c r="BB270" s="57">
        <v>0</v>
      </c>
      <c r="BC270" s="57">
        <v>0</v>
      </c>
      <c r="BD270" s="57">
        <v>0</v>
      </c>
      <c r="BE270" s="57">
        <v>0</v>
      </c>
      <c r="BF270" s="57">
        <v>0</v>
      </c>
      <c r="BG270" s="57">
        <v>0</v>
      </c>
      <c r="BH270" s="57">
        <v>0</v>
      </c>
      <c r="BI270" s="57">
        <v>0</v>
      </c>
      <c r="BJ270" s="57">
        <v>0</v>
      </c>
      <c r="BK270" s="57">
        <v>0</v>
      </c>
      <c r="BL270" s="57">
        <v>0</v>
      </c>
      <c r="BM270" s="57">
        <v>0</v>
      </c>
      <c r="BN270" s="57">
        <v>0</v>
      </c>
      <c r="BO270" s="57">
        <v>0</v>
      </c>
      <c r="BP270" s="57">
        <v>0</v>
      </c>
      <c r="BQ270" s="57">
        <v>0</v>
      </c>
      <c r="BR270" s="57">
        <v>0</v>
      </c>
      <c r="BS270" s="57">
        <v>0</v>
      </c>
      <c r="BT270" s="57">
        <v>0</v>
      </c>
      <c r="BU270" s="57">
        <v>0</v>
      </c>
      <c r="BV270" s="57">
        <v>0</v>
      </c>
      <c r="BW270" s="57">
        <v>0</v>
      </c>
      <c r="BX270" s="57">
        <v>0</v>
      </c>
      <c r="BY270" s="57">
        <v>0</v>
      </c>
      <c r="BZ270" s="57">
        <v>0</v>
      </c>
      <c r="CA270" s="57">
        <v>0</v>
      </c>
    </row>
    <row r="271" spans="1:79" x14ac:dyDescent="0.3">
      <c r="A271" s="19"/>
      <c r="B271" s="20" t="str">
        <f t="shared" si="87"/>
        <v>11390003</v>
      </c>
      <c r="C271" s="55" t="str">
        <f t="shared" si="94"/>
        <v>1</v>
      </c>
      <c r="D271" s="55">
        <f t="shared" si="95"/>
        <v>3</v>
      </c>
      <c r="E271" s="49">
        <v>3</v>
      </c>
      <c r="F271" s="57">
        <v>1</v>
      </c>
      <c r="G271" s="57">
        <v>103</v>
      </c>
      <c r="H271" s="57" t="str">
        <f t="shared" si="90"/>
        <v>Item_Name_11390003</v>
      </c>
      <c r="I271" s="57" t="s">
        <v>602</v>
      </c>
      <c r="J271" s="57">
        <v>10101001</v>
      </c>
      <c r="K271" s="57">
        <v>99</v>
      </c>
      <c r="L271" s="57">
        <v>0</v>
      </c>
      <c r="M271" s="57">
        <v>0</v>
      </c>
      <c r="N271" s="57">
        <v>15</v>
      </c>
      <c r="O271" s="57">
        <v>100</v>
      </c>
      <c r="P271" s="57">
        <v>1</v>
      </c>
      <c r="Q271" s="57" t="s">
        <v>642</v>
      </c>
      <c r="R271" s="57" t="s">
        <v>448</v>
      </c>
      <c r="S271" s="57" t="s">
        <v>322</v>
      </c>
      <c r="T271" s="57" t="s">
        <v>400</v>
      </c>
      <c r="U271" s="57">
        <v>0</v>
      </c>
      <c r="V271" s="57">
        <v>0</v>
      </c>
      <c r="W271" s="57">
        <v>73</v>
      </c>
      <c r="X271" s="57">
        <v>3</v>
      </c>
      <c r="Y271" s="57">
        <v>1201</v>
      </c>
      <c r="Z271" s="57">
        <v>1201</v>
      </c>
      <c r="AA271" s="57">
        <v>1205</v>
      </c>
      <c r="AB271" s="57">
        <v>1205</v>
      </c>
      <c r="AC271" s="57">
        <v>0</v>
      </c>
      <c r="AD271" s="57">
        <v>0</v>
      </c>
      <c r="AE271" s="58">
        <v>10103</v>
      </c>
      <c r="AF271" s="30">
        <v>0</v>
      </c>
      <c r="AG271" s="57">
        <v>0</v>
      </c>
      <c r="AH271" s="57">
        <v>0</v>
      </c>
      <c r="AI271" s="57">
        <v>0</v>
      </c>
      <c r="AJ271" s="57">
        <v>0</v>
      </c>
      <c r="AK271" s="57">
        <v>0</v>
      </c>
      <c r="AL271" s="57">
        <v>0</v>
      </c>
      <c r="AM271" s="57">
        <v>0</v>
      </c>
      <c r="AN271" s="57">
        <v>0</v>
      </c>
      <c r="AO271" s="57">
        <v>0</v>
      </c>
      <c r="AP271" s="57">
        <v>0</v>
      </c>
      <c r="AQ271" s="57">
        <v>0</v>
      </c>
      <c r="AR271" s="57">
        <v>0</v>
      </c>
      <c r="AS271" s="57">
        <v>0</v>
      </c>
      <c r="AT271" s="57">
        <v>0</v>
      </c>
      <c r="AU271" s="57">
        <v>0</v>
      </c>
      <c r="AV271" s="57">
        <v>0</v>
      </c>
      <c r="AW271" s="57">
        <v>0</v>
      </c>
      <c r="AX271" s="57">
        <v>0</v>
      </c>
      <c r="AY271" s="57">
        <v>0</v>
      </c>
      <c r="AZ271" s="57">
        <v>0</v>
      </c>
      <c r="BA271" s="57">
        <v>0</v>
      </c>
      <c r="BB271" s="57">
        <v>0</v>
      </c>
      <c r="BC271" s="57">
        <v>0</v>
      </c>
      <c r="BD271" s="57">
        <v>0</v>
      </c>
      <c r="BE271" s="57">
        <v>0</v>
      </c>
      <c r="BF271" s="57">
        <v>0</v>
      </c>
      <c r="BG271" s="57">
        <v>0</v>
      </c>
      <c r="BH271" s="57">
        <v>0</v>
      </c>
      <c r="BI271" s="57">
        <v>0</v>
      </c>
      <c r="BJ271" s="57">
        <v>0</v>
      </c>
      <c r="BK271" s="57">
        <v>0</v>
      </c>
      <c r="BL271" s="57">
        <v>0</v>
      </c>
      <c r="BM271" s="57">
        <v>0</v>
      </c>
      <c r="BN271" s="57">
        <v>0</v>
      </c>
      <c r="BO271" s="57">
        <v>0</v>
      </c>
      <c r="BP271" s="57">
        <v>0</v>
      </c>
      <c r="BQ271" s="57">
        <v>0</v>
      </c>
      <c r="BR271" s="57">
        <v>0</v>
      </c>
      <c r="BS271" s="57">
        <v>0</v>
      </c>
      <c r="BT271" s="57">
        <v>0</v>
      </c>
      <c r="BU271" s="57">
        <v>0</v>
      </c>
      <c r="BV271" s="57">
        <v>0</v>
      </c>
      <c r="BW271" s="57">
        <v>0</v>
      </c>
      <c r="BX271" s="57">
        <v>0</v>
      </c>
      <c r="BY271" s="57">
        <v>0</v>
      </c>
      <c r="BZ271" s="57">
        <v>0</v>
      </c>
      <c r="CA271" s="57">
        <v>0</v>
      </c>
    </row>
    <row r="272" spans="1:79" x14ac:dyDescent="0.3">
      <c r="A272" s="19"/>
      <c r="B272" s="20" t="str">
        <f t="shared" si="87"/>
        <v>12390001</v>
      </c>
      <c r="C272" s="55" t="str">
        <f t="shared" si="88"/>
        <v>2</v>
      </c>
      <c r="D272" s="55">
        <f t="shared" si="89"/>
        <v>3</v>
      </c>
      <c r="E272" s="49">
        <v>1</v>
      </c>
      <c r="F272" s="20">
        <v>1</v>
      </c>
      <c r="G272" s="20">
        <v>103</v>
      </c>
      <c r="H272" s="20" t="str">
        <f t="shared" si="90"/>
        <v>Item_Name_12390001</v>
      </c>
      <c r="I272" s="20" t="s">
        <v>603</v>
      </c>
      <c r="J272" s="20">
        <v>10102001</v>
      </c>
      <c r="K272" s="20">
        <v>99</v>
      </c>
      <c r="L272" s="20">
        <v>0</v>
      </c>
      <c r="M272" s="20">
        <v>0</v>
      </c>
      <c r="N272" s="20">
        <v>15</v>
      </c>
      <c r="O272" s="20">
        <v>100</v>
      </c>
      <c r="P272" s="20">
        <v>1</v>
      </c>
      <c r="Q272" s="20" t="s">
        <v>228</v>
      </c>
      <c r="R272" s="20" t="s">
        <v>448</v>
      </c>
      <c r="S272" s="20" t="s">
        <v>322</v>
      </c>
      <c r="T272" s="20" t="s">
        <v>400</v>
      </c>
      <c r="U272" s="20">
        <v>0</v>
      </c>
      <c r="V272" s="20">
        <v>0</v>
      </c>
      <c r="W272" s="20">
        <v>73</v>
      </c>
      <c r="X272" s="20">
        <v>1</v>
      </c>
      <c r="Y272" s="20">
        <v>1203</v>
      </c>
      <c r="Z272" s="20">
        <v>1203</v>
      </c>
      <c r="AA272" s="20">
        <v>1205</v>
      </c>
      <c r="AB272" s="20">
        <v>1205</v>
      </c>
      <c r="AC272" s="20">
        <v>0</v>
      </c>
      <c r="AD272" s="20">
        <v>0</v>
      </c>
      <c r="AE272" s="39">
        <v>10201</v>
      </c>
      <c r="AF272" s="31">
        <v>0</v>
      </c>
      <c r="AG272" s="20">
        <v>0</v>
      </c>
      <c r="AH272" s="20">
        <v>0</v>
      </c>
      <c r="AI272" s="20">
        <v>0</v>
      </c>
      <c r="AJ272" s="20">
        <v>0</v>
      </c>
      <c r="AK272" s="20">
        <v>0</v>
      </c>
      <c r="AL272" s="20">
        <v>0</v>
      </c>
      <c r="AM272" s="20">
        <v>0</v>
      </c>
      <c r="AN272" s="20">
        <v>0</v>
      </c>
      <c r="AO272" s="20">
        <v>0</v>
      </c>
      <c r="AP272" s="20">
        <v>0</v>
      </c>
      <c r="AQ272" s="20">
        <v>0</v>
      </c>
      <c r="AR272" s="20">
        <v>0</v>
      </c>
      <c r="AS272" s="20">
        <v>0</v>
      </c>
      <c r="AT272" s="20">
        <v>0</v>
      </c>
      <c r="AU272" s="20">
        <v>0</v>
      </c>
      <c r="AV272" s="20">
        <v>0</v>
      </c>
      <c r="AW272" s="20">
        <v>0</v>
      </c>
      <c r="AX272" s="20">
        <v>0</v>
      </c>
      <c r="AY272" s="20">
        <v>0</v>
      </c>
      <c r="AZ272" s="20">
        <v>0</v>
      </c>
      <c r="BA272" s="20">
        <v>0</v>
      </c>
      <c r="BB272" s="20">
        <v>0</v>
      </c>
      <c r="BC272" s="20">
        <v>0</v>
      </c>
      <c r="BD272" s="20">
        <v>0</v>
      </c>
      <c r="BE272" s="20">
        <v>0</v>
      </c>
      <c r="BF272" s="20">
        <v>0</v>
      </c>
      <c r="BG272" s="20">
        <v>0</v>
      </c>
      <c r="BH272" s="20">
        <v>0</v>
      </c>
      <c r="BI272" s="20">
        <v>0</v>
      </c>
      <c r="BJ272" s="20">
        <v>0</v>
      </c>
      <c r="BK272" s="20">
        <v>0</v>
      </c>
      <c r="BL272" s="20">
        <v>0</v>
      </c>
      <c r="BM272" s="20">
        <v>0</v>
      </c>
      <c r="BN272" s="20">
        <v>0</v>
      </c>
      <c r="BO272" s="20">
        <v>0</v>
      </c>
      <c r="BP272" s="20">
        <v>0</v>
      </c>
      <c r="BQ272" s="20">
        <v>0</v>
      </c>
      <c r="BR272" s="20">
        <v>0</v>
      </c>
      <c r="BS272" s="20">
        <v>0</v>
      </c>
      <c r="BT272" s="20">
        <v>0</v>
      </c>
      <c r="BU272" s="20">
        <v>0</v>
      </c>
      <c r="BV272" s="20">
        <v>0</v>
      </c>
      <c r="BW272" s="20">
        <v>0</v>
      </c>
      <c r="BX272" s="20">
        <v>0</v>
      </c>
      <c r="BY272" s="20">
        <v>0</v>
      </c>
      <c r="BZ272" s="20">
        <v>0</v>
      </c>
      <c r="CA272" s="20">
        <v>0</v>
      </c>
    </row>
    <row r="273" spans="1:79" x14ac:dyDescent="0.3">
      <c r="A273" s="19"/>
      <c r="B273" s="20" t="str">
        <f t="shared" si="87"/>
        <v>12390002</v>
      </c>
      <c r="C273" s="55" t="str">
        <f t="shared" si="88"/>
        <v>2</v>
      </c>
      <c r="D273" s="55">
        <f t="shared" si="89"/>
        <v>3</v>
      </c>
      <c r="E273" s="49">
        <v>2</v>
      </c>
      <c r="F273" s="20">
        <v>1</v>
      </c>
      <c r="G273" s="20">
        <v>103</v>
      </c>
      <c r="H273" s="20" t="str">
        <f t="shared" si="90"/>
        <v>Item_Name_12390002</v>
      </c>
      <c r="I273" s="20" t="s">
        <v>604</v>
      </c>
      <c r="J273" s="20">
        <v>10102001</v>
      </c>
      <c r="K273" s="20">
        <v>99</v>
      </c>
      <c r="L273" s="20">
        <v>0</v>
      </c>
      <c r="M273" s="20">
        <v>0</v>
      </c>
      <c r="N273" s="20">
        <v>15</v>
      </c>
      <c r="O273" s="20">
        <v>100</v>
      </c>
      <c r="P273" s="20">
        <v>1</v>
      </c>
      <c r="Q273" s="20" t="s">
        <v>229</v>
      </c>
      <c r="R273" s="20" t="s">
        <v>448</v>
      </c>
      <c r="S273" s="20" t="s">
        <v>322</v>
      </c>
      <c r="T273" s="20" t="s">
        <v>400</v>
      </c>
      <c r="U273" s="20">
        <v>0</v>
      </c>
      <c r="V273" s="20">
        <v>0</v>
      </c>
      <c r="W273" s="20">
        <v>73</v>
      </c>
      <c r="X273" s="20">
        <v>2</v>
      </c>
      <c r="Y273" s="20">
        <v>1203</v>
      </c>
      <c r="Z273" s="20">
        <v>1203</v>
      </c>
      <c r="AA273" s="20">
        <v>1205</v>
      </c>
      <c r="AB273" s="20">
        <v>1205</v>
      </c>
      <c r="AC273" s="20">
        <v>0</v>
      </c>
      <c r="AD273" s="20">
        <v>0</v>
      </c>
      <c r="AE273" s="39">
        <v>10202</v>
      </c>
      <c r="AF273" s="31">
        <v>0</v>
      </c>
      <c r="AG273" s="20">
        <v>0</v>
      </c>
      <c r="AH273" s="20">
        <v>0</v>
      </c>
      <c r="AI273" s="20">
        <v>0</v>
      </c>
      <c r="AJ273" s="20">
        <v>0</v>
      </c>
      <c r="AK273" s="20">
        <v>0</v>
      </c>
      <c r="AL273" s="20">
        <v>0</v>
      </c>
      <c r="AM273" s="20">
        <v>0</v>
      </c>
      <c r="AN273" s="20">
        <v>0</v>
      </c>
      <c r="AO273" s="20">
        <v>0</v>
      </c>
      <c r="AP273" s="20">
        <v>0</v>
      </c>
      <c r="AQ273" s="20">
        <v>0</v>
      </c>
      <c r="AR273" s="20">
        <v>0</v>
      </c>
      <c r="AS273" s="20">
        <v>0</v>
      </c>
      <c r="AT273" s="20">
        <v>0</v>
      </c>
      <c r="AU273" s="20">
        <v>0</v>
      </c>
      <c r="AV273" s="20">
        <v>0</v>
      </c>
      <c r="AW273" s="20">
        <v>0</v>
      </c>
      <c r="AX273" s="20">
        <v>0</v>
      </c>
      <c r="AY273" s="20">
        <v>0</v>
      </c>
      <c r="AZ273" s="20">
        <v>0</v>
      </c>
      <c r="BA273" s="20">
        <v>0</v>
      </c>
      <c r="BB273" s="20">
        <v>0</v>
      </c>
      <c r="BC273" s="20">
        <v>0</v>
      </c>
      <c r="BD273" s="20">
        <v>0</v>
      </c>
      <c r="BE273" s="20">
        <v>0</v>
      </c>
      <c r="BF273" s="20">
        <v>0</v>
      </c>
      <c r="BG273" s="20">
        <v>0</v>
      </c>
      <c r="BH273" s="20">
        <v>0</v>
      </c>
      <c r="BI273" s="20">
        <v>0</v>
      </c>
      <c r="BJ273" s="20">
        <v>0</v>
      </c>
      <c r="BK273" s="20">
        <v>0</v>
      </c>
      <c r="BL273" s="20">
        <v>0</v>
      </c>
      <c r="BM273" s="20">
        <v>0</v>
      </c>
      <c r="BN273" s="20">
        <v>0</v>
      </c>
      <c r="BO273" s="20">
        <v>0</v>
      </c>
      <c r="BP273" s="20">
        <v>0</v>
      </c>
      <c r="BQ273" s="20">
        <v>0</v>
      </c>
      <c r="BR273" s="20">
        <v>0</v>
      </c>
      <c r="BS273" s="20">
        <v>0</v>
      </c>
      <c r="BT273" s="20">
        <v>0</v>
      </c>
      <c r="BU273" s="20">
        <v>0</v>
      </c>
      <c r="BV273" s="20">
        <v>0</v>
      </c>
      <c r="BW273" s="20">
        <v>0</v>
      </c>
      <c r="BX273" s="20">
        <v>0</v>
      </c>
      <c r="BY273" s="20">
        <v>0</v>
      </c>
      <c r="BZ273" s="20">
        <v>0</v>
      </c>
      <c r="CA273" s="20">
        <v>0</v>
      </c>
    </row>
    <row r="274" spans="1:79" x14ac:dyDescent="0.3">
      <c r="A274" s="19"/>
      <c r="B274" s="20" t="str">
        <f t="shared" si="87"/>
        <v>12390003</v>
      </c>
      <c r="C274" s="55" t="str">
        <f t="shared" si="88"/>
        <v>2</v>
      </c>
      <c r="D274" s="55">
        <f t="shared" si="89"/>
        <v>3</v>
      </c>
      <c r="E274" s="49">
        <v>3</v>
      </c>
      <c r="F274" s="20">
        <v>1</v>
      </c>
      <c r="G274" s="20">
        <v>103</v>
      </c>
      <c r="H274" s="20" t="str">
        <f t="shared" si="90"/>
        <v>Item_Name_12390003</v>
      </c>
      <c r="I274" s="20" t="s">
        <v>605</v>
      </c>
      <c r="J274" s="20">
        <v>10102001</v>
      </c>
      <c r="K274" s="20">
        <v>99</v>
      </c>
      <c r="L274" s="20">
        <v>0</v>
      </c>
      <c r="M274" s="20">
        <v>0</v>
      </c>
      <c r="N274" s="20">
        <v>15</v>
      </c>
      <c r="O274" s="20">
        <v>100</v>
      </c>
      <c r="P274" s="20">
        <v>1</v>
      </c>
      <c r="Q274" s="20" t="s">
        <v>230</v>
      </c>
      <c r="R274" s="20" t="s">
        <v>448</v>
      </c>
      <c r="S274" s="20" t="s">
        <v>322</v>
      </c>
      <c r="T274" s="20" t="s">
        <v>400</v>
      </c>
      <c r="U274" s="20">
        <v>0</v>
      </c>
      <c r="V274" s="20">
        <v>0</v>
      </c>
      <c r="W274" s="20">
        <v>73</v>
      </c>
      <c r="X274" s="20">
        <v>3</v>
      </c>
      <c r="Y274" s="20">
        <v>1203</v>
      </c>
      <c r="Z274" s="20">
        <v>1203</v>
      </c>
      <c r="AA274" s="20">
        <v>1205</v>
      </c>
      <c r="AB274" s="20">
        <v>1205</v>
      </c>
      <c r="AC274" s="20">
        <v>0</v>
      </c>
      <c r="AD274" s="20">
        <v>0</v>
      </c>
      <c r="AE274" s="39">
        <v>10203</v>
      </c>
      <c r="AF274" s="31">
        <v>0</v>
      </c>
      <c r="AG274" s="20">
        <v>0</v>
      </c>
      <c r="AH274" s="20">
        <v>0</v>
      </c>
      <c r="AI274" s="20">
        <v>0</v>
      </c>
      <c r="AJ274" s="20">
        <v>0</v>
      </c>
      <c r="AK274" s="20">
        <v>0</v>
      </c>
      <c r="AL274" s="20">
        <v>0</v>
      </c>
      <c r="AM274" s="20">
        <v>0</v>
      </c>
      <c r="AN274" s="20">
        <v>0</v>
      </c>
      <c r="AO274" s="20">
        <v>0</v>
      </c>
      <c r="AP274" s="20">
        <v>0</v>
      </c>
      <c r="AQ274" s="20">
        <v>0</v>
      </c>
      <c r="AR274" s="20">
        <v>0</v>
      </c>
      <c r="AS274" s="20">
        <v>0</v>
      </c>
      <c r="AT274" s="20">
        <v>0</v>
      </c>
      <c r="AU274" s="20">
        <v>0</v>
      </c>
      <c r="AV274" s="20">
        <v>0</v>
      </c>
      <c r="AW274" s="20">
        <v>0</v>
      </c>
      <c r="AX274" s="20">
        <v>0</v>
      </c>
      <c r="AY274" s="20">
        <v>0</v>
      </c>
      <c r="AZ274" s="20">
        <v>0</v>
      </c>
      <c r="BA274" s="20">
        <v>0</v>
      </c>
      <c r="BB274" s="20">
        <v>0</v>
      </c>
      <c r="BC274" s="20">
        <v>0</v>
      </c>
      <c r="BD274" s="20">
        <v>0</v>
      </c>
      <c r="BE274" s="20">
        <v>0</v>
      </c>
      <c r="BF274" s="20">
        <v>0</v>
      </c>
      <c r="BG274" s="20">
        <v>0</v>
      </c>
      <c r="BH274" s="20">
        <v>0</v>
      </c>
      <c r="BI274" s="20">
        <v>0</v>
      </c>
      <c r="BJ274" s="20">
        <v>0</v>
      </c>
      <c r="BK274" s="20">
        <v>0</v>
      </c>
      <c r="BL274" s="20">
        <v>0</v>
      </c>
      <c r="BM274" s="20">
        <v>0</v>
      </c>
      <c r="BN274" s="20">
        <v>0</v>
      </c>
      <c r="BO274" s="20">
        <v>0</v>
      </c>
      <c r="BP274" s="20">
        <v>0</v>
      </c>
      <c r="BQ274" s="20">
        <v>0</v>
      </c>
      <c r="BR274" s="20">
        <v>0</v>
      </c>
      <c r="BS274" s="20">
        <v>0</v>
      </c>
      <c r="BT274" s="20">
        <v>0</v>
      </c>
      <c r="BU274" s="20">
        <v>0</v>
      </c>
      <c r="BV274" s="20">
        <v>0</v>
      </c>
      <c r="BW274" s="20">
        <v>0</v>
      </c>
      <c r="BX274" s="20">
        <v>0</v>
      </c>
      <c r="BY274" s="20">
        <v>0</v>
      </c>
      <c r="BZ274" s="20">
        <v>0</v>
      </c>
      <c r="CA274" s="20">
        <v>0</v>
      </c>
    </row>
    <row r="275" spans="1:79" x14ac:dyDescent="0.3">
      <c r="A275" s="19"/>
      <c r="B275" s="20" t="str">
        <f t="shared" si="87"/>
        <v>13390001</v>
      </c>
      <c r="C275" s="55">
        <v>3</v>
      </c>
      <c r="D275" s="55">
        <f t="shared" si="89"/>
        <v>3</v>
      </c>
      <c r="E275" s="49">
        <v>1</v>
      </c>
      <c r="F275" s="57">
        <v>1</v>
      </c>
      <c r="G275" s="57">
        <v>103</v>
      </c>
      <c r="H275" s="57" t="str">
        <f t="shared" si="90"/>
        <v>Item_Name_13390001</v>
      </c>
      <c r="I275" s="57" t="s">
        <v>800</v>
      </c>
      <c r="J275" s="57">
        <v>10103001</v>
      </c>
      <c r="K275" s="57">
        <v>99</v>
      </c>
      <c r="L275" s="57">
        <v>0</v>
      </c>
      <c r="M275" s="57">
        <v>0</v>
      </c>
      <c r="N275" s="57">
        <v>15</v>
      </c>
      <c r="O275" s="57">
        <v>100</v>
      </c>
      <c r="P275" s="57">
        <v>1</v>
      </c>
      <c r="Q275" s="57" t="s">
        <v>797</v>
      </c>
      <c r="R275" s="57" t="s">
        <v>448</v>
      </c>
      <c r="S275" s="57" t="s">
        <v>322</v>
      </c>
      <c r="T275" s="57" t="s">
        <v>400</v>
      </c>
      <c r="U275" s="57">
        <v>0</v>
      </c>
      <c r="V275" s="57">
        <v>0</v>
      </c>
      <c r="W275" s="57">
        <v>73</v>
      </c>
      <c r="X275" s="57">
        <v>1</v>
      </c>
      <c r="Y275" s="57">
        <v>1202</v>
      </c>
      <c r="Z275" s="57">
        <v>1202</v>
      </c>
      <c r="AA275" s="57">
        <v>1206</v>
      </c>
      <c r="AB275" s="57">
        <v>1206</v>
      </c>
      <c r="AC275" s="57">
        <v>0</v>
      </c>
      <c r="AD275" s="57">
        <v>0</v>
      </c>
      <c r="AE275" s="58">
        <v>10301</v>
      </c>
      <c r="AF275" s="30">
        <v>0</v>
      </c>
      <c r="AG275" s="57">
        <v>0</v>
      </c>
      <c r="AH275" s="57">
        <v>0</v>
      </c>
      <c r="AI275" s="57">
        <v>0</v>
      </c>
      <c r="AJ275" s="57">
        <v>0</v>
      </c>
      <c r="AK275" s="57">
        <v>0</v>
      </c>
      <c r="AL275" s="57">
        <v>0</v>
      </c>
      <c r="AM275" s="57">
        <v>0</v>
      </c>
      <c r="AN275" s="57">
        <v>0</v>
      </c>
      <c r="AO275" s="57">
        <v>0</v>
      </c>
      <c r="AP275" s="57">
        <v>0</v>
      </c>
      <c r="AQ275" s="57">
        <v>0</v>
      </c>
      <c r="AR275" s="57">
        <v>0</v>
      </c>
      <c r="AS275" s="57">
        <v>0</v>
      </c>
      <c r="AT275" s="57">
        <v>0</v>
      </c>
      <c r="AU275" s="57">
        <v>0</v>
      </c>
      <c r="AV275" s="57">
        <v>0</v>
      </c>
      <c r="AW275" s="57">
        <v>0</v>
      </c>
      <c r="AX275" s="57">
        <v>0</v>
      </c>
      <c r="AY275" s="57">
        <v>0</v>
      </c>
      <c r="AZ275" s="57">
        <v>0</v>
      </c>
      <c r="BA275" s="57">
        <v>0</v>
      </c>
      <c r="BB275" s="57">
        <v>0</v>
      </c>
      <c r="BC275" s="57">
        <v>0</v>
      </c>
      <c r="BD275" s="57">
        <v>0</v>
      </c>
      <c r="BE275" s="57">
        <v>0</v>
      </c>
      <c r="BF275" s="57">
        <v>0</v>
      </c>
      <c r="BG275" s="57">
        <v>0</v>
      </c>
      <c r="BH275" s="57">
        <v>0</v>
      </c>
      <c r="BI275" s="57">
        <v>0</v>
      </c>
      <c r="BJ275" s="57">
        <v>0</v>
      </c>
      <c r="BK275" s="57">
        <v>0</v>
      </c>
      <c r="BL275" s="57">
        <v>0</v>
      </c>
      <c r="BM275" s="57">
        <v>0</v>
      </c>
      <c r="BN275" s="57">
        <v>0</v>
      </c>
      <c r="BO275" s="57">
        <v>0</v>
      </c>
      <c r="BP275" s="57">
        <v>0</v>
      </c>
      <c r="BQ275" s="57">
        <v>0</v>
      </c>
      <c r="BR275" s="57">
        <v>0</v>
      </c>
      <c r="BS275" s="57">
        <v>0</v>
      </c>
      <c r="BT275" s="57">
        <v>0</v>
      </c>
      <c r="BU275" s="57">
        <v>0</v>
      </c>
      <c r="BV275" s="57">
        <v>0</v>
      </c>
      <c r="BW275" s="57">
        <v>0</v>
      </c>
      <c r="BX275" s="57">
        <v>0</v>
      </c>
      <c r="BY275" s="57">
        <v>0</v>
      </c>
      <c r="BZ275" s="57">
        <v>0</v>
      </c>
      <c r="CA275" s="57">
        <v>0</v>
      </c>
    </row>
    <row r="276" spans="1:79" x14ac:dyDescent="0.3">
      <c r="A276" s="19"/>
      <c r="B276" s="20" t="str">
        <f t="shared" si="87"/>
        <v>13390002</v>
      </c>
      <c r="C276" s="55">
        <v>3</v>
      </c>
      <c r="D276" s="55">
        <f t="shared" si="89"/>
        <v>3</v>
      </c>
      <c r="E276" s="49">
        <v>2</v>
      </c>
      <c r="F276" s="57">
        <v>1</v>
      </c>
      <c r="G276" s="57">
        <v>103</v>
      </c>
      <c r="H276" s="57" t="str">
        <f t="shared" si="90"/>
        <v>Item_Name_13390002</v>
      </c>
      <c r="I276" s="57" t="s">
        <v>801</v>
      </c>
      <c r="J276" s="57">
        <v>10103001</v>
      </c>
      <c r="K276" s="57">
        <v>99</v>
      </c>
      <c r="L276" s="57">
        <v>0</v>
      </c>
      <c r="M276" s="57">
        <v>0</v>
      </c>
      <c r="N276" s="57">
        <v>15</v>
      </c>
      <c r="O276" s="57">
        <v>100</v>
      </c>
      <c r="P276" s="57">
        <v>1</v>
      </c>
      <c r="Q276" s="57" t="s">
        <v>798</v>
      </c>
      <c r="R276" s="57" t="s">
        <v>448</v>
      </c>
      <c r="S276" s="57" t="s">
        <v>322</v>
      </c>
      <c r="T276" s="57" t="s">
        <v>400</v>
      </c>
      <c r="U276" s="57">
        <v>0</v>
      </c>
      <c r="V276" s="57">
        <v>0</v>
      </c>
      <c r="W276" s="57">
        <v>73</v>
      </c>
      <c r="X276" s="57">
        <v>2</v>
      </c>
      <c r="Y276" s="57">
        <v>1202</v>
      </c>
      <c r="Z276" s="57">
        <v>1202</v>
      </c>
      <c r="AA276" s="57">
        <v>1206</v>
      </c>
      <c r="AB276" s="57">
        <v>1206</v>
      </c>
      <c r="AC276" s="57">
        <v>0</v>
      </c>
      <c r="AD276" s="57">
        <v>0</v>
      </c>
      <c r="AE276" s="58">
        <v>10302</v>
      </c>
      <c r="AF276" s="30">
        <v>0</v>
      </c>
      <c r="AG276" s="57">
        <v>0</v>
      </c>
      <c r="AH276" s="57">
        <v>0</v>
      </c>
      <c r="AI276" s="57">
        <v>0</v>
      </c>
      <c r="AJ276" s="57">
        <v>0</v>
      </c>
      <c r="AK276" s="57">
        <v>0</v>
      </c>
      <c r="AL276" s="57">
        <v>0</v>
      </c>
      <c r="AM276" s="57">
        <v>0</v>
      </c>
      <c r="AN276" s="57">
        <v>0</v>
      </c>
      <c r="AO276" s="57">
        <v>0</v>
      </c>
      <c r="AP276" s="57">
        <v>0</v>
      </c>
      <c r="AQ276" s="57">
        <v>0</v>
      </c>
      <c r="AR276" s="57">
        <v>0</v>
      </c>
      <c r="AS276" s="57">
        <v>0</v>
      </c>
      <c r="AT276" s="57">
        <v>0</v>
      </c>
      <c r="AU276" s="57">
        <v>0</v>
      </c>
      <c r="AV276" s="57">
        <v>0</v>
      </c>
      <c r="AW276" s="57">
        <v>0</v>
      </c>
      <c r="AX276" s="57">
        <v>0</v>
      </c>
      <c r="AY276" s="57">
        <v>0</v>
      </c>
      <c r="AZ276" s="57">
        <v>0</v>
      </c>
      <c r="BA276" s="57">
        <v>0</v>
      </c>
      <c r="BB276" s="57">
        <v>0</v>
      </c>
      <c r="BC276" s="57">
        <v>0</v>
      </c>
      <c r="BD276" s="57">
        <v>0</v>
      </c>
      <c r="BE276" s="57">
        <v>0</v>
      </c>
      <c r="BF276" s="57">
        <v>0</v>
      </c>
      <c r="BG276" s="57">
        <v>0</v>
      </c>
      <c r="BH276" s="57">
        <v>0</v>
      </c>
      <c r="BI276" s="57">
        <v>0</v>
      </c>
      <c r="BJ276" s="57">
        <v>0</v>
      </c>
      <c r="BK276" s="57">
        <v>0</v>
      </c>
      <c r="BL276" s="57">
        <v>0</v>
      </c>
      <c r="BM276" s="57">
        <v>0</v>
      </c>
      <c r="BN276" s="57">
        <v>0</v>
      </c>
      <c r="BO276" s="57">
        <v>0</v>
      </c>
      <c r="BP276" s="57">
        <v>0</v>
      </c>
      <c r="BQ276" s="57">
        <v>0</v>
      </c>
      <c r="BR276" s="57">
        <v>0</v>
      </c>
      <c r="BS276" s="57">
        <v>0</v>
      </c>
      <c r="BT276" s="57">
        <v>0</v>
      </c>
      <c r="BU276" s="57">
        <v>0</v>
      </c>
      <c r="BV276" s="57">
        <v>0</v>
      </c>
      <c r="BW276" s="57">
        <v>0</v>
      </c>
      <c r="BX276" s="57">
        <v>0</v>
      </c>
      <c r="BY276" s="57">
        <v>0</v>
      </c>
      <c r="BZ276" s="57">
        <v>0</v>
      </c>
      <c r="CA276" s="57">
        <v>0</v>
      </c>
    </row>
    <row r="277" spans="1:79" x14ac:dyDescent="0.3">
      <c r="A277" s="19"/>
      <c r="B277" s="20" t="str">
        <f t="shared" si="87"/>
        <v>13390003</v>
      </c>
      <c r="C277" s="55">
        <v>3</v>
      </c>
      <c r="D277" s="55">
        <f t="shared" si="89"/>
        <v>3</v>
      </c>
      <c r="E277" s="49">
        <v>3</v>
      </c>
      <c r="F277" s="57">
        <v>1</v>
      </c>
      <c r="G277" s="57">
        <v>103</v>
      </c>
      <c r="H277" s="57" t="str">
        <f t="shared" si="90"/>
        <v>Item_Name_13390003</v>
      </c>
      <c r="I277" s="57" t="s">
        <v>802</v>
      </c>
      <c r="J277" s="57">
        <v>10103001</v>
      </c>
      <c r="K277" s="57">
        <v>99</v>
      </c>
      <c r="L277" s="57">
        <v>0</v>
      </c>
      <c r="M277" s="57">
        <v>0</v>
      </c>
      <c r="N277" s="57">
        <v>15</v>
      </c>
      <c r="O277" s="57">
        <v>100</v>
      </c>
      <c r="P277" s="57">
        <v>1</v>
      </c>
      <c r="Q277" s="57" t="s">
        <v>799</v>
      </c>
      <c r="R277" s="57" t="s">
        <v>448</v>
      </c>
      <c r="S277" s="57" t="s">
        <v>322</v>
      </c>
      <c r="T277" s="57" t="s">
        <v>400</v>
      </c>
      <c r="U277" s="57">
        <v>0</v>
      </c>
      <c r="V277" s="57">
        <v>0</v>
      </c>
      <c r="W277" s="57">
        <v>73</v>
      </c>
      <c r="X277" s="57">
        <v>3</v>
      </c>
      <c r="Y277" s="57">
        <v>1202</v>
      </c>
      <c r="Z277" s="57">
        <v>1202</v>
      </c>
      <c r="AA277" s="57">
        <v>1206</v>
      </c>
      <c r="AB277" s="57">
        <v>1206</v>
      </c>
      <c r="AC277" s="57">
        <v>0</v>
      </c>
      <c r="AD277" s="57">
        <v>0</v>
      </c>
      <c r="AE277" s="58">
        <v>10303</v>
      </c>
      <c r="AF277" s="30">
        <v>0</v>
      </c>
      <c r="AG277" s="57">
        <v>0</v>
      </c>
      <c r="AH277" s="57">
        <v>0</v>
      </c>
      <c r="AI277" s="57">
        <v>0</v>
      </c>
      <c r="AJ277" s="57">
        <v>0</v>
      </c>
      <c r="AK277" s="57">
        <v>0</v>
      </c>
      <c r="AL277" s="57">
        <v>0</v>
      </c>
      <c r="AM277" s="57">
        <v>0</v>
      </c>
      <c r="AN277" s="57">
        <v>0</v>
      </c>
      <c r="AO277" s="57">
        <v>0</v>
      </c>
      <c r="AP277" s="57">
        <v>0</v>
      </c>
      <c r="AQ277" s="57">
        <v>0</v>
      </c>
      <c r="AR277" s="57">
        <v>0</v>
      </c>
      <c r="AS277" s="57">
        <v>0</v>
      </c>
      <c r="AT277" s="57">
        <v>0</v>
      </c>
      <c r="AU277" s="57">
        <v>0</v>
      </c>
      <c r="AV277" s="57">
        <v>0</v>
      </c>
      <c r="AW277" s="57">
        <v>0</v>
      </c>
      <c r="AX277" s="57">
        <v>0</v>
      </c>
      <c r="AY277" s="57">
        <v>0</v>
      </c>
      <c r="AZ277" s="57">
        <v>0</v>
      </c>
      <c r="BA277" s="57">
        <v>0</v>
      </c>
      <c r="BB277" s="57">
        <v>0</v>
      </c>
      <c r="BC277" s="57">
        <v>0</v>
      </c>
      <c r="BD277" s="57">
        <v>0</v>
      </c>
      <c r="BE277" s="57">
        <v>0</v>
      </c>
      <c r="BF277" s="57">
        <v>0</v>
      </c>
      <c r="BG277" s="57">
        <v>0</v>
      </c>
      <c r="BH277" s="57">
        <v>0</v>
      </c>
      <c r="BI277" s="57">
        <v>0</v>
      </c>
      <c r="BJ277" s="57">
        <v>0</v>
      </c>
      <c r="BK277" s="57">
        <v>0</v>
      </c>
      <c r="BL277" s="57">
        <v>0</v>
      </c>
      <c r="BM277" s="57">
        <v>0</v>
      </c>
      <c r="BN277" s="57">
        <v>0</v>
      </c>
      <c r="BO277" s="57">
        <v>0</v>
      </c>
      <c r="BP277" s="57">
        <v>0</v>
      </c>
      <c r="BQ277" s="57">
        <v>0</v>
      </c>
      <c r="BR277" s="57">
        <v>0</v>
      </c>
      <c r="BS277" s="57">
        <v>0</v>
      </c>
      <c r="BT277" s="57">
        <v>0</v>
      </c>
      <c r="BU277" s="57">
        <v>0</v>
      </c>
      <c r="BV277" s="57">
        <v>0</v>
      </c>
      <c r="BW277" s="57">
        <v>0</v>
      </c>
      <c r="BX277" s="57">
        <v>0</v>
      </c>
      <c r="BY277" s="57">
        <v>0</v>
      </c>
      <c r="BZ277" s="57">
        <v>0</v>
      </c>
      <c r="CA277" s="57">
        <v>0</v>
      </c>
    </row>
    <row r="278" spans="1:79" x14ac:dyDescent="0.3">
      <c r="A278" s="19"/>
      <c r="B278" s="20" t="str">
        <f t="shared" si="87"/>
        <v>14390001</v>
      </c>
      <c r="C278" s="55">
        <v>4</v>
      </c>
      <c r="D278" s="55">
        <f t="shared" ref="D278:D280" si="96">IF(G278&lt;100, G278, G278-100)</f>
        <v>3</v>
      </c>
      <c r="E278" s="49">
        <v>1</v>
      </c>
      <c r="F278" s="57">
        <v>1</v>
      </c>
      <c r="G278" s="57">
        <v>103</v>
      </c>
      <c r="H278" s="57" t="str">
        <f t="shared" si="90"/>
        <v>Item_Name_14390001</v>
      </c>
      <c r="I278" s="57" t="s">
        <v>666</v>
      </c>
      <c r="J278" s="57">
        <v>10104001</v>
      </c>
      <c r="K278" s="57">
        <v>99</v>
      </c>
      <c r="L278" s="57">
        <v>0</v>
      </c>
      <c r="M278" s="57">
        <v>0</v>
      </c>
      <c r="N278" s="57">
        <v>15</v>
      </c>
      <c r="O278" s="57">
        <v>100</v>
      </c>
      <c r="P278" s="57">
        <v>1</v>
      </c>
      <c r="Q278" s="57" t="s">
        <v>663</v>
      </c>
      <c r="R278" s="57" t="s">
        <v>448</v>
      </c>
      <c r="S278" s="57" t="s">
        <v>322</v>
      </c>
      <c r="T278" s="57" t="s">
        <v>400</v>
      </c>
      <c r="U278" s="57">
        <v>0</v>
      </c>
      <c r="V278" s="57">
        <v>0</v>
      </c>
      <c r="W278" s="57">
        <v>73</v>
      </c>
      <c r="X278" s="57">
        <v>1</v>
      </c>
      <c r="Y278" s="57">
        <v>1202</v>
      </c>
      <c r="Z278" s="57">
        <v>1202</v>
      </c>
      <c r="AA278" s="57">
        <v>1206</v>
      </c>
      <c r="AB278" s="57">
        <v>1206</v>
      </c>
      <c r="AC278" s="57">
        <v>0</v>
      </c>
      <c r="AD278" s="57">
        <v>0</v>
      </c>
      <c r="AE278" s="58">
        <v>10401</v>
      </c>
      <c r="AF278" s="30">
        <v>0</v>
      </c>
      <c r="AG278" s="57">
        <v>0</v>
      </c>
      <c r="AH278" s="57">
        <v>0</v>
      </c>
      <c r="AI278" s="57">
        <v>0</v>
      </c>
      <c r="AJ278" s="57">
        <v>0</v>
      </c>
      <c r="AK278" s="57">
        <v>0</v>
      </c>
      <c r="AL278" s="57">
        <v>0</v>
      </c>
      <c r="AM278" s="57">
        <v>0</v>
      </c>
      <c r="AN278" s="57">
        <v>0</v>
      </c>
      <c r="AO278" s="57">
        <v>0</v>
      </c>
      <c r="AP278" s="57">
        <v>0</v>
      </c>
      <c r="AQ278" s="57">
        <v>0</v>
      </c>
      <c r="AR278" s="57">
        <v>0</v>
      </c>
      <c r="AS278" s="57">
        <v>0</v>
      </c>
      <c r="AT278" s="57">
        <v>0</v>
      </c>
      <c r="AU278" s="57">
        <v>0</v>
      </c>
      <c r="AV278" s="57">
        <v>0</v>
      </c>
      <c r="AW278" s="57">
        <v>0</v>
      </c>
      <c r="AX278" s="57">
        <v>0</v>
      </c>
      <c r="AY278" s="57">
        <v>0</v>
      </c>
      <c r="AZ278" s="57">
        <v>0</v>
      </c>
      <c r="BA278" s="57">
        <v>0</v>
      </c>
      <c r="BB278" s="57">
        <v>0</v>
      </c>
      <c r="BC278" s="57">
        <v>0</v>
      </c>
      <c r="BD278" s="57">
        <v>0</v>
      </c>
      <c r="BE278" s="57">
        <v>0</v>
      </c>
      <c r="BF278" s="57">
        <v>0</v>
      </c>
      <c r="BG278" s="57">
        <v>0</v>
      </c>
      <c r="BH278" s="57">
        <v>0</v>
      </c>
      <c r="BI278" s="57">
        <v>0</v>
      </c>
      <c r="BJ278" s="57">
        <v>0</v>
      </c>
      <c r="BK278" s="57">
        <v>0</v>
      </c>
      <c r="BL278" s="57">
        <v>0</v>
      </c>
      <c r="BM278" s="57">
        <v>0</v>
      </c>
      <c r="BN278" s="57">
        <v>0</v>
      </c>
      <c r="BO278" s="57">
        <v>0</v>
      </c>
      <c r="BP278" s="57">
        <v>0</v>
      </c>
      <c r="BQ278" s="57">
        <v>0</v>
      </c>
      <c r="BR278" s="57">
        <v>0</v>
      </c>
      <c r="BS278" s="57">
        <v>0</v>
      </c>
      <c r="BT278" s="57">
        <v>0</v>
      </c>
      <c r="BU278" s="57">
        <v>0</v>
      </c>
      <c r="BV278" s="57">
        <v>0</v>
      </c>
      <c r="BW278" s="57">
        <v>0</v>
      </c>
      <c r="BX278" s="57">
        <v>0</v>
      </c>
      <c r="BY278" s="57">
        <v>0</v>
      </c>
      <c r="BZ278" s="57">
        <v>0</v>
      </c>
      <c r="CA278" s="57">
        <v>0</v>
      </c>
    </row>
    <row r="279" spans="1:79" x14ac:dyDescent="0.3">
      <c r="A279" s="19"/>
      <c r="B279" s="20" t="str">
        <f t="shared" si="87"/>
        <v>14390002</v>
      </c>
      <c r="C279" s="55">
        <v>4</v>
      </c>
      <c r="D279" s="55">
        <f t="shared" si="96"/>
        <v>3</v>
      </c>
      <c r="E279" s="49">
        <v>2</v>
      </c>
      <c r="F279" s="57">
        <v>1</v>
      </c>
      <c r="G279" s="57">
        <v>103</v>
      </c>
      <c r="H279" s="57" t="str">
        <f t="shared" si="90"/>
        <v>Item_Name_14390002</v>
      </c>
      <c r="I279" s="57" t="s">
        <v>667</v>
      </c>
      <c r="J279" s="57">
        <v>10104001</v>
      </c>
      <c r="K279" s="57">
        <v>99</v>
      </c>
      <c r="L279" s="57">
        <v>0</v>
      </c>
      <c r="M279" s="57">
        <v>0</v>
      </c>
      <c r="N279" s="57">
        <v>15</v>
      </c>
      <c r="O279" s="57">
        <v>100</v>
      </c>
      <c r="P279" s="57">
        <v>1</v>
      </c>
      <c r="Q279" s="57" t="s">
        <v>664</v>
      </c>
      <c r="R279" s="57" t="s">
        <v>448</v>
      </c>
      <c r="S279" s="57" t="s">
        <v>322</v>
      </c>
      <c r="T279" s="57" t="s">
        <v>400</v>
      </c>
      <c r="U279" s="57">
        <v>0</v>
      </c>
      <c r="V279" s="57">
        <v>0</v>
      </c>
      <c r="W279" s="57">
        <v>73</v>
      </c>
      <c r="X279" s="57">
        <v>2</v>
      </c>
      <c r="Y279" s="57">
        <v>1202</v>
      </c>
      <c r="Z279" s="57">
        <v>1202</v>
      </c>
      <c r="AA279" s="57">
        <v>1206</v>
      </c>
      <c r="AB279" s="57">
        <v>1206</v>
      </c>
      <c r="AC279" s="57">
        <v>0</v>
      </c>
      <c r="AD279" s="57">
        <v>0</v>
      </c>
      <c r="AE279" s="58">
        <v>10402</v>
      </c>
      <c r="AF279" s="30">
        <v>0</v>
      </c>
      <c r="AG279" s="57">
        <v>0</v>
      </c>
      <c r="AH279" s="57">
        <v>0</v>
      </c>
      <c r="AI279" s="57">
        <v>0</v>
      </c>
      <c r="AJ279" s="57">
        <v>0</v>
      </c>
      <c r="AK279" s="57">
        <v>0</v>
      </c>
      <c r="AL279" s="57">
        <v>0</v>
      </c>
      <c r="AM279" s="57">
        <v>0</v>
      </c>
      <c r="AN279" s="57">
        <v>0</v>
      </c>
      <c r="AO279" s="57">
        <v>0</v>
      </c>
      <c r="AP279" s="57">
        <v>0</v>
      </c>
      <c r="AQ279" s="57">
        <v>0</v>
      </c>
      <c r="AR279" s="57">
        <v>0</v>
      </c>
      <c r="AS279" s="57">
        <v>0</v>
      </c>
      <c r="AT279" s="57">
        <v>0</v>
      </c>
      <c r="AU279" s="57">
        <v>0</v>
      </c>
      <c r="AV279" s="57">
        <v>0</v>
      </c>
      <c r="AW279" s="57">
        <v>0</v>
      </c>
      <c r="AX279" s="57">
        <v>0</v>
      </c>
      <c r="AY279" s="57">
        <v>0</v>
      </c>
      <c r="AZ279" s="57">
        <v>0</v>
      </c>
      <c r="BA279" s="57">
        <v>0</v>
      </c>
      <c r="BB279" s="57">
        <v>0</v>
      </c>
      <c r="BC279" s="57">
        <v>0</v>
      </c>
      <c r="BD279" s="57">
        <v>0</v>
      </c>
      <c r="BE279" s="57">
        <v>0</v>
      </c>
      <c r="BF279" s="57">
        <v>0</v>
      </c>
      <c r="BG279" s="57">
        <v>0</v>
      </c>
      <c r="BH279" s="57">
        <v>0</v>
      </c>
      <c r="BI279" s="57">
        <v>0</v>
      </c>
      <c r="BJ279" s="57">
        <v>0</v>
      </c>
      <c r="BK279" s="57">
        <v>0</v>
      </c>
      <c r="BL279" s="57">
        <v>0</v>
      </c>
      <c r="BM279" s="57">
        <v>0</v>
      </c>
      <c r="BN279" s="57">
        <v>0</v>
      </c>
      <c r="BO279" s="57">
        <v>0</v>
      </c>
      <c r="BP279" s="57">
        <v>0</v>
      </c>
      <c r="BQ279" s="57">
        <v>0</v>
      </c>
      <c r="BR279" s="57">
        <v>0</v>
      </c>
      <c r="BS279" s="57">
        <v>0</v>
      </c>
      <c r="BT279" s="57">
        <v>0</v>
      </c>
      <c r="BU279" s="57">
        <v>0</v>
      </c>
      <c r="BV279" s="57">
        <v>0</v>
      </c>
      <c r="BW279" s="57">
        <v>0</v>
      </c>
      <c r="BX279" s="57">
        <v>0</v>
      </c>
      <c r="BY279" s="57">
        <v>0</v>
      </c>
      <c r="BZ279" s="57">
        <v>0</v>
      </c>
      <c r="CA279" s="57">
        <v>0</v>
      </c>
    </row>
    <row r="280" spans="1:79" x14ac:dyDescent="0.3">
      <c r="A280" s="19"/>
      <c r="B280" s="20" t="str">
        <f t="shared" si="87"/>
        <v>14390003</v>
      </c>
      <c r="C280" s="55">
        <v>4</v>
      </c>
      <c r="D280" s="55">
        <f t="shared" si="96"/>
        <v>3</v>
      </c>
      <c r="E280" s="49">
        <v>3</v>
      </c>
      <c r="F280" s="57">
        <v>1</v>
      </c>
      <c r="G280" s="57">
        <v>103</v>
      </c>
      <c r="H280" s="57" t="str">
        <f t="shared" si="90"/>
        <v>Item_Name_14390003</v>
      </c>
      <c r="I280" s="57" t="s">
        <v>668</v>
      </c>
      <c r="J280" s="57">
        <v>10104001</v>
      </c>
      <c r="K280" s="57">
        <v>99</v>
      </c>
      <c r="L280" s="57">
        <v>0</v>
      </c>
      <c r="M280" s="57">
        <v>0</v>
      </c>
      <c r="N280" s="57">
        <v>15</v>
      </c>
      <c r="O280" s="57">
        <v>100</v>
      </c>
      <c r="P280" s="57">
        <v>1</v>
      </c>
      <c r="Q280" s="57" t="s">
        <v>665</v>
      </c>
      <c r="R280" s="57" t="s">
        <v>448</v>
      </c>
      <c r="S280" s="57" t="s">
        <v>322</v>
      </c>
      <c r="T280" s="57" t="s">
        <v>400</v>
      </c>
      <c r="U280" s="57">
        <v>0</v>
      </c>
      <c r="V280" s="57">
        <v>0</v>
      </c>
      <c r="W280" s="57">
        <v>73</v>
      </c>
      <c r="X280" s="57">
        <v>3</v>
      </c>
      <c r="Y280" s="57">
        <v>1202</v>
      </c>
      <c r="Z280" s="57">
        <v>1202</v>
      </c>
      <c r="AA280" s="57">
        <v>1206</v>
      </c>
      <c r="AB280" s="57">
        <v>1206</v>
      </c>
      <c r="AC280" s="57">
        <v>0</v>
      </c>
      <c r="AD280" s="57">
        <v>0</v>
      </c>
      <c r="AE280" s="58">
        <v>10403</v>
      </c>
      <c r="AF280" s="30">
        <v>0</v>
      </c>
      <c r="AG280" s="57">
        <v>0</v>
      </c>
      <c r="AH280" s="57">
        <v>0</v>
      </c>
      <c r="AI280" s="57">
        <v>0</v>
      </c>
      <c r="AJ280" s="57">
        <v>0</v>
      </c>
      <c r="AK280" s="57">
        <v>0</v>
      </c>
      <c r="AL280" s="57">
        <v>0</v>
      </c>
      <c r="AM280" s="57">
        <v>0</v>
      </c>
      <c r="AN280" s="57">
        <v>0</v>
      </c>
      <c r="AO280" s="57">
        <v>0</v>
      </c>
      <c r="AP280" s="57">
        <v>0</v>
      </c>
      <c r="AQ280" s="57">
        <v>0</v>
      </c>
      <c r="AR280" s="57">
        <v>0</v>
      </c>
      <c r="AS280" s="57">
        <v>0</v>
      </c>
      <c r="AT280" s="57">
        <v>0</v>
      </c>
      <c r="AU280" s="57">
        <v>0</v>
      </c>
      <c r="AV280" s="57">
        <v>0</v>
      </c>
      <c r="AW280" s="57">
        <v>0</v>
      </c>
      <c r="AX280" s="57">
        <v>0</v>
      </c>
      <c r="AY280" s="57">
        <v>0</v>
      </c>
      <c r="AZ280" s="57">
        <v>0</v>
      </c>
      <c r="BA280" s="57">
        <v>0</v>
      </c>
      <c r="BB280" s="57">
        <v>0</v>
      </c>
      <c r="BC280" s="57">
        <v>0</v>
      </c>
      <c r="BD280" s="57">
        <v>0</v>
      </c>
      <c r="BE280" s="57">
        <v>0</v>
      </c>
      <c r="BF280" s="57">
        <v>0</v>
      </c>
      <c r="BG280" s="57">
        <v>0</v>
      </c>
      <c r="BH280" s="57">
        <v>0</v>
      </c>
      <c r="BI280" s="57">
        <v>0</v>
      </c>
      <c r="BJ280" s="57">
        <v>0</v>
      </c>
      <c r="BK280" s="57">
        <v>0</v>
      </c>
      <c r="BL280" s="57">
        <v>0</v>
      </c>
      <c r="BM280" s="57">
        <v>0</v>
      </c>
      <c r="BN280" s="57">
        <v>0</v>
      </c>
      <c r="BO280" s="57">
        <v>0</v>
      </c>
      <c r="BP280" s="57">
        <v>0</v>
      </c>
      <c r="BQ280" s="57">
        <v>0</v>
      </c>
      <c r="BR280" s="57">
        <v>0</v>
      </c>
      <c r="BS280" s="57">
        <v>0</v>
      </c>
      <c r="BT280" s="57">
        <v>0</v>
      </c>
      <c r="BU280" s="57">
        <v>0</v>
      </c>
      <c r="BV280" s="57">
        <v>0</v>
      </c>
      <c r="BW280" s="57">
        <v>0</v>
      </c>
      <c r="BX280" s="57">
        <v>0</v>
      </c>
      <c r="BY280" s="57">
        <v>0</v>
      </c>
      <c r="BZ280" s="57">
        <v>0</v>
      </c>
      <c r="CA280" s="57">
        <v>0</v>
      </c>
    </row>
    <row r="281" spans="1:79" x14ac:dyDescent="0.3">
      <c r="A281" s="19"/>
      <c r="B281" s="20" t="str">
        <f t="shared" si="87"/>
        <v>11490001</v>
      </c>
      <c r="C281" s="55" t="str">
        <f t="shared" si="88"/>
        <v>1</v>
      </c>
      <c r="D281" s="55">
        <f t="shared" si="89"/>
        <v>4</v>
      </c>
      <c r="E281" s="49">
        <v>1</v>
      </c>
      <c r="F281" s="57">
        <v>1</v>
      </c>
      <c r="G281" s="57">
        <v>104</v>
      </c>
      <c r="H281" s="57" t="str">
        <f t="shared" si="90"/>
        <v>Item_Name_11490001</v>
      </c>
      <c r="I281" s="57" t="s">
        <v>456</v>
      </c>
      <c r="J281" s="57">
        <v>10101001</v>
      </c>
      <c r="K281" s="57">
        <v>99</v>
      </c>
      <c r="L281" s="57">
        <v>0</v>
      </c>
      <c r="M281" s="57">
        <v>0</v>
      </c>
      <c r="N281" s="57">
        <v>15</v>
      </c>
      <c r="O281" s="57">
        <v>100</v>
      </c>
      <c r="P281" s="57">
        <v>1</v>
      </c>
      <c r="Q281" s="57" t="s">
        <v>650</v>
      </c>
      <c r="R281" s="57" t="s">
        <v>448</v>
      </c>
      <c r="S281" s="57" t="s">
        <v>323</v>
      </c>
      <c r="T281" s="57" t="s">
        <v>331</v>
      </c>
      <c r="U281" s="57">
        <v>0</v>
      </c>
      <c r="V281" s="57">
        <v>0</v>
      </c>
      <c r="W281" s="57">
        <v>73</v>
      </c>
      <c r="X281" s="57">
        <v>1</v>
      </c>
      <c r="Y281" s="57">
        <v>1201</v>
      </c>
      <c r="Z281" s="57">
        <v>1201</v>
      </c>
      <c r="AA281" s="57">
        <v>1205</v>
      </c>
      <c r="AB281" s="57">
        <v>1205</v>
      </c>
      <c r="AC281" s="57">
        <v>0</v>
      </c>
      <c r="AD281" s="57">
        <v>0</v>
      </c>
      <c r="AE281" s="58">
        <v>10101</v>
      </c>
      <c r="AF281" s="30">
        <v>0</v>
      </c>
      <c r="AG281" s="57">
        <v>0</v>
      </c>
      <c r="AH281" s="57">
        <v>0</v>
      </c>
      <c r="AI281" s="57">
        <v>0</v>
      </c>
      <c r="AJ281" s="57">
        <v>0</v>
      </c>
      <c r="AK281" s="57">
        <v>0</v>
      </c>
      <c r="AL281" s="57">
        <v>0</v>
      </c>
      <c r="AM281" s="57">
        <v>0</v>
      </c>
      <c r="AN281" s="57">
        <v>0</v>
      </c>
      <c r="AO281" s="57">
        <v>0</v>
      </c>
      <c r="AP281" s="57">
        <v>0</v>
      </c>
      <c r="AQ281" s="57">
        <v>0</v>
      </c>
      <c r="AR281" s="57">
        <v>0</v>
      </c>
      <c r="AS281" s="57">
        <v>0</v>
      </c>
      <c r="AT281" s="57">
        <v>0</v>
      </c>
      <c r="AU281" s="57">
        <v>0</v>
      </c>
      <c r="AV281" s="57">
        <v>0</v>
      </c>
      <c r="AW281" s="57">
        <v>0</v>
      </c>
      <c r="AX281" s="57">
        <v>0</v>
      </c>
      <c r="AY281" s="57">
        <v>0</v>
      </c>
      <c r="AZ281" s="57">
        <v>0</v>
      </c>
      <c r="BA281" s="57">
        <v>0</v>
      </c>
      <c r="BB281" s="57">
        <v>0</v>
      </c>
      <c r="BC281" s="57">
        <v>0</v>
      </c>
      <c r="BD281" s="57">
        <v>0</v>
      </c>
      <c r="BE281" s="57">
        <v>0</v>
      </c>
      <c r="BF281" s="57">
        <v>0</v>
      </c>
      <c r="BG281" s="57">
        <v>0</v>
      </c>
      <c r="BH281" s="57">
        <v>0</v>
      </c>
      <c r="BI281" s="57">
        <v>0</v>
      </c>
      <c r="BJ281" s="57">
        <v>0</v>
      </c>
      <c r="BK281" s="57">
        <v>0</v>
      </c>
      <c r="BL281" s="57">
        <v>0</v>
      </c>
      <c r="BM281" s="57">
        <v>0</v>
      </c>
      <c r="BN281" s="57">
        <v>0</v>
      </c>
      <c r="BO281" s="57">
        <v>0</v>
      </c>
      <c r="BP281" s="57">
        <v>0</v>
      </c>
      <c r="BQ281" s="57">
        <v>0</v>
      </c>
      <c r="BR281" s="57">
        <v>0</v>
      </c>
      <c r="BS281" s="57">
        <v>0</v>
      </c>
      <c r="BT281" s="57">
        <v>0</v>
      </c>
      <c r="BU281" s="57">
        <v>0</v>
      </c>
      <c r="BV281" s="57">
        <v>0</v>
      </c>
      <c r="BW281" s="57">
        <v>0</v>
      </c>
      <c r="BX281" s="57">
        <v>0</v>
      </c>
      <c r="BY281" s="57">
        <v>0</v>
      </c>
      <c r="BZ281" s="57">
        <v>0</v>
      </c>
      <c r="CA281" s="57">
        <v>0</v>
      </c>
    </row>
    <row r="282" spans="1:79" x14ac:dyDescent="0.3">
      <c r="A282" s="19"/>
      <c r="B282" s="20" t="str">
        <f t="shared" si="87"/>
        <v>11490002</v>
      </c>
      <c r="C282" s="55" t="str">
        <f t="shared" ref="C282:C283" si="97">IF(J282&gt;0,MID(J282,5, 1), 0)</f>
        <v>1</v>
      </c>
      <c r="D282" s="55">
        <f t="shared" ref="D282:D283" si="98">IF(G282&lt;100, G282, G282-100)</f>
        <v>4</v>
      </c>
      <c r="E282" s="49">
        <v>2</v>
      </c>
      <c r="F282" s="57">
        <v>1</v>
      </c>
      <c r="G282" s="57">
        <v>104</v>
      </c>
      <c r="H282" s="57" t="str">
        <f t="shared" si="90"/>
        <v>Item_Name_11490002</v>
      </c>
      <c r="I282" s="57" t="s">
        <v>606</v>
      </c>
      <c r="J282" s="57">
        <v>10101001</v>
      </c>
      <c r="K282" s="57">
        <v>99</v>
      </c>
      <c r="L282" s="57">
        <v>0</v>
      </c>
      <c r="M282" s="57">
        <v>0</v>
      </c>
      <c r="N282" s="57">
        <v>15</v>
      </c>
      <c r="O282" s="57">
        <v>100</v>
      </c>
      <c r="P282" s="57">
        <v>1</v>
      </c>
      <c r="Q282" s="57" t="s">
        <v>651</v>
      </c>
      <c r="R282" s="57" t="s">
        <v>448</v>
      </c>
      <c r="S282" s="57" t="s">
        <v>323</v>
      </c>
      <c r="T282" s="57" t="s">
        <v>331</v>
      </c>
      <c r="U282" s="57">
        <v>0</v>
      </c>
      <c r="V282" s="57">
        <v>0</v>
      </c>
      <c r="W282" s="57">
        <v>73</v>
      </c>
      <c r="X282" s="57">
        <v>2</v>
      </c>
      <c r="Y282" s="57">
        <v>1201</v>
      </c>
      <c r="Z282" s="57">
        <v>1201</v>
      </c>
      <c r="AA282" s="57">
        <v>1205</v>
      </c>
      <c r="AB282" s="57">
        <v>1205</v>
      </c>
      <c r="AC282" s="57">
        <v>0</v>
      </c>
      <c r="AD282" s="57">
        <v>0</v>
      </c>
      <c r="AE282" s="58">
        <v>10102</v>
      </c>
      <c r="AF282" s="30">
        <v>0</v>
      </c>
      <c r="AG282" s="57">
        <v>0</v>
      </c>
      <c r="AH282" s="57">
        <v>0</v>
      </c>
      <c r="AI282" s="57">
        <v>0</v>
      </c>
      <c r="AJ282" s="57">
        <v>0</v>
      </c>
      <c r="AK282" s="57">
        <v>0</v>
      </c>
      <c r="AL282" s="57">
        <v>0</v>
      </c>
      <c r="AM282" s="57">
        <v>0</v>
      </c>
      <c r="AN282" s="57">
        <v>0</v>
      </c>
      <c r="AO282" s="57">
        <v>0</v>
      </c>
      <c r="AP282" s="57">
        <v>0</v>
      </c>
      <c r="AQ282" s="57">
        <v>0</v>
      </c>
      <c r="AR282" s="57">
        <v>0</v>
      </c>
      <c r="AS282" s="57">
        <v>0</v>
      </c>
      <c r="AT282" s="57">
        <v>0</v>
      </c>
      <c r="AU282" s="57">
        <v>0</v>
      </c>
      <c r="AV282" s="57">
        <v>0</v>
      </c>
      <c r="AW282" s="57">
        <v>0</v>
      </c>
      <c r="AX282" s="57">
        <v>0</v>
      </c>
      <c r="AY282" s="57">
        <v>0</v>
      </c>
      <c r="AZ282" s="57">
        <v>0</v>
      </c>
      <c r="BA282" s="57">
        <v>0</v>
      </c>
      <c r="BB282" s="57">
        <v>0</v>
      </c>
      <c r="BC282" s="57">
        <v>0</v>
      </c>
      <c r="BD282" s="57">
        <v>0</v>
      </c>
      <c r="BE282" s="57">
        <v>0</v>
      </c>
      <c r="BF282" s="57">
        <v>0</v>
      </c>
      <c r="BG282" s="57">
        <v>0</v>
      </c>
      <c r="BH282" s="57">
        <v>0</v>
      </c>
      <c r="BI282" s="57">
        <v>0</v>
      </c>
      <c r="BJ282" s="57">
        <v>0</v>
      </c>
      <c r="BK282" s="57">
        <v>0</v>
      </c>
      <c r="BL282" s="57">
        <v>0</v>
      </c>
      <c r="BM282" s="57">
        <v>0</v>
      </c>
      <c r="BN282" s="57">
        <v>0</v>
      </c>
      <c r="BO282" s="57">
        <v>0</v>
      </c>
      <c r="BP282" s="57">
        <v>0</v>
      </c>
      <c r="BQ282" s="57">
        <v>0</v>
      </c>
      <c r="BR282" s="57">
        <v>0</v>
      </c>
      <c r="BS282" s="57">
        <v>0</v>
      </c>
      <c r="BT282" s="57">
        <v>0</v>
      </c>
      <c r="BU282" s="57">
        <v>0</v>
      </c>
      <c r="BV282" s="57">
        <v>0</v>
      </c>
      <c r="BW282" s="57">
        <v>0</v>
      </c>
      <c r="BX282" s="57">
        <v>0</v>
      </c>
      <c r="BY282" s="57">
        <v>0</v>
      </c>
      <c r="BZ282" s="57">
        <v>0</v>
      </c>
      <c r="CA282" s="57">
        <v>0</v>
      </c>
    </row>
    <row r="283" spans="1:79" x14ac:dyDescent="0.3">
      <c r="A283" s="19"/>
      <c r="B283" s="20" t="str">
        <f t="shared" si="87"/>
        <v>11490003</v>
      </c>
      <c r="C283" s="55" t="str">
        <f t="shared" si="97"/>
        <v>1</v>
      </c>
      <c r="D283" s="55">
        <f t="shared" si="98"/>
        <v>4</v>
      </c>
      <c r="E283" s="49">
        <v>3</v>
      </c>
      <c r="F283" s="57">
        <v>1</v>
      </c>
      <c r="G283" s="57">
        <v>104</v>
      </c>
      <c r="H283" s="57" t="str">
        <f t="shared" si="90"/>
        <v>Item_Name_11490003</v>
      </c>
      <c r="I283" s="57" t="s">
        <v>607</v>
      </c>
      <c r="J283" s="57">
        <v>10101001</v>
      </c>
      <c r="K283" s="57">
        <v>99</v>
      </c>
      <c r="L283" s="57">
        <v>0</v>
      </c>
      <c r="M283" s="57">
        <v>0</v>
      </c>
      <c r="N283" s="57">
        <v>15</v>
      </c>
      <c r="O283" s="57">
        <v>100</v>
      </c>
      <c r="P283" s="57">
        <v>1</v>
      </c>
      <c r="Q283" s="57" t="s">
        <v>652</v>
      </c>
      <c r="R283" s="57" t="s">
        <v>448</v>
      </c>
      <c r="S283" s="57" t="s">
        <v>323</v>
      </c>
      <c r="T283" s="57" t="s">
        <v>331</v>
      </c>
      <c r="U283" s="57">
        <v>0</v>
      </c>
      <c r="V283" s="57">
        <v>0</v>
      </c>
      <c r="W283" s="57">
        <v>73</v>
      </c>
      <c r="X283" s="57">
        <v>3</v>
      </c>
      <c r="Y283" s="57">
        <v>1201</v>
      </c>
      <c r="Z283" s="57">
        <v>1201</v>
      </c>
      <c r="AA283" s="57">
        <v>1205</v>
      </c>
      <c r="AB283" s="57">
        <v>1205</v>
      </c>
      <c r="AC283" s="57">
        <v>0</v>
      </c>
      <c r="AD283" s="57">
        <v>0</v>
      </c>
      <c r="AE283" s="58">
        <v>10103</v>
      </c>
      <c r="AF283" s="30">
        <v>0</v>
      </c>
      <c r="AG283" s="57">
        <v>0</v>
      </c>
      <c r="AH283" s="57">
        <v>0</v>
      </c>
      <c r="AI283" s="57">
        <v>0</v>
      </c>
      <c r="AJ283" s="57">
        <v>0</v>
      </c>
      <c r="AK283" s="57">
        <v>0</v>
      </c>
      <c r="AL283" s="57">
        <v>0</v>
      </c>
      <c r="AM283" s="57">
        <v>0</v>
      </c>
      <c r="AN283" s="57">
        <v>0</v>
      </c>
      <c r="AO283" s="57">
        <v>0</v>
      </c>
      <c r="AP283" s="57">
        <v>0</v>
      </c>
      <c r="AQ283" s="57">
        <v>0</v>
      </c>
      <c r="AR283" s="57">
        <v>0</v>
      </c>
      <c r="AS283" s="57">
        <v>0</v>
      </c>
      <c r="AT283" s="57">
        <v>0</v>
      </c>
      <c r="AU283" s="57">
        <v>0</v>
      </c>
      <c r="AV283" s="57">
        <v>0</v>
      </c>
      <c r="AW283" s="57">
        <v>0</v>
      </c>
      <c r="AX283" s="57">
        <v>0</v>
      </c>
      <c r="AY283" s="57">
        <v>0</v>
      </c>
      <c r="AZ283" s="57">
        <v>0</v>
      </c>
      <c r="BA283" s="57">
        <v>0</v>
      </c>
      <c r="BB283" s="57">
        <v>0</v>
      </c>
      <c r="BC283" s="57">
        <v>0</v>
      </c>
      <c r="BD283" s="57">
        <v>0</v>
      </c>
      <c r="BE283" s="57">
        <v>0</v>
      </c>
      <c r="BF283" s="57">
        <v>0</v>
      </c>
      <c r="BG283" s="57">
        <v>0</v>
      </c>
      <c r="BH283" s="57">
        <v>0</v>
      </c>
      <c r="BI283" s="57">
        <v>0</v>
      </c>
      <c r="BJ283" s="57">
        <v>0</v>
      </c>
      <c r="BK283" s="57">
        <v>0</v>
      </c>
      <c r="BL283" s="57">
        <v>0</v>
      </c>
      <c r="BM283" s="57">
        <v>0</v>
      </c>
      <c r="BN283" s="57">
        <v>0</v>
      </c>
      <c r="BO283" s="57">
        <v>0</v>
      </c>
      <c r="BP283" s="57">
        <v>0</v>
      </c>
      <c r="BQ283" s="57">
        <v>0</v>
      </c>
      <c r="BR283" s="57">
        <v>0</v>
      </c>
      <c r="BS283" s="57">
        <v>0</v>
      </c>
      <c r="BT283" s="57">
        <v>0</v>
      </c>
      <c r="BU283" s="57">
        <v>0</v>
      </c>
      <c r="BV283" s="57">
        <v>0</v>
      </c>
      <c r="BW283" s="57">
        <v>0</v>
      </c>
      <c r="BX283" s="57">
        <v>0</v>
      </c>
      <c r="BY283" s="57">
        <v>0</v>
      </c>
      <c r="BZ283" s="57">
        <v>0</v>
      </c>
      <c r="CA283" s="57">
        <v>0</v>
      </c>
    </row>
    <row r="284" spans="1:79" x14ac:dyDescent="0.3">
      <c r="A284" s="19"/>
      <c r="B284" s="20" t="str">
        <f t="shared" si="87"/>
        <v>12490001</v>
      </c>
      <c r="C284" s="55" t="str">
        <f t="shared" si="88"/>
        <v>2</v>
      </c>
      <c r="D284" s="55">
        <f t="shared" si="89"/>
        <v>4</v>
      </c>
      <c r="E284" s="49">
        <v>1</v>
      </c>
      <c r="F284" s="20">
        <v>1</v>
      </c>
      <c r="G284" s="20">
        <v>104</v>
      </c>
      <c r="H284" s="20" t="str">
        <f t="shared" si="90"/>
        <v>Item_Name_12490001</v>
      </c>
      <c r="I284" s="20" t="s">
        <v>216</v>
      </c>
      <c r="J284" s="20">
        <v>10102001</v>
      </c>
      <c r="K284" s="20">
        <v>99</v>
      </c>
      <c r="L284" s="20">
        <v>0</v>
      </c>
      <c r="M284" s="20">
        <v>0</v>
      </c>
      <c r="N284" s="20">
        <v>15</v>
      </c>
      <c r="O284" s="20">
        <v>100</v>
      </c>
      <c r="P284" s="20">
        <v>1</v>
      </c>
      <c r="Q284" s="20" t="s">
        <v>457</v>
      </c>
      <c r="R284" s="20" t="s">
        <v>448</v>
      </c>
      <c r="S284" s="20" t="s">
        <v>324</v>
      </c>
      <c r="T284" s="20" t="s">
        <v>331</v>
      </c>
      <c r="U284" s="20">
        <v>0</v>
      </c>
      <c r="V284" s="20">
        <v>0</v>
      </c>
      <c r="W284" s="20">
        <v>73</v>
      </c>
      <c r="X284" s="20">
        <v>1</v>
      </c>
      <c r="Y284" s="20">
        <v>1203</v>
      </c>
      <c r="Z284" s="20">
        <v>1203</v>
      </c>
      <c r="AA284" s="20">
        <v>1205</v>
      </c>
      <c r="AB284" s="20">
        <v>1205</v>
      </c>
      <c r="AC284" s="20">
        <v>0</v>
      </c>
      <c r="AD284" s="20">
        <v>0</v>
      </c>
      <c r="AE284" s="39">
        <v>10201</v>
      </c>
      <c r="AF284" s="31">
        <v>0</v>
      </c>
      <c r="AG284" s="20">
        <v>0</v>
      </c>
      <c r="AH284" s="20">
        <v>0</v>
      </c>
      <c r="AI284" s="20">
        <v>0</v>
      </c>
      <c r="AJ284" s="20">
        <v>0</v>
      </c>
      <c r="AK284" s="20">
        <v>0</v>
      </c>
      <c r="AL284" s="20">
        <v>0</v>
      </c>
      <c r="AM284" s="20">
        <v>0</v>
      </c>
      <c r="AN284" s="20">
        <v>0</v>
      </c>
      <c r="AO284" s="20">
        <v>0</v>
      </c>
      <c r="AP284" s="20">
        <v>0</v>
      </c>
      <c r="AQ284" s="20">
        <v>0</v>
      </c>
      <c r="AR284" s="20">
        <v>0</v>
      </c>
      <c r="AS284" s="20">
        <v>0</v>
      </c>
      <c r="AT284" s="20">
        <v>0</v>
      </c>
      <c r="AU284" s="20">
        <v>0</v>
      </c>
      <c r="AV284" s="20">
        <v>0</v>
      </c>
      <c r="AW284" s="20">
        <v>0</v>
      </c>
      <c r="AX284" s="20">
        <v>0</v>
      </c>
      <c r="AY284" s="20">
        <v>0</v>
      </c>
      <c r="AZ284" s="20">
        <v>0</v>
      </c>
      <c r="BA284" s="20">
        <v>0</v>
      </c>
      <c r="BB284" s="20">
        <v>0</v>
      </c>
      <c r="BC284" s="20">
        <v>0</v>
      </c>
      <c r="BD284" s="20">
        <v>0</v>
      </c>
      <c r="BE284" s="20">
        <v>0</v>
      </c>
      <c r="BF284" s="20">
        <v>0</v>
      </c>
      <c r="BG284" s="20">
        <v>0</v>
      </c>
      <c r="BH284" s="20">
        <v>0</v>
      </c>
      <c r="BI284" s="20">
        <v>0</v>
      </c>
      <c r="BJ284" s="20">
        <v>0</v>
      </c>
      <c r="BK284" s="20">
        <v>0</v>
      </c>
      <c r="BL284" s="20">
        <v>0</v>
      </c>
      <c r="BM284" s="20">
        <v>0</v>
      </c>
      <c r="BN284" s="20">
        <v>0</v>
      </c>
      <c r="BO284" s="20">
        <v>0</v>
      </c>
      <c r="BP284" s="20">
        <v>0</v>
      </c>
      <c r="BQ284" s="20">
        <v>0</v>
      </c>
      <c r="BR284" s="20">
        <v>0</v>
      </c>
      <c r="BS284" s="20">
        <v>0</v>
      </c>
      <c r="BT284" s="20">
        <v>0</v>
      </c>
      <c r="BU284" s="20">
        <v>0</v>
      </c>
      <c r="BV284" s="20">
        <v>0</v>
      </c>
      <c r="BW284" s="20">
        <v>0</v>
      </c>
      <c r="BX284" s="20">
        <v>0</v>
      </c>
      <c r="BY284" s="20">
        <v>0</v>
      </c>
      <c r="BZ284" s="20">
        <v>0</v>
      </c>
      <c r="CA284" s="20">
        <v>0</v>
      </c>
    </row>
    <row r="285" spans="1:79" x14ac:dyDescent="0.3">
      <c r="A285" s="19"/>
      <c r="B285" s="20" t="str">
        <f t="shared" si="87"/>
        <v>12490002</v>
      </c>
      <c r="C285" s="55" t="str">
        <f t="shared" si="88"/>
        <v>2</v>
      </c>
      <c r="D285" s="55">
        <f t="shared" si="89"/>
        <v>4</v>
      </c>
      <c r="E285" s="49">
        <v>2</v>
      </c>
      <c r="F285" s="20">
        <v>1</v>
      </c>
      <c r="G285" s="20">
        <v>104</v>
      </c>
      <c r="H285" s="20" t="str">
        <f t="shared" si="90"/>
        <v>Item_Name_12490002</v>
      </c>
      <c r="I285" s="20" t="s">
        <v>217</v>
      </c>
      <c r="J285" s="20">
        <v>10102001</v>
      </c>
      <c r="K285" s="20">
        <v>99</v>
      </c>
      <c r="L285" s="20">
        <v>0</v>
      </c>
      <c r="M285" s="20">
        <v>0</v>
      </c>
      <c r="N285" s="20">
        <v>15</v>
      </c>
      <c r="O285" s="20">
        <v>100</v>
      </c>
      <c r="P285" s="20">
        <v>1</v>
      </c>
      <c r="Q285" s="20" t="s">
        <v>458</v>
      </c>
      <c r="R285" s="20" t="s">
        <v>448</v>
      </c>
      <c r="S285" s="20" t="s">
        <v>324</v>
      </c>
      <c r="T285" s="20" t="s">
        <v>331</v>
      </c>
      <c r="U285" s="20">
        <v>0</v>
      </c>
      <c r="V285" s="20">
        <v>0</v>
      </c>
      <c r="W285" s="20">
        <v>73</v>
      </c>
      <c r="X285" s="20">
        <v>2</v>
      </c>
      <c r="Y285" s="20">
        <v>1203</v>
      </c>
      <c r="Z285" s="20">
        <v>1203</v>
      </c>
      <c r="AA285" s="20">
        <v>1205</v>
      </c>
      <c r="AB285" s="20">
        <v>1205</v>
      </c>
      <c r="AC285" s="20">
        <v>0</v>
      </c>
      <c r="AD285" s="20">
        <v>0</v>
      </c>
      <c r="AE285" s="39">
        <v>10202</v>
      </c>
      <c r="AF285" s="31">
        <v>0</v>
      </c>
      <c r="AG285" s="20">
        <v>0</v>
      </c>
      <c r="AH285" s="20">
        <v>0</v>
      </c>
      <c r="AI285" s="20">
        <v>0</v>
      </c>
      <c r="AJ285" s="20">
        <v>0</v>
      </c>
      <c r="AK285" s="20">
        <v>0</v>
      </c>
      <c r="AL285" s="20">
        <v>0</v>
      </c>
      <c r="AM285" s="20">
        <v>0</v>
      </c>
      <c r="AN285" s="20">
        <v>0</v>
      </c>
      <c r="AO285" s="20">
        <v>0</v>
      </c>
      <c r="AP285" s="20">
        <v>0</v>
      </c>
      <c r="AQ285" s="20">
        <v>0</v>
      </c>
      <c r="AR285" s="20">
        <v>0</v>
      </c>
      <c r="AS285" s="20">
        <v>0</v>
      </c>
      <c r="AT285" s="20">
        <v>0</v>
      </c>
      <c r="AU285" s="20">
        <v>0</v>
      </c>
      <c r="AV285" s="20">
        <v>0</v>
      </c>
      <c r="AW285" s="20">
        <v>0</v>
      </c>
      <c r="AX285" s="20">
        <v>0</v>
      </c>
      <c r="AY285" s="20">
        <v>0</v>
      </c>
      <c r="AZ285" s="20">
        <v>0</v>
      </c>
      <c r="BA285" s="20">
        <v>0</v>
      </c>
      <c r="BB285" s="20">
        <v>0</v>
      </c>
      <c r="BC285" s="20">
        <v>0</v>
      </c>
      <c r="BD285" s="20">
        <v>0</v>
      </c>
      <c r="BE285" s="20">
        <v>0</v>
      </c>
      <c r="BF285" s="20">
        <v>0</v>
      </c>
      <c r="BG285" s="20">
        <v>0</v>
      </c>
      <c r="BH285" s="20">
        <v>0</v>
      </c>
      <c r="BI285" s="20">
        <v>0</v>
      </c>
      <c r="BJ285" s="20">
        <v>0</v>
      </c>
      <c r="BK285" s="20">
        <v>0</v>
      </c>
      <c r="BL285" s="20">
        <v>0</v>
      </c>
      <c r="BM285" s="20">
        <v>0</v>
      </c>
      <c r="BN285" s="20">
        <v>0</v>
      </c>
      <c r="BO285" s="20">
        <v>0</v>
      </c>
      <c r="BP285" s="20">
        <v>0</v>
      </c>
      <c r="BQ285" s="20">
        <v>0</v>
      </c>
      <c r="BR285" s="20">
        <v>0</v>
      </c>
      <c r="BS285" s="20">
        <v>0</v>
      </c>
      <c r="BT285" s="20">
        <v>0</v>
      </c>
      <c r="BU285" s="20">
        <v>0</v>
      </c>
      <c r="BV285" s="20">
        <v>0</v>
      </c>
      <c r="BW285" s="20">
        <v>0</v>
      </c>
      <c r="BX285" s="20">
        <v>0</v>
      </c>
      <c r="BY285" s="20">
        <v>0</v>
      </c>
      <c r="BZ285" s="20">
        <v>0</v>
      </c>
      <c r="CA285" s="20">
        <v>0</v>
      </c>
    </row>
    <row r="286" spans="1:79" x14ac:dyDescent="0.3">
      <c r="A286" s="19"/>
      <c r="B286" s="20" t="str">
        <f t="shared" si="87"/>
        <v>12490003</v>
      </c>
      <c r="C286" s="55" t="str">
        <f t="shared" si="88"/>
        <v>2</v>
      </c>
      <c r="D286" s="55">
        <f t="shared" si="89"/>
        <v>4</v>
      </c>
      <c r="E286" s="49">
        <v>3</v>
      </c>
      <c r="F286" s="20">
        <v>1</v>
      </c>
      <c r="G286" s="20">
        <v>104</v>
      </c>
      <c r="H286" s="20" t="str">
        <f t="shared" si="90"/>
        <v>Item_Name_12490003</v>
      </c>
      <c r="I286" s="20" t="s">
        <v>218</v>
      </c>
      <c r="J286" s="20">
        <v>10102001</v>
      </c>
      <c r="K286" s="20">
        <v>99</v>
      </c>
      <c r="L286" s="20">
        <v>0</v>
      </c>
      <c r="M286" s="20">
        <v>0</v>
      </c>
      <c r="N286" s="20">
        <v>15</v>
      </c>
      <c r="O286" s="20">
        <v>100</v>
      </c>
      <c r="P286" s="20">
        <v>1</v>
      </c>
      <c r="Q286" s="20" t="s">
        <v>237</v>
      </c>
      <c r="R286" s="20" t="s">
        <v>448</v>
      </c>
      <c r="S286" s="20" t="s">
        <v>324</v>
      </c>
      <c r="T286" s="20" t="s">
        <v>331</v>
      </c>
      <c r="U286" s="20">
        <v>0</v>
      </c>
      <c r="V286" s="20">
        <v>0</v>
      </c>
      <c r="W286" s="20">
        <v>73</v>
      </c>
      <c r="X286" s="20">
        <v>3</v>
      </c>
      <c r="Y286" s="20">
        <v>1203</v>
      </c>
      <c r="Z286" s="20">
        <v>1203</v>
      </c>
      <c r="AA286" s="20">
        <v>1205</v>
      </c>
      <c r="AB286" s="20">
        <v>1205</v>
      </c>
      <c r="AC286" s="20">
        <v>0</v>
      </c>
      <c r="AD286" s="20">
        <v>0</v>
      </c>
      <c r="AE286" s="39">
        <v>10203</v>
      </c>
      <c r="AF286" s="31">
        <v>0</v>
      </c>
      <c r="AG286" s="20">
        <v>0</v>
      </c>
      <c r="AH286" s="20">
        <v>0</v>
      </c>
      <c r="AI286" s="20">
        <v>0</v>
      </c>
      <c r="AJ286" s="20">
        <v>0</v>
      </c>
      <c r="AK286" s="20">
        <v>0</v>
      </c>
      <c r="AL286" s="20">
        <v>0</v>
      </c>
      <c r="AM286" s="20">
        <v>0</v>
      </c>
      <c r="AN286" s="20">
        <v>0</v>
      </c>
      <c r="AO286" s="20">
        <v>0</v>
      </c>
      <c r="AP286" s="20">
        <v>0</v>
      </c>
      <c r="AQ286" s="20">
        <v>0</v>
      </c>
      <c r="AR286" s="20">
        <v>0</v>
      </c>
      <c r="AS286" s="20">
        <v>0</v>
      </c>
      <c r="AT286" s="20">
        <v>0</v>
      </c>
      <c r="AU286" s="20">
        <v>0</v>
      </c>
      <c r="AV286" s="20">
        <v>0</v>
      </c>
      <c r="AW286" s="20">
        <v>0</v>
      </c>
      <c r="AX286" s="20">
        <v>0</v>
      </c>
      <c r="AY286" s="20">
        <v>0</v>
      </c>
      <c r="AZ286" s="20">
        <v>0</v>
      </c>
      <c r="BA286" s="20">
        <v>0</v>
      </c>
      <c r="BB286" s="20">
        <v>0</v>
      </c>
      <c r="BC286" s="20">
        <v>0</v>
      </c>
      <c r="BD286" s="20">
        <v>0</v>
      </c>
      <c r="BE286" s="20">
        <v>0</v>
      </c>
      <c r="BF286" s="20">
        <v>0</v>
      </c>
      <c r="BG286" s="20">
        <v>0</v>
      </c>
      <c r="BH286" s="20">
        <v>0</v>
      </c>
      <c r="BI286" s="20">
        <v>0</v>
      </c>
      <c r="BJ286" s="20">
        <v>0</v>
      </c>
      <c r="BK286" s="20">
        <v>0</v>
      </c>
      <c r="BL286" s="20">
        <v>0</v>
      </c>
      <c r="BM286" s="20">
        <v>0</v>
      </c>
      <c r="BN286" s="20">
        <v>0</v>
      </c>
      <c r="BO286" s="20">
        <v>0</v>
      </c>
      <c r="BP286" s="20">
        <v>0</v>
      </c>
      <c r="BQ286" s="20">
        <v>0</v>
      </c>
      <c r="BR286" s="20">
        <v>0</v>
      </c>
      <c r="BS286" s="20">
        <v>0</v>
      </c>
      <c r="BT286" s="20">
        <v>0</v>
      </c>
      <c r="BU286" s="20">
        <v>0</v>
      </c>
      <c r="BV286" s="20">
        <v>0</v>
      </c>
      <c r="BW286" s="20">
        <v>0</v>
      </c>
      <c r="BX286" s="20">
        <v>0</v>
      </c>
      <c r="BY286" s="20">
        <v>0</v>
      </c>
      <c r="BZ286" s="20">
        <v>0</v>
      </c>
      <c r="CA286" s="20">
        <v>0</v>
      </c>
    </row>
    <row r="287" spans="1:79" x14ac:dyDescent="0.3">
      <c r="A287" s="19"/>
      <c r="B287" s="20" t="str">
        <f t="shared" si="87"/>
        <v>13490001</v>
      </c>
      <c r="C287" s="55">
        <v>3</v>
      </c>
      <c r="D287" s="55">
        <f t="shared" si="89"/>
        <v>4</v>
      </c>
      <c r="E287" s="49">
        <v>1</v>
      </c>
      <c r="F287" s="57">
        <v>1</v>
      </c>
      <c r="G287" s="57">
        <v>104</v>
      </c>
      <c r="H287" s="57" t="str">
        <f t="shared" si="90"/>
        <v>Item_Name_13490001</v>
      </c>
      <c r="I287" s="57" t="s">
        <v>803</v>
      </c>
      <c r="J287" s="57">
        <v>10103001</v>
      </c>
      <c r="K287" s="57">
        <v>99</v>
      </c>
      <c r="L287" s="57">
        <v>0</v>
      </c>
      <c r="M287" s="57">
        <v>0</v>
      </c>
      <c r="N287" s="57">
        <v>15</v>
      </c>
      <c r="O287" s="57">
        <v>100</v>
      </c>
      <c r="P287" s="57">
        <v>1</v>
      </c>
      <c r="Q287" s="57" t="s">
        <v>806</v>
      </c>
      <c r="R287" s="57" t="s">
        <v>448</v>
      </c>
      <c r="S287" s="57" t="s">
        <v>812</v>
      </c>
      <c r="T287" s="57" t="s">
        <v>331</v>
      </c>
      <c r="U287" s="57">
        <v>0</v>
      </c>
      <c r="V287" s="57">
        <v>0</v>
      </c>
      <c r="W287" s="57">
        <v>73</v>
      </c>
      <c r="X287" s="57">
        <v>1</v>
      </c>
      <c r="Y287" s="57">
        <v>1202</v>
      </c>
      <c r="Z287" s="57">
        <v>1202</v>
      </c>
      <c r="AA287" s="57">
        <v>1206</v>
      </c>
      <c r="AB287" s="57">
        <v>1206</v>
      </c>
      <c r="AC287" s="57">
        <v>0</v>
      </c>
      <c r="AD287" s="57">
        <v>0</v>
      </c>
      <c r="AE287" s="58">
        <v>10301</v>
      </c>
      <c r="AF287" s="30">
        <v>0</v>
      </c>
      <c r="AG287" s="57">
        <v>0</v>
      </c>
      <c r="AH287" s="57">
        <v>0</v>
      </c>
      <c r="AI287" s="57">
        <v>0</v>
      </c>
      <c r="AJ287" s="57">
        <v>0</v>
      </c>
      <c r="AK287" s="57">
        <v>0</v>
      </c>
      <c r="AL287" s="57">
        <v>0</v>
      </c>
      <c r="AM287" s="57">
        <v>0</v>
      </c>
      <c r="AN287" s="57">
        <v>0</v>
      </c>
      <c r="AO287" s="57">
        <v>0</v>
      </c>
      <c r="AP287" s="57">
        <v>0</v>
      </c>
      <c r="AQ287" s="57">
        <v>0</v>
      </c>
      <c r="AR287" s="57">
        <v>0</v>
      </c>
      <c r="AS287" s="57">
        <v>0</v>
      </c>
      <c r="AT287" s="57">
        <v>0</v>
      </c>
      <c r="AU287" s="57">
        <v>0</v>
      </c>
      <c r="AV287" s="57">
        <v>0</v>
      </c>
      <c r="AW287" s="57">
        <v>0</v>
      </c>
      <c r="AX287" s="57">
        <v>0</v>
      </c>
      <c r="AY287" s="57">
        <v>0</v>
      </c>
      <c r="AZ287" s="57">
        <v>0</v>
      </c>
      <c r="BA287" s="57">
        <v>0</v>
      </c>
      <c r="BB287" s="57">
        <v>0</v>
      </c>
      <c r="BC287" s="57">
        <v>0</v>
      </c>
      <c r="BD287" s="57">
        <v>0</v>
      </c>
      <c r="BE287" s="57">
        <v>0</v>
      </c>
      <c r="BF287" s="57">
        <v>0</v>
      </c>
      <c r="BG287" s="57">
        <v>0</v>
      </c>
      <c r="BH287" s="57">
        <v>0</v>
      </c>
      <c r="BI287" s="57">
        <v>0</v>
      </c>
      <c r="BJ287" s="57">
        <v>0</v>
      </c>
      <c r="BK287" s="57">
        <v>0</v>
      </c>
      <c r="BL287" s="57">
        <v>0</v>
      </c>
      <c r="BM287" s="57">
        <v>0</v>
      </c>
      <c r="BN287" s="57">
        <v>0</v>
      </c>
      <c r="BO287" s="57">
        <v>0</v>
      </c>
      <c r="BP287" s="57">
        <v>0</v>
      </c>
      <c r="BQ287" s="57">
        <v>0</v>
      </c>
      <c r="BR287" s="57">
        <v>0</v>
      </c>
      <c r="BS287" s="57">
        <v>0</v>
      </c>
      <c r="BT287" s="57">
        <v>0</v>
      </c>
      <c r="BU287" s="57">
        <v>0</v>
      </c>
      <c r="BV287" s="57">
        <v>0</v>
      </c>
      <c r="BW287" s="57">
        <v>0</v>
      </c>
      <c r="BX287" s="57">
        <v>0</v>
      </c>
      <c r="BY287" s="57">
        <v>0</v>
      </c>
      <c r="BZ287" s="57">
        <v>0</v>
      </c>
      <c r="CA287" s="57">
        <v>0</v>
      </c>
    </row>
    <row r="288" spans="1:79" x14ac:dyDescent="0.3">
      <c r="A288" s="19"/>
      <c r="B288" s="20" t="str">
        <f t="shared" si="87"/>
        <v>13490002</v>
      </c>
      <c r="C288" s="55">
        <v>3</v>
      </c>
      <c r="D288" s="55">
        <f t="shared" si="89"/>
        <v>4</v>
      </c>
      <c r="E288" s="49">
        <v>2</v>
      </c>
      <c r="F288" s="57">
        <v>1</v>
      </c>
      <c r="G288" s="57">
        <v>104</v>
      </c>
      <c r="H288" s="57" t="str">
        <f t="shared" si="90"/>
        <v>Item_Name_13490002</v>
      </c>
      <c r="I288" s="57" t="s">
        <v>804</v>
      </c>
      <c r="J288" s="57">
        <v>10103001</v>
      </c>
      <c r="K288" s="57">
        <v>99</v>
      </c>
      <c r="L288" s="57">
        <v>0</v>
      </c>
      <c r="M288" s="57">
        <v>0</v>
      </c>
      <c r="N288" s="57">
        <v>15</v>
      </c>
      <c r="O288" s="57">
        <v>100</v>
      </c>
      <c r="P288" s="57">
        <v>1</v>
      </c>
      <c r="Q288" s="57" t="s">
        <v>807</v>
      </c>
      <c r="R288" s="57" t="s">
        <v>448</v>
      </c>
      <c r="S288" s="57" t="s">
        <v>812</v>
      </c>
      <c r="T288" s="57" t="s">
        <v>331</v>
      </c>
      <c r="U288" s="57">
        <v>0</v>
      </c>
      <c r="V288" s="57">
        <v>0</v>
      </c>
      <c r="W288" s="57">
        <v>73</v>
      </c>
      <c r="X288" s="57">
        <v>2</v>
      </c>
      <c r="Y288" s="57">
        <v>1202</v>
      </c>
      <c r="Z288" s="57">
        <v>1202</v>
      </c>
      <c r="AA288" s="57">
        <v>1206</v>
      </c>
      <c r="AB288" s="57">
        <v>1206</v>
      </c>
      <c r="AC288" s="57">
        <v>0</v>
      </c>
      <c r="AD288" s="57">
        <v>0</v>
      </c>
      <c r="AE288" s="58">
        <v>10302</v>
      </c>
      <c r="AF288" s="30">
        <v>0</v>
      </c>
      <c r="AG288" s="57">
        <v>0</v>
      </c>
      <c r="AH288" s="57">
        <v>0</v>
      </c>
      <c r="AI288" s="57">
        <v>0</v>
      </c>
      <c r="AJ288" s="57">
        <v>0</v>
      </c>
      <c r="AK288" s="57">
        <v>0</v>
      </c>
      <c r="AL288" s="57">
        <v>0</v>
      </c>
      <c r="AM288" s="57">
        <v>0</v>
      </c>
      <c r="AN288" s="57">
        <v>0</v>
      </c>
      <c r="AO288" s="57">
        <v>0</v>
      </c>
      <c r="AP288" s="57">
        <v>0</v>
      </c>
      <c r="AQ288" s="57">
        <v>0</v>
      </c>
      <c r="AR288" s="57">
        <v>0</v>
      </c>
      <c r="AS288" s="57">
        <v>0</v>
      </c>
      <c r="AT288" s="57">
        <v>0</v>
      </c>
      <c r="AU288" s="57">
        <v>0</v>
      </c>
      <c r="AV288" s="57">
        <v>0</v>
      </c>
      <c r="AW288" s="57">
        <v>0</v>
      </c>
      <c r="AX288" s="57">
        <v>0</v>
      </c>
      <c r="AY288" s="57">
        <v>0</v>
      </c>
      <c r="AZ288" s="57">
        <v>0</v>
      </c>
      <c r="BA288" s="57">
        <v>0</v>
      </c>
      <c r="BB288" s="57">
        <v>0</v>
      </c>
      <c r="BC288" s="57">
        <v>0</v>
      </c>
      <c r="BD288" s="57">
        <v>0</v>
      </c>
      <c r="BE288" s="57">
        <v>0</v>
      </c>
      <c r="BF288" s="57">
        <v>0</v>
      </c>
      <c r="BG288" s="57">
        <v>0</v>
      </c>
      <c r="BH288" s="57">
        <v>0</v>
      </c>
      <c r="BI288" s="57">
        <v>0</v>
      </c>
      <c r="BJ288" s="57">
        <v>0</v>
      </c>
      <c r="BK288" s="57">
        <v>0</v>
      </c>
      <c r="BL288" s="57">
        <v>0</v>
      </c>
      <c r="BM288" s="57">
        <v>0</v>
      </c>
      <c r="BN288" s="57">
        <v>0</v>
      </c>
      <c r="BO288" s="57">
        <v>0</v>
      </c>
      <c r="BP288" s="57">
        <v>0</v>
      </c>
      <c r="BQ288" s="57">
        <v>0</v>
      </c>
      <c r="BR288" s="57">
        <v>0</v>
      </c>
      <c r="BS288" s="57">
        <v>0</v>
      </c>
      <c r="BT288" s="57">
        <v>0</v>
      </c>
      <c r="BU288" s="57">
        <v>0</v>
      </c>
      <c r="BV288" s="57">
        <v>0</v>
      </c>
      <c r="BW288" s="57">
        <v>0</v>
      </c>
      <c r="BX288" s="57">
        <v>0</v>
      </c>
      <c r="BY288" s="57">
        <v>0</v>
      </c>
      <c r="BZ288" s="57">
        <v>0</v>
      </c>
      <c r="CA288" s="57">
        <v>0</v>
      </c>
    </row>
    <row r="289" spans="1:79" x14ac:dyDescent="0.3">
      <c r="A289" s="19"/>
      <c r="B289" s="20" t="str">
        <f t="shared" si="87"/>
        <v>13490003</v>
      </c>
      <c r="C289" s="55">
        <v>3</v>
      </c>
      <c r="D289" s="55">
        <f t="shared" si="89"/>
        <v>4</v>
      </c>
      <c r="E289" s="49">
        <v>3</v>
      </c>
      <c r="F289" s="57">
        <v>1</v>
      </c>
      <c r="G289" s="57">
        <v>104</v>
      </c>
      <c r="H289" s="57" t="str">
        <f t="shared" si="90"/>
        <v>Item_Name_13490003</v>
      </c>
      <c r="I289" s="57" t="s">
        <v>805</v>
      </c>
      <c r="J289" s="57">
        <v>10103001</v>
      </c>
      <c r="K289" s="57">
        <v>99</v>
      </c>
      <c r="L289" s="57">
        <v>0</v>
      </c>
      <c r="M289" s="57">
        <v>0</v>
      </c>
      <c r="N289" s="57">
        <v>15</v>
      </c>
      <c r="O289" s="57">
        <v>100</v>
      </c>
      <c r="P289" s="57">
        <v>1</v>
      </c>
      <c r="Q289" s="57" t="s">
        <v>808</v>
      </c>
      <c r="R289" s="57" t="s">
        <v>448</v>
      </c>
      <c r="S289" s="57" t="s">
        <v>812</v>
      </c>
      <c r="T289" s="57" t="s">
        <v>331</v>
      </c>
      <c r="U289" s="57">
        <v>0</v>
      </c>
      <c r="V289" s="57">
        <v>0</v>
      </c>
      <c r="W289" s="57">
        <v>73</v>
      </c>
      <c r="X289" s="57">
        <v>3</v>
      </c>
      <c r="Y289" s="57">
        <v>1202</v>
      </c>
      <c r="Z289" s="57">
        <v>1202</v>
      </c>
      <c r="AA289" s="57">
        <v>1206</v>
      </c>
      <c r="AB289" s="57">
        <v>1206</v>
      </c>
      <c r="AC289" s="57">
        <v>0</v>
      </c>
      <c r="AD289" s="57">
        <v>0</v>
      </c>
      <c r="AE289" s="58">
        <v>10303</v>
      </c>
      <c r="AF289" s="30">
        <v>0</v>
      </c>
      <c r="AG289" s="57">
        <v>0</v>
      </c>
      <c r="AH289" s="57">
        <v>0</v>
      </c>
      <c r="AI289" s="57">
        <v>0</v>
      </c>
      <c r="AJ289" s="57">
        <v>0</v>
      </c>
      <c r="AK289" s="57">
        <v>0</v>
      </c>
      <c r="AL289" s="57">
        <v>0</v>
      </c>
      <c r="AM289" s="57">
        <v>0</v>
      </c>
      <c r="AN289" s="57">
        <v>0</v>
      </c>
      <c r="AO289" s="57">
        <v>0</v>
      </c>
      <c r="AP289" s="57">
        <v>0</v>
      </c>
      <c r="AQ289" s="57">
        <v>0</v>
      </c>
      <c r="AR289" s="57">
        <v>0</v>
      </c>
      <c r="AS289" s="57">
        <v>0</v>
      </c>
      <c r="AT289" s="57">
        <v>0</v>
      </c>
      <c r="AU289" s="57">
        <v>0</v>
      </c>
      <c r="AV289" s="57">
        <v>0</v>
      </c>
      <c r="AW289" s="57">
        <v>0</v>
      </c>
      <c r="AX289" s="57">
        <v>0</v>
      </c>
      <c r="AY289" s="57">
        <v>0</v>
      </c>
      <c r="AZ289" s="57">
        <v>0</v>
      </c>
      <c r="BA289" s="57">
        <v>0</v>
      </c>
      <c r="BB289" s="57">
        <v>0</v>
      </c>
      <c r="BC289" s="57">
        <v>0</v>
      </c>
      <c r="BD289" s="57">
        <v>0</v>
      </c>
      <c r="BE289" s="57">
        <v>0</v>
      </c>
      <c r="BF289" s="57">
        <v>0</v>
      </c>
      <c r="BG289" s="57">
        <v>0</v>
      </c>
      <c r="BH289" s="57">
        <v>0</v>
      </c>
      <c r="BI289" s="57">
        <v>0</v>
      </c>
      <c r="BJ289" s="57">
        <v>0</v>
      </c>
      <c r="BK289" s="57">
        <v>0</v>
      </c>
      <c r="BL289" s="57">
        <v>0</v>
      </c>
      <c r="BM289" s="57">
        <v>0</v>
      </c>
      <c r="BN289" s="57">
        <v>0</v>
      </c>
      <c r="BO289" s="57">
        <v>0</v>
      </c>
      <c r="BP289" s="57">
        <v>0</v>
      </c>
      <c r="BQ289" s="57">
        <v>0</v>
      </c>
      <c r="BR289" s="57">
        <v>0</v>
      </c>
      <c r="BS289" s="57">
        <v>0</v>
      </c>
      <c r="BT289" s="57">
        <v>0</v>
      </c>
      <c r="BU289" s="57">
        <v>0</v>
      </c>
      <c r="BV289" s="57">
        <v>0</v>
      </c>
      <c r="BW289" s="57">
        <v>0</v>
      </c>
      <c r="BX289" s="57">
        <v>0</v>
      </c>
      <c r="BY289" s="57">
        <v>0</v>
      </c>
      <c r="BZ289" s="57">
        <v>0</v>
      </c>
      <c r="CA289" s="57">
        <v>0</v>
      </c>
    </row>
    <row r="290" spans="1:79" x14ac:dyDescent="0.3">
      <c r="A290" s="19"/>
      <c r="B290" s="20" t="str">
        <f t="shared" si="87"/>
        <v>14490001</v>
      </c>
      <c r="C290" s="55">
        <v>4</v>
      </c>
      <c r="D290" s="55">
        <f t="shared" ref="D290:D292" si="99">IF(G290&lt;100, G290, G290-100)</f>
        <v>4</v>
      </c>
      <c r="E290" s="49">
        <v>1</v>
      </c>
      <c r="F290" s="57">
        <v>1</v>
      </c>
      <c r="G290" s="57">
        <v>104</v>
      </c>
      <c r="H290" s="57" t="str">
        <f t="shared" si="90"/>
        <v>Item_Name_14490001</v>
      </c>
      <c r="I290" s="57" t="s">
        <v>669</v>
      </c>
      <c r="J290" s="57">
        <v>10104001</v>
      </c>
      <c r="K290" s="57">
        <v>99</v>
      </c>
      <c r="L290" s="57">
        <v>0</v>
      </c>
      <c r="M290" s="57">
        <v>0</v>
      </c>
      <c r="N290" s="57">
        <v>15</v>
      </c>
      <c r="O290" s="57">
        <v>100</v>
      </c>
      <c r="P290" s="57">
        <v>1</v>
      </c>
      <c r="Q290" s="57" t="s">
        <v>672</v>
      </c>
      <c r="R290" s="57" t="s">
        <v>448</v>
      </c>
      <c r="S290" s="57" t="s">
        <v>813</v>
      </c>
      <c r="T290" s="57" t="s">
        <v>331</v>
      </c>
      <c r="U290" s="57">
        <v>0</v>
      </c>
      <c r="V290" s="57">
        <v>0</v>
      </c>
      <c r="W290" s="57">
        <v>73</v>
      </c>
      <c r="X290" s="57">
        <v>1</v>
      </c>
      <c r="Y290" s="57">
        <v>1202</v>
      </c>
      <c r="Z290" s="57">
        <v>1202</v>
      </c>
      <c r="AA290" s="57">
        <v>1206</v>
      </c>
      <c r="AB290" s="57">
        <v>1206</v>
      </c>
      <c r="AC290" s="57">
        <v>0</v>
      </c>
      <c r="AD290" s="57">
        <v>0</v>
      </c>
      <c r="AE290" s="58">
        <v>10401</v>
      </c>
      <c r="AF290" s="30">
        <v>0</v>
      </c>
      <c r="AG290" s="57">
        <v>0</v>
      </c>
      <c r="AH290" s="57">
        <v>0</v>
      </c>
      <c r="AI290" s="57">
        <v>0</v>
      </c>
      <c r="AJ290" s="57">
        <v>0</v>
      </c>
      <c r="AK290" s="57">
        <v>0</v>
      </c>
      <c r="AL290" s="57">
        <v>0</v>
      </c>
      <c r="AM290" s="57">
        <v>0</v>
      </c>
      <c r="AN290" s="57">
        <v>0</v>
      </c>
      <c r="AO290" s="57">
        <v>0</v>
      </c>
      <c r="AP290" s="57">
        <v>0</v>
      </c>
      <c r="AQ290" s="57">
        <v>0</v>
      </c>
      <c r="AR290" s="57">
        <v>0</v>
      </c>
      <c r="AS290" s="57">
        <v>0</v>
      </c>
      <c r="AT290" s="57">
        <v>0</v>
      </c>
      <c r="AU290" s="57">
        <v>0</v>
      </c>
      <c r="AV290" s="57">
        <v>0</v>
      </c>
      <c r="AW290" s="57">
        <v>0</v>
      </c>
      <c r="AX290" s="57">
        <v>0</v>
      </c>
      <c r="AY290" s="57">
        <v>0</v>
      </c>
      <c r="AZ290" s="57">
        <v>0</v>
      </c>
      <c r="BA290" s="57">
        <v>0</v>
      </c>
      <c r="BB290" s="57">
        <v>0</v>
      </c>
      <c r="BC290" s="57">
        <v>0</v>
      </c>
      <c r="BD290" s="57">
        <v>0</v>
      </c>
      <c r="BE290" s="57">
        <v>0</v>
      </c>
      <c r="BF290" s="57">
        <v>0</v>
      </c>
      <c r="BG290" s="57">
        <v>0</v>
      </c>
      <c r="BH290" s="57">
        <v>0</v>
      </c>
      <c r="BI290" s="57">
        <v>0</v>
      </c>
      <c r="BJ290" s="57">
        <v>0</v>
      </c>
      <c r="BK290" s="57">
        <v>0</v>
      </c>
      <c r="BL290" s="57">
        <v>0</v>
      </c>
      <c r="BM290" s="57">
        <v>0</v>
      </c>
      <c r="BN290" s="57">
        <v>0</v>
      </c>
      <c r="BO290" s="57">
        <v>0</v>
      </c>
      <c r="BP290" s="57">
        <v>0</v>
      </c>
      <c r="BQ290" s="57">
        <v>0</v>
      </c>
      <c r="BR290" s="57">
        <v>0</v>
      </c>
      <c r="BS290" s="57">
        <v>0</v>
      </c>
      <c r="BT290" s="57">
        <v>0</v>
      </c>
      <c r="BU290" s="57">
        <v>0</v>
      </c>
      <c r="BV290" s="57">
        <v>0</v>
      </c>
      <c r="BW290" s="57">
        <v>0</v>
      </c>
      <c r="BX290" s="57">
        <v>0</v>
      </c>
      <c r="BY290" s="57">
        <v>0</v>
      </c>
      <c r="BZ290" s="57">
        <v>0</v>
      </c>
      <c r="CA290" s="57">
        <v>0</v>
      </c>
    </row>
    <row r="291" spans="1:79" x14ac:dyDescent="0.3">
      <c r="A291" s="19"/>
      <c r="B291" s="20" t="str">
        <f t="shared" si="87"/>
        <v>14490002</v>
      </c>
      <c r="C291" s="55">
        <v>4</v>
      </c>
      <c r="D291" s="55">
        <f t="shared" si="99"/>
        <v>4</v>
      </c>
      <c r="E291" s="49">
        <v>2</v>
      </c>
      <c r="F291" s="57">
        <v>1</v>
      </c>
      <c r="G291" s="57">
        <v>104</v>
      </c>
      <c r="H291" s="57" t="str">
        <f t="shared" si="90"/>
        <v>Item_Name_14490002</v>
      </c>
      <c r="I291" s="57" t="s">
        <v>670</v>
      </c>
      <c r="J291" s="57">
        <v>10104001</v>
      </c>
      <c r="K291" s="57">
        <v>99</v>
      </c>
      <c r="L291" s="57">
        <v>0</v>
      </c>
      <c r="M291" s="57">
        <v>0</v>
      </c>
      <c r="N291" s="57">
        <v>15</v>
      </c>
      <c r="O291" s="57">
        <v>100</v>
      </c>
      <c r="P291" s="57">
        <v>1</v>
      </c>
      <c r="Q291" s="57" t="s">
        <v>673</v>
      </c>
      <c r="R291" s="57" t="s">
        <v>448</v>
      </c>
      <c r="S291" s="57" t="s">
        <v>813</v>
      </c>
      <c r="T291" s="57" t="s">
        <v>331</v>
      </c>
      <c r="U291" s="57">
        <v>0</v>
      </c>
      <c r="V291" s="57">
        <v>0</v>
      </c>
      <c r="W291" s="57">
        <v>73</v>
      </c>
      <c r="X291" s="57">
        <v>2</v>
      </c>
      <c r="Y291" s="57">
        <v>1202</v>
      </c>
      <c r="Z291" s="57">
        <v>1202</v>
      </c>
      <c r="AA291" s="57">
        <v>1206</v>
      </c>
      <c r="AB291" s="57">
        <v>1206</v>
      </c>
      <c r="AC291" s="57">
        <v>0</v>
      </c>
      <c r="AD291" s="57">
        <v>0</v>
      </c>
      <c r="AE291" s="58">
        <v>10402</v>
      </c>
      <c r="AF291" s="30">
        <v>0</v>
      </c>
      <c r="AG291" s="57">
        <v>0</v>
      </c>
      <c r="AH291" s="57">
        <v>0</v>
      </c>
      <c r="AI291" s="57">
        <v>0</v>
      </c>
      <c r="AJ291" s="57">
        <v>0</v>
      </c>
      <c r="AK291" s="57">
        <v>0</v>
      </c>
      <c r="AL291" s="57">
        <v>0</v>
      </c>
      <c r="AM291" s="57">
        <v>0</v>
      </c>
      <c r="AN291" s="57">
        <v>0</v>
      </c>
      <c r="AO291" s="57">
        <v>0</v>
      </c>
      <c r="AP291" s="57">
        <v>0</v>
      </c>
      <c r="AQ291" s="57">
        <v>0</v>
      </c>
      <c r="AR291" s="57">
        <v>0</v>
      </c>
      <c r="AS291" s="57">
        <v>0</v>
      </c>
      <c r="AT291" s="57">
        <v>0</v>
      </c>
      <c r="AU291" s="57">
        <v>0</v>
      </c>
      <c r="AV291" s="57">
        <v>0</v>
      </c>
      <c r="AW291" s="57">
        <v>0</v>
      </c>
      <c r="AX291" s="57">
        <v>0</v>
      </c>
      <c r="AY291" s="57">
        <v>0</v>
      </c>
      <c r="AZ291" s="57">
        <v>0</v>
      </c>
      <c r="BA291" s="57">
        <v>0</v>
      </c>
      <c r="BB291" s="57">
        <v>0</v>
      </c>
      <c r="BC291" s="57">
        <v>0</v>
      </c>
      <c r="BD291" s="57">
        <v>0</v>
      </c>
      <c r="BE291" s="57">
        <v>0</v>
      </c>
      <c r="BF291" s="57">
        <v>0</v>
      </c>
      <c r="BG291" s="57">
        <v>0</v>
      </c>
      <c r="BH291" s="57">
        <v>0</v>
      </c>
      <c r="BI291" s="57">
        <v>0</v>
      </c>
      <c r="BJ291" s="57">
        <v>0</v>
      </c>
      <c r="BK291" s="57">
        <v>0</v>
      </c>
      <c r="BL291" s="57">
        <v>0</v>
      </c>
      <c r="BM291" s="57">
        <v>0</v>
      </c>
      <c r="BN291" s="57">
        <v>0</v>
      </c>
      <c r="BO291" s="57">
        <v>0</v>
      </c>
      <c r="BP291" s="57">
        <v>0</v>
      </c>
      <c r="BQ291" s="57">
        <v>0</v>
      </c>
      <c r="BR291" s="57">
        <v>0</v>
      </c>
      <c r="BS291" s="57">
        <v>0</v>
      </c>
      <c r="BT291" s="57">
        <v>0</v>
      </c>
      <c r="BU291" s="57">
        <v>0</v>
      </c>
      <c r="BV291" s="57">
        <v>0</v>
      </c>
      <c r="BW291" s="57">
        <v>0</v>
      </c>
      <c r="BX291" s="57">
        <v>0</v>
      </c>
      <c r="BY291" s="57">
        <v>0</v>
      </c>
      <c r="BZ291" s="57">
        <v>0</v>
      </c>
      <c r="CA291" s="57">
        <v>0</v>
      </c>
    </row>
    <row r="292" spans="1:79" x14ac:dyDescent="0.3">
      <c r="A292" s="19"/>
      <c r="B292" s="20" t="str">
        <f t="shared" si="87"/>
        <v>14490003</v>
      </c>
      <c r="C292" s="55">
        <v>4</v>
      </c>
      <c r="D292" s="55">
        <f t="shared" si="99"/>
        <v>4</v>
      </c>
      <c r="E292" s="49">
        <v>3</v>
      </c>
      <c r="F292" s="57">
        <v>1</v>
      </c>
      <c r="G292" s="57">
        <v>104</v>
      </c>
      <c r="H292" s="57" t="str">
        <f t="shared" si="90"/>
        <v>Item_Name_14490003</v>
      </c>
      <c r="I292" s="57" t="s">
        <v>671</v>
      </c>
      <c r="J292" s="57">
        <v>10104001</v>
      </c>
      <c r="K292" s="57">
        <v>99</v>
      </c>
      <c r="L292" s="57">
        <v>0</v>
      </c>
      <c r="M292" s="57">
        <v>0</v>
      </c>
      <c r="N292" s="57">
        <v>15</v>
      </c>
      <c r="O292" s="57">
        <v>100</v>
      </c>
      <c r="P292" s="57">
        <v>1</v>
      </c>
      <c r="Q292" s="57" t="s">
        <v>674</v>
      </c>
      <c r="R292" s="57" t="s">
        <v>448</v>
      </c>
      <c r="S292" s="57" t="s">
        <v>813</v>
      </c>
      <c r="T292" s="57" t="s">
        <v>331</v>
      </c>
      <c r="U292" s="57">
        <v>0</v>
      </c>
      <c r="V292" s="57">
        <v>0</v>
      </c>
      <c r="W292" s="57">
        <v>73</v>
      </c>
      <c r="X292" s="57">
        <v>3</v>
      </c>
      <c r="Y292" s="57">
        <v>1202</v>
      </c>
      <c r="Z292" s="57">
        <v>1202</v>
      </c>
      <c r="AA292" s="57">
        <v>1206</v>
      </c>
      <c r="AB292" s="57">
        <v>1206</v>
      </c>
      <c r="AC292" s="57">
        <v>0</v>
      </c>
      <c r="AD292" s="57">
        <v>0</v>
      </c>
      <c r="AE292" s="58">
        <v>10403</v>
      </c>
      <c r="AF292" s="30">
        <v>0</v>
      </c>
      <c r="AG292" s="57">
        <v>0</v>
      </c>
      <c r="AH292" s="57">
        <v>0</v>
      </c>
      <c r="AI292" s="57">
        <v>0</v>
      </c>
      <c r="AJ292" s="57">
        <v>0</v>
      </c>
      <c r="AK292" s="57">
        <v>0</v>
      </c>
      <c r="AL292" s="57">
        <v>0</v>
      </c>
      <c r="AM292" s="57">
        <v>0</v>
      </c>
      <c r="AN292" s="57">
        <v>0</v>
      </c>
      <c r="AO292" s="57">
        <v>0</v>
      </c>
      <c r="AP292" s="57">
        <v>0</v>
      </c>
      <c r="AQ292" s="57">
        <v>0</v>
      </c>
      <c r="AR292" s="57">
        <v>0</v>
      </c>
      <c r="AS292" s="57">
        <v>0</v>
      </c>
      <c r="AT292" s="57">
        <v>0</v>
      </c>
      <c r="AU292" s="57">
        <v>0</v>
      </c>
      <c r="AV292" s="57">
        <v>0</v>
      </c>
      <c r="AW292" s="57">
        <v>0</v>
      </c>
      <c r="AX292" s="57">
        <v>0</v>
      </c>
      <c r="AY292" s="57">
        <v>0</v>
      </c>
      <c r="AZ292" s="57">
        <v>0</v>
      </c>
      <c r="BA292" s="57">
        <v>0</v>
      </c>
      <c r="BB292" s="57">
        <v>0</v>
      </c>
      <c r="BC292" s="57">
        <v>0</v>
      </c>
      <c r="BD292" s="57">
        <v>0</v>
      </c>
      <c r="BE292" s="57">
        <v>0</v>
      </c>
      <c r="BF292" s="57">
        <v>0</v>
      </c>
      <c r="BG292" s="57">
        <v>0</v>
      </c>
      <c r="BH292" s="57">
        <v>0</v>
      </c>
      <c r="BI292" s="57">
        <v>0</v>
      </c>
      <c r="BJ292" s="57">
        <v>0</v>
      </c>
      <c r="BK292" s="57">
        <v>0</v>
      </c>
      <c r="BL292" s="57">
        <v>0</v>
      </c>
      <c r="BM292" s="57">
        <v>0</v>
      </c>
      <c r="BN292" s="57">
        <v>0</v>
      </c>
      <c r="BO292" s="57">
        <v>0</v>
      </c>
      <c r="BP292" s="57">
        <v>0</v>
      </c>
      <c r="BQ292" s="57">
        <v>0</v>
      </c>
      <c r="BR292" s="57">
        <v>0</v>
      </c>
      <c r="BS292" s="57">
        <v>0</v>
      </c>
      <c r="BT292" s="57">
        <v>0</v>
      </c>
      <c r="BU292" s="57">
        <v>0</v>
      </c>
      <c r="BV292" s="57">
        <v>0</v>
      </c>
      <c r="BW292" s="57">
        <v>0</v>
      </c>
      <c r="BX292" s="57">
        <v>0</v>
      </c>
      <c r="BY292" s="57">
        <v>0</v>
      </c>
      <c r="BZ292" s="57">
        <v>0</v>
      </c>
      <c r="CA292" s="57">
        <v>0</v>
      </c>
    </row>
    <row r="293" spans="1:79" x14ac:dyDescent="0.3">
      <c r="A293" s="19"/>
      <c r="B293" s="20" t="str">
        <f t="shared" si="87"/>
        <v>11590001</v>
      </c>
      <c r="C293" s="55" t="str">
        <f t="shared" si="88"/>
        <v>1</v>
      </c>
      <c r="D293" s="55">
        <f t="shared" si="89"/>
        <v>5</v>
      </c>
      <c r="E293" s="49">
        <v>1</v>
      </c>
      <c r="F293" s="57">
        <v>1</v>
      </c>
      <c r="G293" s="57">
        <v>105</v>
      </c>
      <c r="H293" s="57" t="str">
        <f t="shared" si="90"/>
        <v>Item_Name_11590001</v>
      </c>
      <c r="I293" s="57" t="s">
        <v>459</v>
      </c>
      <c r="J293" s="57">
        <v>10101001</v>
      </c>
      <c r="K293" s="57">
        <v>99</v>
      </c>
      <c r="L293" s="57">
        <v>0</v>
      </c>
      <c r="M293" s="57">
        <v>0</v>
      </c>
      <c r="N293" s="57">
        <v>15</v>
      </c>
      <c r="O293" s="57">
        <v>100</v>
      </c>
      <c r="P293" s="57">
        <v>1</v>
      </c>
      <c r="Q293" s="57" t="s">
        <v>654</v>
      </c>
      <c r="R293" s="57" t="s">
        <v>448</v>
      </c>
      <c r="S293" s="57" t="s">
        <v>325</v>
      </c>
      <c r="T293" s="57" t="s">
        <v>400</v>
      </c>
      <c r="U293" s="57">
        <v>0</v>
      </c>
      <c r="V293" s="57">
        <v>0</v>
      </c>
      <c r="W293" s="57">
        <v>73</v>
      </c>
      <c r="X293" s="57">
        <v>1</v>
      </c>
      <c r="Y293" s="57">
        <v>1201</v>
      </c>
      <c r="Z293" s="57">
        <v>1201</v>
      </c>
      <c r="AA293" s="57">
        <v>1205</v>
      </c>
      <c r="AB293" s="57">
        <v>1205</v>
      </c>
      <c r="AC293" s="57">
        <v>0</v>
      </c>
      <c r="AD293" s="57">
        <v>0</v>
      </c>
      <c r="AE293" s="58">
        <v>10101</v>
      </c>
      <c r="AF293" s="30">
        <v>0</v>
      </c>
      <c r="AG293" s="57">
        <v>0</v>
      </c>
      <c r="AH293" s="57">
        <v>0</v>
      </c>
      <c r="AI293" s="57">
        <v>0</v>
      </c>
      <c r="AJ293" s="57">
        <v>0</v>
      </c>
      <c r="AK293" s="57">
        <v>0</v>
      </c>
      <c r="AL293" s="57">
        <v>0</v>
      </c>
      <c r="AM293" s="57">
        <v>0</v>
      </c>
      <c r="AN293" s="57">
        <v>0</v>
      </c>
      <c r="AO293" s="57">
        <v>0</v>
      </c>
      <c r="AP293" s="57">
        <v>0</v>
      </c>
      <c r="AQ293" s="57">
        <v>0</v>
      </c>
      <c r="AR293" s="57">
        <v>0</v>
      </c>
      <c r="AS293" s="57">
        <v>0</v>
      </c>
      <c r="AT293" s="57">
        <v>0</v>
      </c>
      <c r="AU293" s="57">
        <v>0</v>
      </c>
      <c r="AV293" s="57">
        <v>0</v>
      </c>
      <c r="AW293" s="57">
        <v>0</v>
      </c>
      <c r="AX293" s="57">
        <v>0</v>
      </c>
      <c r="AY293" s="57">
        <v>0</v>
      </c>
      <c r="AZ293" s="57">
        <v>0</v>
      </c>
      <c r="BA293" s="57">
        <v>0</v>
      </c>
      <c r="BB293" s="57">
        <v>0</v>
      </c>
      <c r="BC293" s="57">
        <v>0</v>
      </c>
      <c r="BD293" s="57">
        <v>0</v>
      </c>
      <c r="BE293" s="57">
        <v>0</v>
      </c>
      <c r="BF293" s="57">
        <v>0</v>
      </c>
      <c r="BG293" s="57">
        <v>0</v>
      </c>
      <c r="BH293" s="57">
        <v>0</v>
      </c>
      <c r="BI293" s="57">
        <v>0</v>
      </c>
      <c r="BJ293" s="57">
        <v>0</v>
      </c>
      <c r="BK293" s="57">
        <v>0</v>
      </c>
      <c r="BL293" s="57">
        <v>0</v>
      </c>
      <c r="BM293" s="57">
        <v>0</v>
      </c>
      <c r="BN293" s="57">
        <v>0</v>
      </c>
      <c r="BO293" s="57">
        <v>0</v>
      </c>
      <c r="BP293" s="57">
        <v>0</v>
      </c>
      <c r="BQ293" s="57">
        <v>0</v>
      </c>
      <c r="BR293" s="57">
        <v>0</v>
      </c>
      <c r="BS293" s="57">
        <v>0</v>
      </c>
      <c r="BT293" s="57">
        <v>0</v>
      </c>
      <c r="BU293" s="57">
        <v>0</v>
      </c>
      <c r="BV293" s="57">
        <v>0</v>
      </c>
      <c r="BW293" s="57">
        <v>0</v>
      </c>
      <c r="BX293" s="57">
        <v>0</v>
      </c>
      <c r="BY293" s="57">
        <v>0</v>
      </c>
      <c r="BZ293" s="57">
        <v>0</v>
      </c>
      <c r="CA293" s="57">
        <v>0</v>
      </c>
    </row>
    <row r="294" spans="1:79" x14ac:dyDescent="0.3">
      <c r="A294" s="19"/>
      <c r="B294" s="20" t="str">
        <f t="shared" si="87"/>
        <v>11590002</v>
      </c>
      <c r="C294" s="55" t="str">
        <f t="shared" ref="C294:C295" si="100">IF(J294&gt;0,MID(J294,5, 1), 0)</f>
        <v>1</v>
      </c>
      <c r="D294" s="55">
        <f t="shared" ref="D294:D295" si="101">IF(G294&lt;100, G294, G294-100)</f>
        <v>5</v>
      </c>
      <c r="E294" s="49">
        <v>2</v>
      </c>
      <c r="F294" s="57">
        <v>1</v>
      </c>
      <c r="G294" s="57">
        <v>105</v>
      </c>
      <c r="H294" s="57" t="str">
        <f t="shared" si="90"/>
        <v>Item_Name_11590002</v>
      </c>
      <c r="I294" s="57" t="s">
        <v>608</v>
      </c>
      <c r="J294" s="57">
        <v>10101001</v>
      </c>
      <c r="K294" s="57">
        <v>99</v>
      </c>
      <c r="L294" s="57">
        <v>0</v>
      </c>
      <c r="M294" s="57">
        <v>0</v>
      </c>
      <c r="N294" s="57">
        <v>15</v>
      </c>
      <c r="O294" s="57">
        <v>100</v>
      </c>
      <c r="P294" s="57">
        <v>1</v>
      </c>
      <c r="Q294" s="57" t="s">
        <v>655</v>
      </c>
      <c r="R294" s="57" t="s">
        <v>448</v>
      </c>
      <c r="S294" s="57" t="s">
        <v>325</v>
      </c>
      <c r="T294" s="57" t="s">
        <v>400</v>
      </c>
      <c r="U294" s="57">
        <v>0</v>
      </c>
      <c r="V294" s="57">
        <v>0</v>
      </c>
      <c r="W294" s="57">
        <v>73</v>
      </c>
      <c r="X294" s="57">
        <v>2</v>
      </c>
      <c r="Y294" s="57">
        <v>1201</v>
      </c>
      <c r="Z294" s="57">
        <v>1201</v>
      </c>
      <c r="AA294" s="57">
        <v>1205</v>
      </c>
      <c r="AB294" s="57">
        <v>1205</v>
      </c>
      <c r="AC294" s="57">
        <v>0</v>
      </c>
      <c r="AD294" s="57">
        <v>0</v>
      </c>
      <c r="AE294" s="58">
        <v>10102</v>
      </c>
      <c r="AF294" s="30">
        <v>0</v>
      </c>
      <c r="AG294" s="57">
        <v>0</v>
      </c>
      <c r="AH294" s="57">
        <v>0</v>
      </c>
      <c r="AI294" s="57">
        <v>0</v>
      </c>
      <c r="AJ294" s="57">
        <v>0</v>
      </c>
      <c r="AK294" s="57">
        <v>0</v>
      </c>
      <c r="AL294" s="57">
        <v>0</v>
      </c>
      <c r="AM294" s="57">
        <v>0</v>
      </c>
      <c r="AN294" s="57">
        <v>0</v>
      </c>
      <c r="AO294" s="57">
        <v>0</v>
      </c>
      <c r="AP294" s="57">
        <v>0</v>
      </c>
      <c r="AQ294" s="57">
        <v>0</v>
      </c>
      <c r="AR294" s="57">
        <v>0</v>
      </c>
      <c r="AS294" s="57">
        <v>0</v>
      </c>
      <c r="AT294" s="57">
        <v>0</v>
      </c>
      <c r="AU294" s="57">
        <v>0</v>
      </c>
      <c r="AV294" s="57">
        <v>0</v>
      </c>
      <c r="AW294" s="57">
        <v>0</v>
      </c>
      <c r="AX294" s="57">
        <v>0</v>
      </c>
      <c r="AY294" s="57">
        <v>0</v>
      </c>
      <c r="AZ294" s="57">
        <v>0</v>
      </c>
      <c r="BA294" s="57">
        <v>0</v>
      </c>
      <c r="BB294" s="57">
        <v>0</v>
      </c>
      <c r="BC294" s="57">
        <v>0</v>
      </c>
      <c r="BD294" s="57">
        <v>0</v>
      </c>
      <c r="BE294" s="57">
        <v>0</v>
      </c>
      <c r="BF294" s="57">
        <v>0</v>
      </c>
      <c r="BG294" s="57">
        <v>0</v>
      </c>
      <c r="BH294" s="57">
        <v>0</v>
      </c>
      <c r="BI294" s="57">
        <v>0</v>
      </c>
      <c r="BJ294" s="57">
        <v>0</v>
      </c>
      <c r="BK294" s="57">
        <v>0</v>
      </c>
      <c r="BL294" s="57">
        <v>0</v>
      </c>
      <c r="BM294" s="57">
        <v>0</v>
      </c>
      <c r="BN294" s="57">
        <v>0</v>
      </c>
      <c r="BO294" s="57">
        <v>0</v>
      </c>
      <c r="BP294" s="57">
        <v>0</v>
      </c>
      <c r="BQ294" s="57">
        <v>0</v>
      </c>
      <c r="BR294" s="57">
        <v>0</v>
      </c>
      <c r="BS294" s="57">
        <v>0</v>
      </c>
      <c r="BT294" s="57">
        <v>0</v>
      </c>
      <c r="BU294" s="57">
        <v>0</v>
      </c>
      <c r="BV294" s="57">
        <v>0</v>
      </c>
      <c r="BW294" s="57">
        <v>0</v>
      </c>
      <c r="BX294" s="57">
        <v>0</v>
      </c>
      <c r="BY294" s="57">
        <v>0</v>
      </c>
      <c r="BZ294" s="57">
        <v>0</v>
      </c>
      <c r="CA294" s="57">
        <v>0</v>
      </c>
    </row>
    <row r="295" spans="1:79" x14ac:dyDescent="0.3">
      <c r="A295" s="19"/>
      <c r="B295" s="20" t="str">
        <f t="shared" si="87"/>
        <v>11590003</v>
      </c>
      <c r="C295" s="55" t="str">
        <f t="shared" si="100"/>
        <v>1</v>
      </c>
      <c r="D295" s="55">
        <f t="shared" si="101"/>
        <v>5</v>
      </c>
      <c r="E295" s="49">
        <v>3</v>
      </c>
      <c r="F295" s="57">
        <v>1</v>
      </c>
      <c r="G295" s="57">
        <v>105</v>
      </c>
      <c r="H295" s="57" t="str">
        <f t="shared" si="90"/>
        <v>Item_Name_11590003</v>
      </c>
      <c r="I295" s="57" t="s">
        <v>609</v>
      </c>
      <c r="J295" s="57">
        <v>10101001</v>
      </c>
      <c r="K295" s="57">
        <v>99</v>
      </c>
      <c r="L295" s="57">
        <v>0</v>
      </c>
      <c r="M295" s="57">
        <v>0</v>
      </c>
      <c r="N295" s="57">
        <v>15</v>
      </c>
      <c r="O295" s="57">
        <v>100</v>
      </c>
      <c r="P295" s="57">
        <v>1</v>
      </c>
      <c r="Q295" s="57" t="s">
        <v>656</v>
      </c>
      <c r="R295" s="57" t="s">
        <v>448</v>
      </c>
      <c r="S295" s="57" t="s">
        <v>325</v>
      </c>
      <c r="T295" s="57" t="s">
        <v>400</v>
      </c>
      <c r="U295" s="57">
        <v>0</v>
      </c>
      <c r="V295" s="57">
        <v>0</v>
      </c>
      <c r="W295" s="57">
        <v>73</v>
      </c>
      <c r="X295" s="57">
        <v>3</v>
      </c>
      <c r="Y295" s="57">
        <v>1201</v>
      </c>
      <c r="Z295" s="57">
        <v>1201</v>
      </c>
      <c r="AA295" s="57">
        <v>1205</v>
      </c>
      <c r="AB295" s="57">
        <v>1205</v>
      </c>
      <c r="AC295" s="57">
        <v>0</v>
      </c>
      <c r="AD295" s="57">
        <v>0</v>
      </c>
      <c r="AE295" s="58">
        <v>10103</v>
      </c>
      <c r="AF295" s="30">
        <v>0</v>
      </c>
      <c r="AG295" s="57">
        <v>0</v>
      </c>
      <c r="AH295" s="57">
        <v>0</v>
      </c>
      <c r="AI295" s="57">
        <v>0</v>
      </c>
      <c r="AJ295" s="57">
        <v>0</v>
      </c>
      <c r="AK295" s="57">
        <v>0</v>
      </c>
      <c r="AL295" s="57">
        <v>0</v>
      </c>
      <c r="AM295" s="57">
        <v>0</v>
      </c>
      <c r="AN295" s="57">
        <v>0</v>
      </c>
      <c r="AO295" s="57">
        <v>0</v>
      </c>
      <c r="AP295" s="57">
        <v>0</v>
      </c>
      <c r="AQ295" s="57">
        <v>0</v>
      </c>
      <c r="AR295" s="57">
        <v>0</v>
      </c>
      <c r="AS295" s="57">
        <v>0</v>
      </c>
      <c r="AT295" s="57">
        <v>0</v>
      </c>
      <c r="AU295" s="57">
        <v>0</v>
      </c>
      <c r="AV295" s="57">
        <v>0</v>
      </c>
      <c r="AW295" s="57">
        <v>0</v>
      </c>
      <c r="AX295" s="57">
        <v>0</v>
      </c>
      <c r="AY295" s="57">
        <v>0</v>
      </c>
      <c r="AZ295" s="57">
        <v>0</v>
      </c>
      <c r="BA295" s="57">
        <v>0</v>
      </c>
      <c r="BB295" s="57">
        <v>0</v>
      </c>
      <c r="BC295" s="57">
        <v>0</v>
      </c>
      <c r="BD295" s="57">
        <v>0</v>
      </c>
      <c r="BE295" s="57">
        <v>0</v>
      </c>
      <c r="BF295" s="57">
        <v>0</v>
      </c>
      <c r="BG295" s="57">
        <v>0</v>
      </c>
      <c r="BH295" s="57">
        <v>0</v>
      </c>
      <c r="BI295" s="57">
        <v>0</v>
      </c>
      <c r="BJ295" s="57">
        <v>0</v>
      </c>
      <c r="BK295" s="57">
        <v>0</v>
      </c>
      <c r="BL295" s="57">
        <v>0</v>
      </c>
      <c r="BM295" s="57">
        <v>0</v>
      </c>
      <c r="BN295" s="57">
        <v>0</v>
      </c>
      <c r="BO295" s="57">
        <v>0</v>
      </c>
      <c r="BP295" s="57">
        <v>0</v>
      </c>
      <c r="BQ295" s="57">
        <v>0</v>
      </c>
      <c r="BR295" s="57">
        <v>0</v>
      </c>
      <c r="BS295" s="57">
        <v>0</v>
      </c>
      <c r="BT295" s="57">
        <v>0</v>
      </c>
      <c r="BU295" s="57">
        <v>0</v>
      </c>
      <c r="BV295" s="57">
        <v>0</v>
      </c>
      <c r="BW295" s="57">
        <v>0</v>
      </c>
      <c r="BX295" s="57">
        <v>0</v>
      </c>
      <c r="BY295" s="57">
        <v>0</v>
      </c>
      <c r="BZ295" s="57">
        <v>0</v>
      </c>
      <c r="CA295" s="57">
        <v>0</v>
      </c>
    </row>
    <row r="296" spans="1:79" x14ac:dyDescent="0.3">
      <c r="A296" s="19"/>
      <c r="B296" s="20" t="str">
        <f t="shared" si="87"/>
        <v>12590001</v>
      </c>
      <c r="C296" s="55" t="str">
        <f t="shared" si="88"/>
        <v>2</v>
      </c>
      <c r="D296" s="55">
        <f t="shared" si="89"/>
        <v>5</v>
      </c>
      <c r="E296" s="49">
        <v>1</v>
      </c>
      <c r="F296" s="20">
        <v>1</v>
      </c>
      <c r="G296" s="20">
        <v>105</v>
      </c>
      <c r="H296" s="20" t="str">
        <f t="shared" si="90"/>
        <v>Item_Name_12590001</v>
      </c>
      <c r="I296" s="20" t="s">
        <v>610</v>
      </c>
      <c r="J296" s="20">
        <v>10102001</v>
      </c>
      <c r="K296" s="20">
        <v>99</v>
      </c>
      <c r="L296" s="20">
        <v>0</v>
      </c>
      <c r="M296" s="20">
        <v>0</v>
      </c>
      <c r="N296" s="20">
        <v>15</v>
      </c>
      <c r="O296" s="20">
        <v>100</v>
      </c>
      <c r="P296" s="20">
        <v>1</v>
      </c>
      <c r="Q296" s="20" t="s">
        <v>460</v>
      </c>
      <c r="R296" s="20" t="s">
        <v>448</v>
      </c>
      <c r="S296" s="20" t="s">
        <v>325</v>
      </c>
      <c r="T296" s="20" t="s">
        <v>400</v>
      </c>
      <c r="U296" s="20">
        <v>0</v>
      </c>
      <c r="V296" s="20">
        <v>0</v>
      </c>
      <c r="W296" s="20">
        <v>73</v>
      </c>
      <c r="X296" s="20">
        <v>1</v>
      </c>
      <c r="Y296" s="20">
        <v>1203</v>
      </c>
      <c r="Z296" s="20">
        <v>1203</v>
      </c>
      <c r="AA296" s="20">
        <v>1205</v>
      </c>
      <c r="AB296" s="20">
        <v>1205</v>
      </c>
      <c r="AC296" s="20">
        <v>0</v>
      </c>
      <c r="AD296" s="20">
        <v>0</v>
      </c>
      <c r="AE296" s="39">
        <v>10201</v>
      </c>
      <c r="AF296" s="31">
        <v>0</v>
      </c>
      <c r="AG296" s="20">
        <v>0</v>
      </c>
      <c r="AH296" s="20">
        <v>0</v>
      </c>
      <c r="AI296" s="20">
        <v>0</v>
      </c>
      <c r="AJ296" s="20">
        <v>0</v>
      </c>
      <c r="AK296" s="20">
        <v>0</v>
      </c>
      <c r="AL296" s="20">
        <v>0</v>
      </c>
      <c r="AM296" s="20">
        <v>0</v>
      </c>
      <c r="AN296" s="20">
        <v>0</v>
      </c>
      <c r="AO296" s="20">
        <v>0</v>
      </c>
      <c r="AP296" s="20">
        <v>0</v>
      </c>
      <c r="AQ296" s="20">
        <v>0</v>
      </c>
      <c r="AR296" s="20">
        <v>0</v>
      </c>
      <c r="AS296" s="20">
        <v>0</v>
      </c>
      <c r="AT296" s="20">
        <v>0</v>
      </c>
      <c r="AU296" s="20">
        <v>0</v>
      </c>
      <c r="AV296" s="20">
        <v>0</v>
      </c>
      <c r="AW296" s="20">
        <v>0</v>
      </c>
      <c r="AX296" s="20">
        <v>0</v>
      </c>
      <c r="AY296" s="20">
        <v>0</v>
      </c>
      <c r="AZ296" s="20">
        <v>0</v>
      </c>
      <c r="BA296" s="20">
        <v>0</v>
      </c>
      <c r="BB296" s="20">
        <v>0</v>
      </c>
      <c r="BC296" s="20">
        <v>0</v>
      </c>
      <c r="BD296" s="20">
        <v>0</v>
      </c>
      <c r="BE296" s="20">
        <v>0</v>
      </c>
      <c r="BF296" s="20">
        <v>0</v>
      </c>
      <c r="BG296" s="20">
        <v>0</v>
      </c>
      <c r="BH296" s="20">
        <v>0</v>
      </c>
      <c r="BI296" s="20">
        <v>0</v>
      </c>
      <c r="BJ296" s="20">
        <v>0</v>
      </c>
      <c r="BK296" s="20">
        <v>0</v>
      </c>
      <c r="BL296" s="20">
        <v>0</v>
      </c>
      <c r="BM296" s="20">
        <v>0</v>
      </c>
      <c r="BN296" s="20">
        <v>0</v>
      </c>
      <c r="BO296" s="20">
        <v>0</v>
      </c>
      <c r="BP296" s="20">
        <v>0</v>
      </c>
      <c r="BQ296" s="20">
        <v>0</v>
      </c>
      <c r="BR296" s="20">
        <v>0</v>
      </c>
      <c r="BS296" s="20">
        <v>0</v>
      </c>
      <c r="BT296" s="20">
        <v>0</v>
      </c>
      <c r="BU296" s="20">
        <v>0</v>
      </c>
      <c r="BV296" s="20">
        <v>0</v>
      </c>
      <c r="BW296" s="20">
        <v>0</v>
      </c>
      <c r="BX296" s="20">
        <v>0</v>
      </c>
      <c r="BY296" s="20">
        <v>0</v>
      </c>
      <c r="BZ296" s="20">
        <v>0</v>
      </c>
      <c r="CA296" s="20">
        <v>0</v>
      </c>
    </row>
    <row r="297" spans="1:79" x14ac:dyDescent="0.3">
      <c r="A297" s="19"/>
      <c r="B297" s="20" t="str">
        <f t="shared" si="87"/>
        <v>12590002</v>
      </c>
      <c r="C297" s="55" t="str">
        <f t="shared" si="88"/>
        <v>2</v>
      </c>
      <c r="D297" s="55">
        <f t="shared" si="89"/>
        <v>5</v>
      </c>
      <c r="E297" s="49">
        <v>2</v>
      </c>
      <c r="F297" s="20">
        <v>1</v>
      </c>
      <c r="G297" s="20">
        <v>105</v>
      </c>
      <c r="H297" s="20" t="str">
        <f t="shared" si="90"/>
        <v>Item_Name_12590002</v>
      </c>
      <c r="I297" s="20" t="s">
        <v>611</v>
      </c>
      <c r="J297" s="20">
        <v>10102001</v>
      </c>
      <c r="K297" s="20">
        <v>99</v>
      </c>
      <c r="L297" s="20">
        <v>0</v>
      </c>
      <c r="M297" s="20">
        <v>0</v>
      </c>
      <c r="N297" s="20">
        <v>15</v>
      </c>
      <c r="O297" s="20">
        <v>100</v>
      </c>
      <c r="P297" s="20">
        <v>1</v>
      </c>
      <c r="Q297" s="20" t="s">
        <v>461</v>
      </c>
      <c r="R297" s="20" t="s">
        <v>448</v>
      </c>
      <c r="S297" s="20" t="s">
        <v>325</v>
      </c>
      <c r="T297" s="20" t="s">
        <v>400</v>
      </c>
      <c r="U297" s="20">
        <v>0</v>
      </c>
      <c r="V297" s="20">
        <v>0</v>
      </c>
      <c r="W297" s="20">
        <v>73</v>
      </c>
      <c r="X297" s="20">
        <v>2</v>
      </c>
      <c r="Y297" s="20">
        <v>1203</v>
      </c>
      <c r="Z297" s="20">
        <v>1203</v>
      </c>
      <c r="AA297" s="20">
        <v>1205</v>
      </c>
      <c r="AB297" s="20">
        <v>1205</v>
      </c>
      <c r="AC297" s="20">
        <v>0</v>
      </c>
      <c r="AD297" s="20">
        <v>0</v>
      </c>
      <c r="AE297" s="39">
        <v>10202</v>
      </c>
      <c r="AF297" s="31">
        <v>0</v>
      </c>
      <c r="AG297" s="20">
        <v>0</v>
      </c>
      <c r="AH297" s="20">
        <v>0</v>
      </c>
      <c r="AI297" s="20">
        <v>0</v>
      </c>
      <c r="AJ297" s="20">
        <v>0</v>
      </c>
      <c r="AK297" s="20">
        <v>0</v>
      </c>
      <c r="AL297" s="20">
        <v>0</v>
      </c>
      <c r="AM297" s="20">
        <v>0</v>
      </c>
      <c r="AN297" s="20">
        <v>0</v>
      </c>
      <c r="AO297" s="20">
        <v>0</v>
      </c>
      <c r="AP297" s="20">
        <v>0</v>
      </c>
      <c r="AQ297" s="20">
        <v>0</v>
      </c>
      <c r="AR297" s="20">
        <v>0</v>
      </c>
      <c r="AS297" s="20">
        <v>0</v>
      </c>
      <c r="AT297" s="20">
        <v>0</v>
      </c>
      <c r="AU297" s="20">
        <v>0</v>
      </c>
      <c r="AV297" s="20">
        <v>0</v>
      </c>
      <c r="AW297" s="20">
        <v>0</v>
      </c>
      <c r="AX297" s="20">
        <v>0</v>
      </c>
      <c r="AY297" s="20">
        <v>0</v>
      </c>
      <c r="AZ297" s="20">
        <v>0</v>
      </c>
      <c r="BA297" s="20">
        <v>0</v>
      </c>
      <c r="BB297" s="20">
        <v>0</v>
      </c>
      <c r="BC297" s="20">
        <v>0</v>
      </c>
      <c r="BD297" s="20">
        <v>0</v>
      </c>
      <c r="BE297" s="20">
        <v>0</v>
      </c>
      <c r="BF297" s="20">
        <v>0</v>
      </c>
      <c r="BG297" s="20">
        <v>0</v>
      </c>
      <c r="BH297" s="20">
        <v>0</v>
      </c>
      <c r="BI297" s="20">
        <v>0</v>
      </c>
      <c r="BJ297" s="20">
        <v>0</v>
      </c>
      <c r="BK297" s="20">
        <v>0</v>
      </c>
      <c r="BL297" s="20">
        <v>0</v>
      </c>
      <c r="BM297" s="20">
        <v>0</v>
      </c>
      <c r="BN297" s="20">
        <v>0</v>
      </c>
      <c r="BO297" s="20">
        <v>0</v>
      </c>
      <c r="BP297" s="20">
        <v>0</v>
      </c>
      <c r="BQ297" s="20">
        <v>0</v>
      </c>
      <c r="BR297" s="20">
        <v>0</v>
      </c>
      <c r="BS297" s="20">
        <v>0</v>
      </c>
      <c r="BT297" s="20">
        <v>0</v>
      </c>
      <c r="BU297" s="20">
        <v>0</v>
      </c>
      <c r="BV297" s="20">
        <v>0</v>
      </c>
      <c r="BW297" s="20">
        <v>0</v>
      </c>
      <c r="BX297" s="20">
        <v>0</v>
      </c>
      <c r="BY297" s="20">
        <v>0</v>
      </c>
      <c r="BZ297" s="20">
        <v>0</v>
      </c>
      <c r="CA297" s="20">
        <v>0</v>
      </c>
    </row>
    <row r="298" spans="1:79" x14ac:dyDescent="0.3">
      <c r="A298" s="19"/>
      <c r="B298" s="20" t="str">
        <f t="shared" si="87"/>
        <v>12590003</v>
      </c>
      <c r="C298" s="55" t="str">
        <f t="shared" si="88"/>
        <v>2</v>
      </c>
      <c r="D298" s="55">
        <f t="shared" si="89"/>
        <v>5</v>
      </c>
      <c r="E298" s="49">
        <v>3</v>
      </c>
      <c r="F298" s="20">
        <v>1</v>
      </c>
      <c r="G298" s="20">
        <v>105</v>
      </c>
      <c r="H298" s="20" t="str">
        <f t="shared" si="90"/>
        <v>Item_Name_12590003</v>
      </c>
      <c r="I298" s="20" t="s">
        <v>612</v>
      </c>
      <c r="J298" s="20">
        <v>10102001</v>
      </c>
      <c r="K298" s="20">
        <v>99</v>
      </c>
      <c r="L298" s="20">
        <v>0</v>
      </c>
      <c r="M298" s="20">
        <v>0</v>
      </c>
      <c r="N298" s="20">
        <v>15</v>
      </c>
      <c r="O298" s="20">
        <v>100</v>
      </c>
      <c r="P298" s="20">
        <v>1</v>
      </c>
      <c r="Q298" s="20" t="s">
        <v>231</v>
      </c>
      <c r="R298" s="20" t="s">
        <v>448</v>
      </c>
      <c r="S298" s="20" t="s">
        <v>325</v>
      </c>
      <c r="T298" s="20" t="s">
        <v>400</v>
      </c>
      <c r="U298" s="20">
        <v>0</v>
      </c>
      <c r="V298" s="20">
        <v>0</v>
      </c>
      <c r="W298" s="20">
        <v>73</v>
      </c>
      <c r="X298" s="20">
        <v>3</v>
      </c>
      <c r="Y298" s="20">
        <v>1203</v>
      </c>
      <c r="Z298" s="20">
        <v>1203</v>
      </c>
      <c r="AA298" s="20">
        <v>1205</v>
      </c>
      <c r="AB298" s="20">
        <v>1205</v>
      </c>
      <c r="AC298" s="20">
        <v>0</v>
      </c>
      <c r="AD298" s="20">
        <v>0</v>
      </c>
      <c r="AE298" s="39">
        <v>10203</v>
      </c>
      <c r="AF298" s="31">
        <v>0</v>
      </c>
      <c r="AG298" s="20">
        <v>0</v>
      </c>
      <c r="AH298" s="20">
        <v>0</v>
      </c>
      <c r="AI298" s="20">
        <v>0</v>
      </c>
      <c r="AJ298" s="20">
        <v>0</v>
      </c>
      <c r="AK298" s="20">
        <v>0</v>
      </c>
      <c r="AL298" s="20">
        <v>0</v>
      </c>
      <c r="AM298" s="20">
        <v>0</v>
      </c>
      <c r="AN298" s="20">
        <v>0</v>
      </c>
      <c r="AO298" s="20">
        <v>0</v>
      </c>
      <c r="AP298" s="20">
        <v>0</v>
      </c>
      <c r="AQ298" s="20">
        <v>0</v>
      </c>
      <c r="AR298" s="20">
        <v>0</v>
      </c>
      <c r="AS298" s="20">
        <v>0</v>
      </c>
      <c r="AT298" s="20">
        <v>0</v>
      </c>
      <c r="AU298" s="20">
        <v>0</v>
      </c>
      <c r="AV298" s="20">
        <v>0</v>
      </c>
      <c r="AW298" s="20">
        <v>0</v>
      </c>
      <c r="AX298" s="20">
        <v>0</v>
      </c>
      <c r="AY298" s="20">
        <v>0</v>
      </c>
      <c r="AZ298" s="20">
        <v>0</v>
      </c>
      <c r="BA298" s="20">
        <v>0</v>
      </c>
      <c r="BB298" s="20">
        <v>0</v>
      </c>
      <c r="BC298" s="20">
        <v>0</v>
      </c>
      <c r="BD298" s="20">
        <v>0</v>
      </c>
      <c r="BE298" s="20">
        <v>0</v>
      </c>
      <c r="BF298" s="20">
        <v>0</v>
      </c>
      <c r="BG298" s="20">
        <v>0</v>
      </c>
      <c r="BH298" s="20">
        <v>0</v>
      </c>
      <c r="BI298" s="20">
        <v>0</v>
      </c>
      <c r="BJ298" s="20">
        <v>0</v>
      </c>
      <c r="BK298" s="20">
        <v>0</v>
      </c>
      <c r="BL298" s="20">
        <v>0</v>
      </c>
      <c r="BM298" s="20">
        <v>0</v>
      </c>
      <c r="BN298" s="20">
        <v>0</v>
      </c>
      <c r="BO298" s="20">
        <v>0</v>
      </c>
      <c r="BP298" s="20">
        <v>0</v>
      </c>
      <c r="BQ298" s="20">
        <v>0</v>
      </c>
      <c r="BR298" s="20">
        <v>0</v>
      </c>
      <c r="BS298" s="20">
        <v>0</v>
      </c>
      <c r="BT298" s="20">
        <v>0</v>
      </c>
      <c r="BU298" s="20">
        <v>0</v>
      </c>
      <c r="BV298" s="20">
        <v>0</v>
      </c>
      <c r="BW298" s="20">
        <v>0</v>
      </c>
      <c r="BX298" s="20">
        <v>0</v>
      </c>
      <c r="BY298" s="20">
        <v>0</v>
      </c>
      <c r="BZ298" s="20">
        <v>0</v>
      </c>
      <c r="CA298" s="20">
        <v>0</v>
      </c>
    </row>
    <row r="299" spans="1:79" x14ac:dyDescent="0.3">
      <c r="A299" s="19"/>
      <c r="B299" s="20" t="str">
        <f t="shared" si="87"/>
        <v>13590001</v>
      </c>
      <c r="C299" s="55">
        <v>3</v>
      </c>
      <c r="D299" s="55">
        <f t="shared" si="89"/>
        <v>5</v>
      </c>
      <c r="E299" s="49">
        <v>1</v>
      </c>
      <c r="F299" s="57">
        <v>1</v>
      </c>
      <c r="G299" s="57">
        <v>105</v>
      </c>
      <c r="H299" s="57" t="str">
        <f t="shared" si="90"/>
        <v>Item_Name_13590001</v>
      </c>
      <c r="I299" s="57" t="s">
        <v>814</v>
      </c>
      <c r="J299" s="57">
        <v>10103001</v>
      </c>
      <c r="K299" s="57">
        <v>99</v>
      </c>
      <c r="L299" s="57">
        <v>0</v>
      </c>
      <c r="M299" s="57">
        <v>0</v>
      </c>
      <c r="N299" s="57">
        <v>15</v>
      </c>
      <c r="O299" s="57">
        <v>100</v>
      </c>
      <c r="P299" s="57">
        <v>1</v>
      </c>
      <c r="Q299" s="57" t="s">
        <v>809</v>
      </c>
      <c r="R299" s="57" t="s">
        <v>448</v>
      </c>
      <c r="S299" s="57" t="s">
        <v>325</v>
      </c>
      <c r="T299" s="57" t="s">
        <v>400</v>
      </c>
      <c r="U299" s="57">
        <v>0</v>
      </c>
      <c r="V299" s="57">
        <v>0</v>
      </c>
      <c r="W299" s="57">
        <v>73</v>
      </c>
      <c r="X299" s="57">
        <v>1</v>
      </c>
      <c r="Y299" s="57">
        <v>1202</v>
      </c>
      <c r="Z299" s="57">
        <v>1202</v>
      </c>
      <c r="AA299" s="57">
        <v>1206</v>
      </c>
      <c r="AB299" s="57">
        <v>1206</v>
      </c>
      <c r="AC299" s="57">
        <v>0</v>
      </c>
      <c r="AD299" s="57">
        <v>0</v>
      </c>
      <c r="AE299" s="58">
        <v>10301</v>
      </c>
      <c r="AF299" s="30">
        <v>0</v>
      </c>
      <c r="AG299" s="57">
        <v>0</v>
      </c>
      <c r="AH299" s="57">
        <v>0</v>
      </c>
      <c r="AI299" s="57">
        <v>0</v>
      </c>
      <c r="AJ299" s="57">
        <v>0</v>
      </c>
      <c r="AK299" s="57">
        <v>0</v>
      </c>
      <c r="AL299" s="57">
        <v>0</v>
      </c>
      <c r="AM299" s="57">
        <v>0</v>
      </c>
      <c r="AN299" s="57">
        <v>0</v>
      </c>
      <c r="AO299" s="57">
        <v>0</v>
      </c>
      <c r="AP299" s="57">
        <v>0</v>
      </c>
      <c r="AQ299" s="57">
        <v>0</v>
      </c>
      <c r="AR299" s="57">
        <v>0</v>
      </c>
      <c r="AS299" s="57">
        <v>0</v>
      </c>
      <c r="AT299" s="57">
        <v>0</v>
      </c>
      <c r="AU299" s="57">
        <v>0</v>
      </c>
      <c r="AV299" s="57">
        <v>0</v>
      </c>
      <c r="AW299" s="57">
        <v>0</v>
      </c>
      <c r="AX299" s="57">
        <v>0</v>
      </c>
      <c r="AY299" s="57">
        <v>0</v>
      </c>
      <c r="AZ299" s="57">
        <v>0</v>
      </c>
      <c r="BA299" s="57">
        <v>0</v>
      </c>
      <c r="BB299" s="57">
        <v>0</v>
      </c>
      <c r="BC299" s="57">
        <v>0</v>
      </c>
      <c r="BD299" s="57">
        <v>0</v>
      </c>
      <c r="BE299" s="57">
        <v>0</v>
      </c>
      <c r="BF299" s="57">
        <v>0</v>
      </c>
      <c r="BG299" s="57">
        <v>0</v>
      </c>
      <c r="BH299" s="57">
        <v>0</v>
      </c>
      <c r="BI299" s="57">
        <v>0</v>
      </c>
      <c r="BJ299" s="57">
        <v>0</v>
      </c>
      <c r="BK299" s="57">
        <v>0</v>
      </c>
      <c r="BL299" s="57">
        <v>0</v>
      </c>
      <c r="BM299" s="57">
        <v>0</v>
      </c>
      <c r="BN299" s="57">
        <v>0</v>
      </c>
      <c r="BO299" s="57">
        <v>0</v>
      </c>
      <c r="BP299" s="57">
        <v>0</v>
      </c>
      <c r="BQ299" s="57">
        <v>0</v>
      </c>
      <c r="BR299" s="57">
        <v>0</v>
      </c>
      <c r="BS299" s="57">
        <v>0</v>
      </c>
      <c r="BT299" s="57">
        <v>0</v>
      </c>
      <c r="BU299" s="57">
        <v>0</v>
      </c>
      <c r="BV299" s="57">
        <v>0</v>
      </c>
      <c r="BW299" s="57">
        <v>0</v>
      </c>
      <c r="BX299" s="57">
        <v>0</v>
      </c>
      <c r="BY299" s="57">
        <v>0</v>
      </c>
      <c r="BZ299" s="57">
        <v>0</v>
      </c>
      <c r="CA299" s="57">
        <v>0</v>
      </c>
    </row>
    <row r="300" spans="1:79" x14ac:dyDescent="0.3">
      <c r="A300" s="19"/>
      <c r="B300" s="20" t="str">
        <f t="shared" si="87"/>
        <v>13590002</v>
      </c>
      <c r="C300" s="55">
        <v>3</v>
      </c>
      <c r="D300" s="55">
        <f t="shared" si="89"/>
        <v>5</v>
      </c>
      <c r="E300" s="49">
        <v>2</v>
      </c>
      <c r="F300" s="57">
        <v>1</v>
      </c>
      <c r="G300" s="57">
        <v>105</v>
      </c>
      <c r="H300" s="57" t="str">
        <f t="shared" si="90"/>
        <v>Item_Name_13590002</v>
      </c>
      <c r="I300" s="57" t="s">
        <v>815</v>
      </c>
      <c r="J300" s="57">
        <v>10103001</v>
      </c>
      <c r="K300" s="57">
        <v>99</v>
      </c>
      <c r="L300" s="57">
        <v>0</v>
      </c>
      <c r="M300" s="57">
        <v>0</v>
      </c>
      <c r="N300" s="57">
        <v>15</v>
      </c>
      <c r="O300" s="57">
        <v>100</v>
      </c>
      <c r="P300" s="57">
        <v>1</v>
      </c>
      <c r="Q300" s="57" t="s">
        <v>810</v>
      </c>
      <c r="R300" s="57" t="s">
        <v>448</v>
      </c>
      <c r="S300" s="57" t="s">
        <v>325</v>
      </c>
      <c r="T300" s="57" t="s">
        <v>400</v>
      </c>
      <c r="U300" s="57">
        <v>0</v>
      </c>
      <c r="V300" s="57">
        <v>0</v>
      </c>
      <c r="W300" s="57">
        <v>73</v>
      </c>
      <c r="X300" s="57">
        <v>2</v>
      </c>
      <c r="Y300" s="57">
        <v>1202</v>
      </c>
      <c r="Z300" s="57">
        <v>1202</v>
      </c>
      <c r="AA300" s="57">
        <v>1206</v>
      </c>
      <c r="AB300" s="57">
        <v>1206</v>
      </c>
      <c r="AC300" s="57">
        <v>0</v>
      </c>
      <c r="AD300" s="57">
        <v>0</v>
      </c>
      <c r="AE300" s="58">
        <v>10302</v>
      </c>
      <c r="AF300" s="30">
        <v>0</v>
      </c>
      <c r="AG300" s="57">
        <v>0</v>
      </c>
      <c r="AH300" s="57">
        <v>0</v>
      </c>
      <c r="AI300" s="57">
        <v>0</v>
      </c>
      <c r="AJ300" s="57">
        <v>0</v>
      </c>
      <c r="AK300" s="57">
        <v>0</v>
      </c>
      <c r="AL300" s="57">
        <v>0</v>
      </c>
      <c r="AM300" s="57">
        <v>0</v>
      </c>
      <c r="AN300" s="57">
        <v>0</v>
      </c>
      <c r="AO300" s="57">
        <v>0</v>
      </c>
      <c r="AP300" s="57">
        <v>0</v>
      </c>
      <c r="AQ300" s="57">
        <v>0</v>
      </c>
      <c r="AR300" s="57">
        <v>0</v>
      </c>
      <c r="AS300" s="57">
        <v>0</v>
      </c>
      <c r="AT300" s="57">
        <v>0</v>
      </c>
      <c r="AU300" s="57">
        <v>0</v>
      </c>
      <c r="AV300" s="57">
        <v>0</v>
      </c>
      <c r="AW300" s="57">
        <v>0</v>
      </c>
      <c r="AX300" s="57">
        <v>0</v>
      </c>
      <c r="AY300" s="57">
        <v>0</v>
      </c>
      <c r="AZ300" s="57">
        <v>0</v>
      </c>
      <c r="BA300" s="57">
        <v>0</v>
      </c>
      <c r="BB300" s="57">
        <v>0</v>
      </c>
      <c r="BC300" s="57">
        <v>0</v>
      </c>
      <c r="BD300" s="57">
        <v>0</v>
      </c>
      <c r="BE300" s="57">
        <v>0</v>
      </c>
      <c r="BF300" s="57">
        <v>0</v>
      </c>
      <c r="BG300" s="57">
        <v>0</v>
      </c>
      <c r="BH300" s="57">
        <v>0</v>
      </c>
      <c r="BI300" s="57">
        <v>0</v>
      </c>
      <c r="BJ300" s="57">
        <v>0</v>
      </c>
      <c r="BK300" s="57">
        <v>0</v>
      </c>
      <c r="BL300" s="57">
        <v>0</v>
      </c>
      <c r="BM300" s="57">
        <v>0</v>
      </c>
      <c r="BN300" s="57">
        <v>0</v>
      </c>
      <c r="BO300" s="57">
        <v>0</v>
      </c>
      <c r="BP300" s="57">
        <v>0</v>
      </c>
      <c r="BQ300" s="57">
        <v>0</v>
      </c>
      <c r="BR300" s="57">
        <v>0</v>
      </c>
      <c r="BS300" s="57">
        <v>0</v>
      </c>
      <c r="BT300" s="57">
        <v>0</v>
      </c>
      <c r="BU300" s="57">
        <v>0</v>
      </c>
      <c r="BV300" s="57">
        <v>0</v>
      </c>
      <c r="BW300" s="57">
        <v>0</v>
      </c>
      <c r="BX300" s="57">
        <v>0</v>
      </c>
      <c r="BY300" s="57">
        <v>0</v>
      </c>
      <c r="BZ300" s="57">
        <v>0</v>
      </c>
      <c r="CA300" s="57">
        <v>0</v>
      </c>
    </row>
    <row r="301" spans="1:79" x14ac:dyDescent="0.3">
      <c r="A301" s="19"/>
      <c r="B301" s="20" t="str">
        <f t="shared" si="87"/>
        <v>13590003</v>
      </c>
      <c r="C301" s="55">
        <v>3</v>
      </c>
      <c r="D301" s="55">
        <f t="shared" si="89"/>
        <v>5</v>
      </c>
      <c r="E301" s="49">
        <v>3</v>
      </c>
      <c r="F301" s="57">
        <v>1</v>
      </c>
      <c r="G301" s="57">
        <v>105</v>
      </c>
      <c r="H301" s="57" t="str">
        <f t="shared" si="90"/>
        <v>Item_Name_13590003</v>
      </c>
      <c r="I301" s="57" t="s">
        <v>816</v>
      </c>
      <c r="J301" s="57">
        <v>10103001</v>
      </c>
      <c r="K301" s="57">
        <v>99</v>
      </c>
      <c r="L301" s="57">
        <v>0</v>
      </c>
      <c r="M301" s="57">
        <v>0</v>
      </c>
      <c r="N301" s="57">
        <v>15</v>
      </c>
      <c r="O301" s="57">
        <v>100</v>
      </c>
      <c r="P301" s="57">
        <v>1</v>
      </c>
      <c r="Q301" s="57" t="s">
        <v>811</v>
      </c>
      <c r="R301" s="57" t="s">
        <v>448</v>
      </c>
      <c r="S301" s="57" t="s">
        <v>325</v>
      </c>
      <c r="T301" s="57" t="s">
        <v>400</v>
      </c>
      <c r="U301" s="57">
        <v>0</v>
      </c>
      <c r="V301" s="57">
        <v>0</v>
      </c>
      <c r="W301" s="57">
        <v>73</v>
      </c>
      <c r="X301" s="57">
        <v>3</v>
      </c>
      <c r="Y301" s="57">
        <v>1202</v>
      </c>
      <c r="Z301" s="57">
        <v>1202</v>
      </c>
      <c r="AA301" s="57">
        <v>1206</v>
      </c>
      <c r="AB301" s="57">
        <v>1206</v>
      </c>
      <c r="AC301" s="57">
        <v>0</v>
      </c>
      <c r="AD301" s="57">
        <v>0</v>
      </c>
      <c r="AE301" s="58">
        <v>10303</v>
      </c>
      <c r="AF301" s="30">
        <v>0</v>
      </c>
      <c r="AG301" s="57">
        <v>0</v>
      </c>
      <c r="AH301" s="57">
        <v>0</v>
      </c>
      <c r="AI301" s="57">
        <v>0</v>
      </c>
      <c r="AJ301" s="57">
        <v>0</v>
      </c>
      <c r="AK301" s="57">
        <v>0</v>
      </c>
      <c r="AL301" s="57">
        <v>0</v>
      </c>
      <c r="AM301" s="57">
        <v>0</v>
      </c>
      <c r="AN301" s="57">
        <v>0</v>
      </c>
      <c r="AO301" s="57">
        <v>0</v>
      </c>
      <c r="AP301" s="57">
        <v>0</v>
      </c>
      <c r="AQ301" s="57">
        <v>0</v>
      </c>
      <c r="AR301" s="57">
        <v>0</v>
      </c>
      <c r="AS301" s="57">
        <v>0</v>
      </c>
      <c r="AT301" s="57">
        <v>0</v>
      </c>
      <c r="AU301" s="57">
        <v>0</v>
      </c>
      <c r="AV301" s="57">
        <v>0</v>
      </c>
      <c r="AW301" s="57">
        <v>0</v>
      </c>
      <c r="AX301" s="57">
        <v>0</v>
      </c>
      <c r="AY301" s="57">
        <v>0</v>
      </c>
      <c r="AZ301" s="57">
        <v>0</v>
      </c>
      <c r="BA301" s="57">
        <v>0</v>
      </c>
      <c r="BB301" s="57">
        <v>0</v>
      </c>
      <c r="BC301" s="57">
        <v>0</v>
      </c>
      <c r="BD301" s="57">
        <v>0</v>
      </c>
      <c r="BE301" s="57">
        <v>0</v>
      </c>
      <c r="BF301" s="57">
        <v>0</v>
      </c>
      <c r="BG301" s="57">
        <v>0</v>
      </c>
      <c r="BH301" s="57">
        <v>0</v>
      </c>
      <c r="BI301" s="57">
        <v>0</v>
      </c>
      <c r="BJ301" s="57">
        <v>0</v>
      </c>
      <c r="BK301" s="57">
        <v>0</v>
      </c>
      <c r="BL301" s="57">
        <v>0</v>
      </c>
      <c r="BM301" s="57">
        <v>0</v>
      </c>
      <c r="BN301" s="57">
        <v>0</v>
      </c>
      <c r="BO301" s="57">
        <v>0</v>
      </c>
      <c r="BP301" s="57">
        <v>0</v>
      </c>
      <c r="BQ301" s="57">
        <v>0</v>
      </c>
      <c r="BR301" s="57">
        <v>0</v>
      </c>
      <c r="BS301" s="57">
        <v>0</v>
      </c>
      <c r="BT301" s="57">
        <v>0</v>
      </c>
      <c r="BU301" s="57">
        <v>0</v>
      </c>
      <c r="BV301" s="57">
        <v>0</v>
      </c>
      <c r="BW301" s="57">
        <v>0</v>
      </c>
      <c r="BX301" s="57">
        <v>0</v>
      </c>
      <c r="BY301" s="57">
        <v>0</v>
      </c>
      <c r="BZ301" s="57">
        <v>0</v>
      </c>
      <c r="CA301" s="57">
        <v>0</v>
      </c>
    </row>
    <row r="302" spans="1:79" x14ac:dyDescent="0.3">
      <c r="A302" s="19"/>
      <c r="B302" s="20" t="str">
        <f t="shared" si="87"/>
        <v>14590001</v>
      </c>
      <c r="C302" s="55">
        <v>4</v>
      </c>
      <c r="D302" s="55">
        <f t="shared" ref="D302:D304" si="102">IF(G302&lt;100, G302, G302-100)</f>
        <v>5</v>
      </c>
      <c r="E302" s="49">
        <v>1</v>
      </c>
      <c r="F302" s="57">
        <v>1</v>
      </c>
      <c r="G302" s="57">
        <v>105</v>
      </c>
      <c r="H302" s="57" t="str">
        <f t="shared" si="90"/>
        <v>Item_Name_14590001</v>
      </c>
      <c r="I302" s="57" t="s">
        <v>678</v>
      </c>
      <c r="J302" s="57">
        <v>10104001</v>
      </c>
      <c r="K302" s="57">
        <v>99</v>
      </c>
      <c r="L302" s="57">
        <v>0</v>
      </c>
      <c r="M302" s="57">
        <v>0</v>
      </c>
      <c r="N302" s="57">
        <v>15</v>
      </c>
      <c r="O302" s="57">
        <v>100</v>
      </c>
      <c r="P302" s="57">
        <v>1</v>
      </c>
      <c r="Q302" s="57" t="s">
        <v>675</v>
      </c>
      <c r="R302" s="57" t="s">
        <v>448</v>
      </c>
      <c r="S302" s="57" t="s">
        <v>325</v>
      </c>
      <c r="T302" s="57" t="s">
        <v>400</v>
      </c>
      <c r="U302" s="57">
        <v>0</v>
      </c>
      <c r="V302" s="57">
        <v>0</v>
      </c>
      <c r="W302" s="57">
        <v>73</v>
      </c>
      <c r="X302" s="57">
        <v>1</v>
      </c>
      <c r="Y302" s="57">
        <v>1202</v>
      </c>
      <c r="Z302" s="57">
        <v>1202</v>
      </c>
      <c r="AA302" s="57">
        <v>1206</v>
      </c>
      <c r="AB302" s="57">
        <v>1206</v>
      </c>
      <c r="AC302" s="57">
        <v>0</v>
      </c>
      <c r="AD302" s="57">
        <v>0</v>
      </c>
      <c r="AE302" s="58">
        <v>10401</v>
      </c>
      <c r="AF302" s="30">
        <v>0</v>
      </c>
      <c r="AG302" s="57">
        <v>0</v>
      </c>
      <c r="AH302" s="57">
        <v>0</v>
      </c>
      <c r="AI302" s="57">
        <v>0</v>
      </c>
      <c r="AJ302" s="57">
        <v>0</v>
      </c>
      <c r="AK302" s="57">
        <v>0</v>
      </c>
      <c r="AL302" s="57">
        <v>0</v>
      </c>
      <c r="AM302" s="57">
        <v>0</v>
      </c>
      <c r="AN302" s="57">
        <v>0</v>
      </c>
      <c r="AO302" s="57">
        <v>0</v>
      </c>
      <c r="AP302" s="57">
        <v>0</v>
      </c>
      <c r="AQ302" s="57">
        <v>0</v>
      </c>
      <c r="AR302" s="57">
        <v>0</v>
      </c>
      <c r="AS302" s="57">
        <v>0</v>
      </c>
      <c r="AT302" s="57">
        <v>0</v>
      </c>
      <c r="AU302" s="57">
        <v>0</v>
      </c>
      <c r="AV302" s="57">
        <v>0</v>
      </c>
      <c r="AW302" s="57">
        <v>0</v>
      </c>
      <c r="AX302" s="57">
        <v>0</v>
      </c>
      <c r="AY302" s="57">
        <v>0</v>
      </c>
      <c r="AZ302" s="57">
        <v>0</v>
      </c>
      <c r="BA302" s="57">
        <v>0</v>
      </c>
      <c r="BB302" s="57">
        <v>0</v>
      </c>
      <c r="BC302" s="57">
        <v>0</v>
      </c>
      <c r="BD302" s="57">
        <v>0</v>
      </c>
      <c r="BE302" s="57">
        <v>0</v>
      </c>
      <c r="BF302" s="57">
        <v>0</v>
      </c>
      <c r="BG302" s="57">
        <v>0</v>
      </c>
      <c r="BH302" s="57">
        <v>0</v>
      </c>
      <c r="BI302" s="57">
        <v>0</v>
      </c>
      <c r="BJ302" s="57">
        <v>0</v>
      </c>
      <c r="BK302" s="57">
        <v>0</v>
      </c>
      <c r="BL302" s="57">
        <v>0</v>
      </c>
      <c r="BM302" s="57">
        <v>0</v>
      </c>
      <c r="BN302" s="57">
        <v>0</v>
      </c>
      <c r="BO302" s="57">
        <v>0</v>
      </c>
      <c r="BP302" s="57">
        <v>0</v>
      </c>
      <c r="BQ302" s="57">
        <v>0</v>
      </c>
      <c r="BR302" s="57">
        <v>0</v>
      </c>
      <c r="BS302" s="57">
        <v>0</v>
      </c>
      <c r="BT302" s="57">
        <v>0</v>
      </c>
      <c r="BU302" s="57">
        <v>0</v>
      </c>
      <c r="BV302" s="57">
        <v>0</v>
      </c>
      <c r="BW302" s="57">
        <v>0</v>
      </c>
      <c r="BX302" s="57">
        <v>0</v>
      </c>
      <c r="BY302" s="57">
        <v>0</v>
      </c>
      <c r="BZ302" s="57">
        <v>0</v>
      </c>
      <c r="CA302" s="57">
        <v>0</v>
      </c>
    </row>
    <row r="303" spans="1:79" x14ac:dyDescent="0.3">
      <c r="A303" s="19"/>
      <c r="B303" s="20" t="str">
        <f t="shared" si="87"/>
        <v>14590002</v>
      </c>
      <c r="C303" s="55">
        <v>4</v>
      </c>
      <c r="D303" s="55">
        <f t="shared" si="102"/>
        <v>5</v>
      </c>
      <c r="E303" s="49">
        <v>2</v>
      </c>
      <c r="F303" s="57">
        <v>1</v>
      </c>
      <c r="G303" s="57">
        <v>105</v>
      </c>
      <c r="H303" s="57" t="str">
        <f t="shared" si="90"/>
        <v>Item_Name_14590002</v>
      </c>
      <c r="I303" s="57" t="s">
        <v>679</v>
      </c>
      <c r="J303" s="57">
        <v>10104001</v>
      </c>
      <c r="K303" s="57">
        <v>99</v>
      </c>
      <c r="L303" s="57">
        <v>0</v>
      </c>
      <c r="M303" s="57">
        <v>0</v>
      </c>
      <c r="N303" s="57">
        <v>15</v>
      </c>
      <c r="O303" s="57">
        <v>100</v>
      </c>
      <c r="P303" s="57">
        <v>1</v>
      </c>
      <c r="Q303" s="57" t="s">
        <v>676</v>
      </c>
      <c r="R303" s="57" t="s">
        <v>448</v>
      </c>
      <c r="S303" s="57" t="s">
        <v>325</v>
      </c>
      <c r="T303" s="57" t="s">
        <v>400</v>
      </c>
      <c r="U303" s="57">
        <v>0</v>
      </c>
      <c r="V303" s="57">
        <v>0</v>
      </c>
      <c r="W303" s="57">
        <v>73</v>
      </c>
      <c r="X303" s="57">
        <v>2</v>
      </c>
      <c r="Y303" s="57">
        <v>1202</v>
      </c>
      <c r="Z303" s="57">
        <v>1202</v>
      </c>
      <c r="AA303" s="57">
        <v>1206</v>
      </c>
      <c r="AB303" s="57">
        <v>1206</v>
      </c>
      <c r="AC303" s="57">
        <v>0</v>
      </c>
      <c r="AD303" s="57">
        <v>0</v>
      </c>
      <c r="AE303" s="58">
        <v>10402</v>
      </c>
      <c r="AF303" s="30">
        <v>0</v>
      </c>
      <c r="AG303" s="57">
        <v>0</v>
      </c>
      <c r="AH303" s="57">
        <v>0</v>
      </c>
      <c r="AI303" s="57">
        <v>0</v>
      </c>
      <c r="AJ303" s="57">
        <v>0</v>
      </c>
      <c r="AK303" s="57">
        <v>0</v>
      </c>
      <c r="AL303" s="57">
        <v>0</v>
      </c>
      <c r="AM303" s="57">
        <v>0</v>
      </c>
      <c r="AN303" s="57">
        <v>0</v>
      </c>
      <c r="AO303" s="57">
        <v>0</v>
      </c>
      <c r="AP303" s="57">
        <v>0</v>
      </c>
      <c r="AQ303" s="57">
        <v>0</v>
      </c>
      <c r="AR303" s="57">
        <v>0</v>
      </c>
      <c r="AS303" s="57">
        <v>0</v>
      </c>
      <c r="AT303" s="57">
        <v>0</v>
      </c>
      <c r="AU303" s="57">
        <v>0</v>
      </c>
      <c r="AV303" s="57">
        <v>0</v>
      </c>
      <c r="AW303" s="57">
        <v>0</v>
      </c>
      <c r="AX303" s="57">
        <v>0</v>
      </c>
      <c r="AY303" s="57">
        <v>0</v>
      </c>
      <c r="AZ303" s="57">
        <v>0</v>
      </c>
      <c r="BA303" s="57">
        <v>0</v>
      </c>
      <c r="BB303" s="57">
        <v>0</v>
      </c>
      <c r="BC303" s="57">
        <v>0</v>
      </c>
      <c r="BD303" s="57">
        <v>0</v>
      </c>
      <c r="BE303" s="57">
        <v>0</v>
      </c>
      <c r="BF303" s="57">
        <v>0</v>
      </c>
      <c r="BG303" s="57">
        <v>0</v>
      </c>
      <c r="BH303" s="57">
        <v>0</v>
      </c>
      <c r="BI303" s="57">
        <v>0</v>
      </c>
      <c r="BJ303" s="57">
        <v>0</v>
      </c>
      <c r="BK303" s="57">
        <v>0</v>
      </c>
      <c r="BL303" s="57">
        <v>0</v>
      </c>
      <c r="BM303" s="57">
        <v>0</v>
      </c>
      <c r="BN303" s="57">
        <v>0</v>
      </c>
      <c r="BO303" s="57">
        <v>0</v>
      </c>
      <c r="BP303" s="57">
        <v>0</v>
      </c>
      <c r="BQ303" s="57">
        <v>0</v>
      </c>
      <c r="BR303" s="57">
        <v>0</v>
      </c>
      <c r="BS303" s="57">
        <v>0</v>
      </c>
      <c r="BT303" s="57">
        <v>0</v>
      </c>
      <c r="BU303" s="57">
        <v>0</v>
      </c>
      <c r="BV303" s="57">
        <v>0</v>
      </c>
      <c r="BW303" s="57">
        <v>0</v>
      </c>
      <c r="BX303" s="57">
        <v>0</v>
      </c>
      <c r="BY303" s="57">
        <v>0</v>
      </c>
      <c r="BZ303" s="57">
        <v>0</v>
      </c>
      <c r="CA303" s="57">
        <v>0</v>
      </c>
    </row>
    <row r="304" spans="1:79" x14ac:dyDescent="0.3">
      <c r="A304" s="19"/>
      <c r="B304" s="20" t="str">
        <f t="shared" si="87"/>
        <v>14590003</v>
      </c>
      <c r="C304" s="55">
        <v>4</v>
      </c>
      <c r="D304" s="55">
        <f t="shared" si="102"/>
        <v>5</v>
      </c>
      <c r="E304" s="49">
        <v>3</v>
      </c>
      <c r="F304" s="57">
        <v>1</v>
      </c>
      <c r="G304" s="57">
        <v>105</v>
      </c>
      <c r="H304" s="57" t="str">
        <f t="shared" si="90"/>
        <v>Item_Name_14590003</v>
      </c>
      <c r="I304" s="57" t="s">
        <v>680</v>
      </c>
      <c r="J304" s="57">
        <v>10104001</v>
      </c>
      <c r="K304" s="57">
        <v>99</v>
      </c>
      <c r="L304" s="57">
        <v>0</v>
      </c>
      <c r="M304" s="57">
        <v>0</v>
      </c>
      <c r="N304" s="57">
        <v>15</v>
      </c>
      <c r="O304" s="57">
        <v>100</v>
      </c>
      <c r="P304" s="57">
        <v>1</v>
      </c>
      <c r="Q304" s="57" t="s">
        <v>677</v>
      </c>
      <c r="R304" s="57" t="s">
        <v>448</v>
      </c>
      <c r="S304" s="57" t="s">
        <v>325</v>
      </c>
      <c r="T304" s="57" t="s">
        <v>400</v>
      </c>
      <c r="U304" s="57">
        <v>0</v>
      </c>
      <c r="V304" s="57">
        <v>0</v>
      </c>
      <c r="W304" s="57">
        <v>73</v>
      </c>
      <c r="X304" s="57">
        <v>3</v>
      </c>
      <c r="Y304" s="57">
        <v>1202</v>
      </c>
      <c r="Z304" s="57">
        <v>1202</v>
      </c>
      <c r="AA304" s="57">
        <v>1206</v>
      </c>
      <c r="AB304" s="57">
        <v>1206</v>
      </c>
      <c r="AC304" s="57">
        <v>0</v>
      </c>
      <c r="AD304" s="57">
        <v>0</v>
      </c>
      <c r="AE304" s="58">
        <v>10403</v>
      </c>
      <c r="AF304" s="30">
        <v>0</v>
      </c>
      <c r="AG304" s="57">
        <v>0</v>
      </c>
      <c r="AH304" s="57">
        <v>0</v>
      </c>
      <c r="AI304" s="57">
        <v>0</v>
      </c>
      <c r="AJ304" s="57">
        <v>0</v>
      </c>
      <c r="AK304" s="57">
        <v>0</v>
      </c>
      <c r="AL304" s="57">
        <v>0</v>
      </c>
      <c r="AM304" s="57">
        <v>0</v>
      </c>
      <c r="AN304" s="57">
        <v>0</v>
      </c>
      <c r="AO304" s="57">
        <v>0</v>
      </c>
      <c r="AP304" s="57">
        <v>0</v>
      </c>
      <c r="AQ304" s="57">
        <v>0</v>
      </c>
      <c r="AR304" s="57">
        <v>0</v>
      </c>
      <c r="AS304" s="57">
        <v>0</v>
      </c>
      <c r="AT304" s="57">
        <v>0</v>
      </c>
      <c r="AU304" s="57">
        <v>0</v>
      </c>
      <c r="AV304" s="57">
        <v>0</v>
      </c>
      <c r="AW304" s="57">
        <v>0</v>
      </c>
      <c r="AX304" s="57">
        <v>0</v>
      </c>
      <c r="AY304" s="57">
        <v>0</v>
      </c>
      <c r="AZ304" s="57">
        <v>0</v>
      </c>
      <c r="BA304" s="57">
        <v>0</v>
      </c>
      <c r="BB304" s="57">
        <v>0</v>
      </c>
      <c r="BC304" s="57">
        <v>0</v>
      </c>
      <c r="BD304" s="57">
        <v>0</v>
      </c>
      <c r="BE304" s="57">
        <v>0</v>
      </c>
      <c r="BF304" s="57">
        <v>0</v>
      </c>
      <c r="BG304" s="57">
        <v>0</v>
      </c>
      <c r="BH304" s="57">
        <v>0</v>
      </c>
      <c r="BI304" s="57">
        <v>0</v>
      </c>
      <c r="BJ304" s="57">
        <v>0</v>
      </c>
      <c r="BK304" s="57">
        <v>0</v>
      </c>
      <c r="BL304" s="57">
        <v>0</v>
      </c>
      <c r="BM304" s="57">
        <v>0</v>
      </c>
      <c r="BN304" s="57">
        <v>0</v>
      </c>
      <c r="BO304" s="57">
        <v>0</v>
      </c>
      <c r="BP304" s="57">
        <v>0</v>
      </c>
      <c r="BQ304" s="57">
        <v>0</v>
      </c>
      <c r="BR304" s="57">
        <v>0</v>
      </c>
      <c r="BS304" s="57">
        <v>0</v>
      </c>
      <c r="BT304" s="57">
        <v>0</v>
      </c>
      <c r="BU304" s="57">
        <v>0</v>
      </c>
      <c r="BV304" s="57">
        <v>0</v>
      </c>
      <c r="BW304" s="57">
        <v>0</v>
      </c>
      <c r="BX304" s="57">
        <v>0</v>
      </c>
      <c r="BY304" s="57">
        <v>0</v>
      </c>
      <c r="BZ304" s="57">
        <v>0</v>
      </c>
      <c r="CA304" s="57">
        <v>0</v>
      </c>
    </row>
    <row r="305" spans="1:79" x14ac:dyDescent="0.3">
      <c r="A305" s="19"/>
      <c r="B305" s="20" t="str">
        <f t="shared" si="87"/>
        <v>11690001</v>
      </c>
      <c r="C305" s="55" t="str">
        <f t="shared" si="88"/>
        <v>1</v>
      </c>
      <c r="D305" s="55">
        <f t="shared" si="89"/>
        <v>6</v>
      </c>
      <c r="E305" s="49">
        <v>1</v>
      </c>
      <c r="F305" s="57">
        <v>1</v>
      </c>
      <c r="G305" s="57">
        <v>106</v>
      </c>
      <c r="H305" s="57" t="str">
        <f t="shared" si="90"/>
        <v>Item_Name_11690001</v>
      </c>
      <c r="I305" s="57" t="s">
        <v>462</v>
      </c>
      <c r="J305" s="57">
        <v>10101001</v>
      </c>
      <c r="K305" s="57">
        <v>99</v>
      </c>
      <c r="L305" s="57">
        <v>0</v>
      </c>
      <c r="M305" s="57">
        <v>0</v>
      </c>
      <c r="N305" s="57">
        <v>15</v>
      </c>
      <c r="O305" s="57">
        <v>100</v>
      </c>
      <c r="P305" s="57">
        <v>1</v>
      </c>
      <c r="Q305" s="57" t="s">
        <v>657</v>
      </c>
      <c r="R305" s="57" t="s">
        <v>448</v>
      </c>
      <c r="S305" s="57" t="s">
        <v>326</v>
      </c>
      <c r="T305" s="57" t="s">
        <v>400</v>
      </c>
      <c r="U305" s="57">
        <v>0</v>
      </c>
      <c r="V305" s="57">
        <v>0</v>
      </c>
      <c r="W305" s="57">
        <v>73</v>
      </c>
      <c r="X305" s="57">
        <v>1</v>
      </c>
      <c r="Y305" s="57">
        <v>1201</v>
      </c>
      <c r="Z305" s="57">
        <v>1201</v>
      </c>
      <c r="AA305" s="57">
        <v>1205</v>
      </c>
      <c r="AB305" s="57">
        <v>1205</v>
      </c>
      <c r="AC305" s="57">
        <v>0</v>
      </c>
      <c r="AD305" s="57">
        <v>0</v>
      </c>
      <c r="AE305" s="58">
        <v>10101</v>
      </c>
      <c r="AF305" s="30">
        <v>0</v>
      </c>
      <c r="AG305" s="57">
        <v>0</v>
      </c>
      <c r="AH305" s="57">
        <v>0</v>
      </c>
      <c r="AI305" s="57">
        <v>0</v>
      </c>
      <c r="AJ305" s="57">
        <v>0</v>
      </c>
      <c r="AK305" s="57">
        <v>0</v>
      </c>
      <c r="AL305" s="57">
        <v>0</v>
      </c>
      <c r="AM305" s="57">
        <v>0</v>
      </c>
      <c r="AN305" s="57">
        <v>0</v>
      </c>
      <c r="AO305" s="57">
        <v>0</v>
      </c>
      <c r="AP305" s="57">
        <v>0</v>
      </c>
      <c r="AQ305" s="57">
        <v>0</v>
      </c>
      <c r="AR305" s="57">
        <v>0</v>
      </c>
      <c r="AS305" s="57">
        <v>0</v>
      </c>
      <c r="AT305" s="57">
        <v>0</v>
      </c>
      <c r="AU305" s="57">
        <v>0</v>
      </c>
      <c r="AV305" s="57">
        <v>0</v>
      </c>
      <c r="AW305" s="57">
        <v>0</v>
      </c>
      <c r="AX305" s="57">
        <v>0</v>
      </c>
      <c r="AY305" s="57">
        <v>0</v>
      </c>
      <c r="AZ305" s="57">
        <v>0</v>
      </c>
      <c r="BA305" s="57">
        <v>0</v>
      </c>
      <c r="BB305" s="57">
        <v>0</v>
      </c>
      <c r="BC305" s="57">
        <v>0</v>
      </c>
      <c r="BD305" s="57">
        <v>0</v>
      </c>
      <c r="BE305" s="57">
        <v>0</v>
      </c>
      <c r="BF305" s="57">
        <v>0</v>
      </c>
      <c r="BG305" s="57">
        <v>0</v>
      </c>
      <c r="BH305" s="57">
        <v>0</v>
      </c>
      <c r="BI305" s="57">
        <v>0</v>
      </c>
      <c r="BJ305" s="57">
        <v>0</v>
      </c>
      <c r="BK305" s="57">
        <v>0</v>
      </c>
      <c r="BL305" s="57">
        <v>0</v>
      </c>
      <c r="BM305" s="57">
        <v>0</v>
      </c>
      <c r="BN305" s="57">
        <v>0</v>
      </c>
      <c r="BO305" s="57">
        <v>0</v>
      </c>
      <c r="BP305" s="57">
        <v>0</v>
      </c>
      <c r="BQ305" s="57">
        <v>0</v>
      </c>
      <c r="BR305" s="57">
        <v>0</v>
      </c>
      <c r="BS305" s="57">
        <v>0</v>
      </c>
      <c r="BT305" s="57">
        <v>0</v>
      </c>
      <c r="BU305" s="57">
        <v>0</v>
      </c>
      <c r="BV305" s="57">
        <v>0</v>
      </c>
      <c r="BW305" s="57">
        <v>0</v>
      </c>
      <c r="BX305" s="57">
        <v>0</v>
      </c>
      <c r="BY305" s="57">
        <v>0</v>
      </c>
      <c r="BZ305" s="57">
        <v>0</v>
      </c>
      <c r="CA305" s="57">
        <v>0</v>
      </c>
    </row>
    <row r="306" spans="1:79" x14ac:dyDescent="0.3">
      <c r="A306" s="19"/>
      <c r="B306" s="20" t="str">
        <f t="shared" si="87"/>
        <v>11690002</v>
      </c>
      <c r="C306" s="55" t="str">
        <f t="shared" ref="C306:C307" si="103">IF(J306&gt;0,MID(J306,5, 1), 0)</f>
        <v>1</v>
      </c>
      <c r="D306" s="55">
        <f t="shared" ref="D306:D307" si="104">IF(G306&lt;100, G306, G306-100)</f>
        <v>6</v>
      </c>
      <c r="E306" s="49">
        <v>2</v>
      </c>
      <c r="F306" s="57">
        <v>1</v>
      </c>
      <c r="G306" s="57">
        <v>106</v>
      </c>
      <c r="H306" s="57" t="str">
        <f t="shared" si="90"/>
        <v>Item_Name_11690002</v>
      </c>
      <c r="I306" s="57" t="s">
        <v>613</v>
      </c>
      <c r="J306" s="57">
        <v>10101001</v>
      </c>
      <c r="K306" s="57">
        <v>99</v>
      </c>
      <c r="L306" s="57">
        <v>0</v>
      </c>
      <c r="M306" s="57">
        <v>0</v>
      </c>
      <c r="N306" s="57">
        <v>15</v>
      </c>
      <c r="O306" s="57">
        <v>100</v>
      </c>
      <c r="P306" s="57">
        <v>1</v>
      </c>
      <c r="Q306" s="57" t="s">
        <v>658</v>
      </c>
      <c r="R306" s="57" t="s">
        <v>448</v>
      </c>
      <c r="S306" s="57" t="s">
        <v>326</v>
      </c>
      <c r="T306" s="57" t="s">
        <v>400</v>
      </c>
      <c r="U306" s="57">
        <v>0</v>
      </c>
      <c r="V306" s="57">
        <v>0</v>
      </c>
      <c r="W306" s="57">
        <v>73</v>
      </c>
      <c r="X306" s="57">
        <v>2</v>
      </c>
      <c r="Y306" s="57">
        <v>1201</v>
      </c>
      <c r="Z306" s="57">
        <v>1201</v>
      </c>
      <c r="AA306" s="57">
        <v>1205</v>
      </c>
      <c r="AB306" s="57">
        <v>1205</v>
      </c>
      <c r="AC306" s="57">
        <v>0</v>
      </c>
      <c r="AD306" s="57">
        <v>0</v>
      </c>
      <c r="AE306" s="58">
        <v>10102</v>
      </c>
      <c r="AF306" s="30">
        <v>0</v>
      </c>
      <c r="AG306" s="57">
        <v>0</v>
      </c>
      <c r="AH306" s="57">
        <v>0</v>
      </c>
      <c r="AI306" s="57">
        <v>0</v>
      </c>
      <c r="AJ306" s="57">
        <v>0</v>
      </c>
      <c r="AK306" s="57">
        <v>0</v>
      </c>
      <c r="AL306" s="57">
        <v>0</v>
      </c>
      <c r="AM306" s="57">
        <v>0</v>
      </c>
      <c r="AN306" s="57">
        <v>0</v>
      </c>
      <c r="AO306" s="57">
        <v>0</v>
      </c>
      <c r="AP306" s="57">
        <v>0</v>
      </c>
      <c r="AQ306" s="57">
        <v>0</v>
      </c>
      <c r="AR306" s="57">
        <v>0</v>
      </c>
      <c r="AS306" s="57">
        <v>0</v>
      </c>
      <c r="AT306" s="57">
        <v>0</v>
      </c>
      <c r="AU306" s="57">
        <v>0</v>
      </c>
      <c r="AV306" s="57">
        <v>0</v>
      </c>
      <c r="AW306" s="57">
        <v>0</v>
      </c>
      <c r="AX306" s="57">
        <v>0</v>
      </c>
      <c r="AY306" s="57">
        <v>0</v>
      </c>
      <c r="AZ306" s="57">
        <v>0</v>
      </c>
      <c r="BA306" s="57">
        <v>0</v>
      </c>
      <c r="BB306" s="57">
        <v>0</v>
      </c>
      <c r="BC306" s="57">
        <v>0</v>
      </c>
      <c r="BD306" s="57">
        <v>0</v>
      </c>
      <c r="BE306" s="57">
        <v>0</v>
      </c>
      <c r="BF306" s="57">
        <v>0</v>
      </c>
      <c r="BG306" s="57">
        <v>0</v>
      </c>
      <c r="BH306" s="57">
        <v>0</v>
      </c>
      <c r="BI306" s="57">
        <v>0</v>
      </c>
      <c r="BJ306" s="57">
        <v>0</v>
      </c>
      <c r="BK306" s="57">
        <v>0</v>
      </c>
      <c r="BL306" s="57">
        <v>0</v>
      </c>
      <c r="BM306" s="57">
        <v>0</v>
      </c>
      <c r="BN306" s="57">
        <v>0</v>
      </c>
      <c r="BO306" s="57">
        <v>0</v>
      </c>
      <c r="BP306" s="57">
        <v>0</v>
      </c>
      <c r="BQ306" s="57">
        <v>0</v>
      </c>
      <c r="BR306" s="57">
        <v>0</v>
      </c>
      <c r="BS306" s="57">
        <v>0</v>
      </c>
      <c r="BT306" s="57">
        <v>0</v>
      </c>
      <c r="BU306" s="57">
        <v>0</v>
      </c>
      <c r="BV306" s="57">
        <v>0</v>
      </c>
      <c r="BW306" s="57">
        <v>0</v>
      </c>
      <c r="BX306" s="57">
        <v>0</v>
      </c>
      <c r="BY306" s="57">
        <v>0</v>
      </c>
      <c r="BZ306" s="57">
        <v>0</v>
      </c>
      <c r="CA306" s="57">
        <v>0</v>
      </c>
    </row>
    <row r="307" spans="1:79" x14ac:dyDescent="0.3">
      <c r="A307" s="19"/>
      <c r="B307" s="20" t="str">
        <f t="shared" si="87"/>
        <v>11690003</v>
      </c>
      <c r="C307" s="55" t="str">
        <f t="shared" si="103"/>
        <v>1</v>
      </c>
      <c r="D307" s="55">
        <f t="shared" si="104"/>
        <v>6</v>
      </c>
      <c r="E307" s="49">
        <v>3</v>
      </c>
      <c r="F307" s="57">
        <v>1</v>
      </c>
      <c r="G307" s="57">
        <v>106</v>
      </c>
      <c r="H307" s="57" t="str">
        <f t="shared" si="90"/>
        <v>Item_Name_11690003</v>
      </c>
      <c r="I307" s="57" t="s">
        <v>614</v>
      </c>
      <c r="J307" s="57">
        <v>10101001</v>
      </c>
      <c r="K307" s="57">
        <v>99</v>
      </c>
      <c r="L307" s="57">
        <v>0</v>
      </c>
      <c r="M307" s="57">
        <v>0</v>
      </c>
      <c r="N307" s="57">
        <v>15</v>
      </c>
      <c r="O307" s="57">
        <v>100</v>
      </c>
      <c r="P307" s="57">
        <v>1</v>
      </c>
      <c r="Q307" s="57" t="s">
        <v>659</v>
      </c>
      <c r="R307" s="57" t="s">
        <v>448</v>
      </c>
      <c r="S307" s="57" t="s">
        <v>326</v>
      </c>
      <c r="T307" s="57" t="s">
        <v>400</v>
      </c>
      <c r="U307" s="57">
        <v>0</v>
      </c>
      <c r="V307" s="57">
        <v>0</v>
      </c>
      <c r="W307" s="57">
        <v>73</v>
      </c>
      <c r="X307" s="57">
        <v>3</v>
      </c>
      <c r="Y307" s="57">
        <v>1201</v>
      </c>
      <c r="Z307" s="57">
        <v>1201</v>
      </c>
      <c r="AA307" s="57">
        <v>1205</v>
      </c>
      <c r="AB307" s="57">
        <v>1205</v>
      </c>
      <c r="AC307" s="57">
        <v>0</v>
      </c>
      <c r="AD307" s="57">
        <v>0</v>
      </c>
      <c r="AE307" s="58">
        <v>10103</v>
      </c>
      <c r="AF307" s="30">
        <v>0</v>
      </c>
      <c r="AG307" s="57">
        <v>0</v>
      </c>
      <c r="AH307" s="57">
        <v>0</v>
      </c>
      <c r="AI307" s="57">
        <v>0</v>
      </c>
      <c r="AJ307" s="57">
        <v>0</v>
      </c>
      <c r="AK307" s="57">
        <v>0</v>
      </c>
      <c r="AL307" s="57">
        <v>0</v>
      </c>
      <c r="AM307" s="57">
        <v>0</v>
      </c>
      <c r="AN307" s="57">
        <v>0</v>
      </c>
      <c r="AO307" s="57">
        <v>0</v>
      </c>
      <c r="AP307" s="57">
        <v>0</v>
      </c>
      <c r="AQ307" s="57">
        <v>0</v>
      </c>
      <c r="AR307" s="57">
        <v>0</v>
      </c>
      <c r="AS307" s="57">
        <v>0</v>
      </c>
      <c r="AT307" s="57">
        <v>0</v>
      </c>
      <c r="AU307" s="57">
        <v>0</v>
      </c>
      <c r="AV307" s="57">
        <v>0</v>
      </c>
      <c r="AW307" s="57">
        <v>0</v>
      </c>
      <c r="AX307" s="57">
        <v>0</v>
      </c>
      <c r="AY307" s="57">
        <v>0</v>
      </c>
      <c r="AZ307" s="57">
        <v>0</v>
      </c>
      <c r="BA307" s="57">
        <v>0</v>
      </c>
      <c r="BB307" s="57">
        <v>0</v>
      </c>
      <c r="BC307" s="57">
        <v>0</v>
      </c>
      <c r="BD307" s="57">
        <v>0</v>
      </c>
      <c r="BE307" s="57">
        <v>0</v>
      </c>
      <c r="BF307" s="57">
        <v>0</v>
      </c>
      <c r="BG307" s="57">
        <v>0</v>
      </c>
      <c r="BH307" s="57">
        <v>0</v>
      </c>
      <c r="BI307" s="57">
        <v>0</v>
      </c>
      <c r="BJ307" s="57">
        <v>0</v>
      </c>
      <c r="BK307" s="57">
        <v>0</v>
      </c>
      <c r="BL307" s="57">
        <v>0</v>
      </c>
      <c r="BM307" s="57">
        <v>0</v>
      </c>
      <c r="BN307" s="57">
        <v>0</v>
      </c>
      <c r="BO307" s="57">
        <v>0</v>
      </c>
      <c r="BP307" s="57">
        <v>0</v>
      </c>
      <c r="BQ307" s="57">
        <v>0</v>
      </c>
      <c r="BR307" s="57">
        <v>0</v>
      </c>
      <c r="BS307" s="57">
        <v>0</v>
      </c>
      <c r="BT307" s="57">
        <v>0</v>
      </c>
      <c r="BU307" s="57">
        <v>0</v>
      </c>
      <c r="BV307" s="57">
        <v>0</v>
      </c>
      <c r="BW307" s="57">
        <v>0</v>
      </c>
      <c r="BX307" s="57">
        <v>0</v>
      </c>
      <c r="BY307" s="57">
        <v>0</v>
      </c>
      <c r="BZ307" s="57">
        <v>0</v>
      </c>
      <c r="CA307" s="57">
        <v>0</v>
      </c>
    </row>
    <row r="308" spans="1:79" x14ac:dyDescent="0.3">
      <c r="A308" s="19"/>
      <c r="B308" s="20" t="str">
        <f t="shared" si="87"/>
        <v>12690001</v>
      </c>
      <c r="C308" s="55" t="str">
        <f t="shared" si="88"/>
        <v>2</v>
      </c>
      <c r="D308" s="55">
        <f t="shared" si="89"/>
        <v>6</v>
      </c>
      <c r="E308" s="49">
        <v>1</v>
      </c>
      <c r="F308" s="20">
        <v>1</v>
      </c>
      <c r="G308" s="20">
        <v>106</v>
      </c>
      <c r="H308" s="20" t="str">
        <f t="shared" si="90"/>
        <v>Item_Name_12690001</v>
      </c>
      <c r="I308" s="20" t="s">
        <v>615</v>
      </c>
      <c r="J308" s="20">
        <v>10102001</v>
      </c>
      <c r="K308" s="20">
        <v>99</v>
      </c>
      <c r="L308" s="20">
        <v>0</v>
      </c>
      <c r="M308" s="20">
        <v>0</v>
      </c>
      <c r="N308" s="20">
        <v>15</v>
      </c>
      <c r="O308" s="20">
        <v>100</v>
      </c>
      <c r="P308" s="20">
        <v>1</v>
      </c>
      <c r="Q308" s="20" t="s">
        <v>463</v>
      </c>
      <c r="R308" s="20" t="s">
        <v>448</v>
      </c>
      <c r="S308" s="20" t="s">
        <v>326</v>
      </c>
      <c r="T308" s="20" t="s">
        <v>400</v>
      </c>
      <c r="U308" s="20">
        <v>0</v>
      </c>
      <c r="V308" s="20">
        <v>0</v>
      </c>
      <c r="W308" s="20">
        <v>73</v>
      </c>
      <c r="X308" s="20">
        <v>1</v>
      </c>
      <c r="Y308" s="20">
        <v>1203</v>
      </c>
      <c r="Z308" s="20">
        <v>1203</v>
      </c>
      <c r="AA308" s="20">
        <v>1205</v>
      </c>
      <c r="AB308" s="20">
        <v>1205</v>
      </c>
      <c r="AC308" s="20">
        <v>0</v>
      </c>
      <c r="AD308" s="20">
        <v>0</v>
      </c>
      <c r="AE308" s="39">
        <v>10201</v>
      </c>
      <c r="AF308" s="31">
        <v>0</v>
      </c>
      <c r="AG308" s="20">
        <v>0</v>
      </c>
      <c r="AH308" s="20">
        <v>0</v>
      </c>
      <c r="AI308" s="20">
        <v>0</v>
      </c>
      <c r="AJ308" s="20">
        <v>0</v>
      </c>
      <c r="AK308" s="20">
        <v>0</v>
      </c>
      <c r="AL308" s="20">
        <v>0</v>
      </c>
      <c r="AM308" s="20">
        <v>0</v>
      </c>
      <c r="AN308" s="20">
        <v>0</v>
      </c>
      <c r="AO308" s="20">
        <v>0</v>
      </c>
      <c r="AP308" s="20">
        <v>0</v>
      </c>
      <c r="AQ308" s="20">
        <v>0</v>
      </c>
      <c r="AR308" s="20">
        <v>0</v>
      </c>
      <c r="AS308" s="20">
        <v>0</v>
      </c>
      <c r="AT308" s="20">
        <v>0</v>
      </c>
      <c r="AU308" s="20">
        <v>0</v>
      </c>
      <c r="AV308" s="20">
        <v>0</v>
      </c>
      <c r="AW308" s="20">
        <v>0</v>
      </c>
      <c r="AX308" s="20">
        <v>0</v>
      </c>
      <c r="AY308" s="20">
        <v>0</v>
      </c>
      <c r="AZ308" s="20">
        <v>0</v>
      </c>
      <c r="BA308" s="20">
        <v>0</v>
      </c>
      <c r="BB308" s="20">
        <v>0</v>
      </c>
      <c r="BC308" s="20">
        <v>0</v>
      </c>
      <c r="BD308" s="20">
        <v>0</v>
      </c>
      <c r="BE308" s="20">
        <v>0</v>
      </c>
      <c r="BF308" s="20">
        <v>0</v>
      </c>
      <c r="BG308" s="20">
        <v>0</v>
      </c>
      <c r="BH308" s="20">
        <v>0</v>
      </c>
      <c r="BI308" s="20">
        <v>0</v>
      </c>
      <c r="BJ308" s="20">
        <v>0</v>
      </c>
      <c r="BK308" s="20">
        <v>0</v>
      </c>
      <c r="BL308" s="20">
        <v>0</v>
      </c>
      <c r="BM308" s="20">
        <v>0</v>
      </c>
      <c r="BN308" s="20">
        <v>0</v>
      </c>
      <c r="BO308" s="20">
        <v>0</v>
      </c>
      <c r="BP308" s="20">
        <v>0</v>
      </c>
      <c r="BQ308" s="20">
        <v>0</v>
      </c>
      <c r="BR308" s="20">
        <v>0</v>
      </c>
      <c r="BS308" s="20">
        <v>0</v>
      </c>
      <c r="BT308" s="20">
        <v>0</v>
      </c>
      <c r="BU308" s="20">
        <v>0</v>
      </c>
      <c r="BV308" s="20">
        <v>0</v>
      </c>
      <c r="BW308" s="20">
        <v>0</v>
      </c>
      <c r="BX308" s="20">
        <v>0</v>
      </c>
      <c r="BY308" s="20">
        <v>0</v>
      </c>
      <c r="BZ308" s="20">
        <v>0</v>
      </c>
      <c r="CA308" s="20">
        <v>0</v>
      </c>
    </row>
    <row r="309" spans="1:79" x14ac:dyDescent="0.3">
      <c r="A309" s="19"/>
      <c r="B309" s="20" t="str">
        <f t="shared" si="87"/>
        <v>12690002</v>
      </c>
      <c r="C309" s="55" t="str">
        <f t="shared" si="88"/>
        <v>2</v>
      </c>
      <c r="D309" s="55">
        <f t="shared" si="89"/>
        <v>6</v>
      </c>
      <c r="E309" s="49">
        <v>2</v>
      </c>
      <c r="F309" s="20">
        <v>1</v>
      </c>
      <c r="G309" s="20">
        <v>106</v>
      </c>
      <c r="H309" s="20" t="str">
        <f t="shared" si="90"/>
        <v>Item_Name_12690002</v>
      </c>
      <c r="I309" s="20" t="s">
        <v>616</v>
      </c>
      <c r="J309" s="20">
        <v>10102001</v>
      </c>
      <c r="K309" s="20">
        <v>99</v>
      </c>
      <c r="L309" s="20">
        <v>0</v>
      </c>
      <c r="M309" s="20">
        <v>0</v>
      </c>
      <c r="N309" s="20">
        <v>15</v>
      </c>
      <c r="O309" s="20">
        <v>100</v>
      </c>
      <c r="P309" s="20">
        <v>1</v>
      </c>
      <c r="Q309" s="20" t="s">
        <v>464</v>
      </c>
      <c r="R309" s="20" t="s">
        <v>448</v>
      </c>
      <c r="S309" s="20" t="s">
        <v>326</v>
      </c>
      <c r="T309" s="20" t="s">
        <v>400</v>
      </c>
      <c r="U309" s="20">
        <v>0</v>
      </c>
      <c r="V309" s="20">
        <v>0</v>
      </c>
      <c r="W309" s="20">
        <v>73</v>
      </c>
      <c r="X309" s="20">
        <v>2</v>
      </c>
      <c r="Y309" s="20">
        <v>1203</v>
      </c>
      <c r="Z309" s="20">
        <v>1203</v>
      </c>
      <c r="AA309" s="20">
        <v>1205</v>
      </c>
      <c r="AB309" s="20">
        <v>1205</v>
      </c>
      <c r="AC309" s="20">
        <v>0</v>
      </c>
      <c r="AD309" s="20">
        <v>0</v>
      </c>
      <c r="AE309" s="39">
        <v>10202</v>
      </c>
      <c r="AF309" s="31">
        <v>0</v>
      </c>
      <c r="AG309" s="20">
        <v>0</v>
      </c>
      <c r="AH309" s="20">
        <v>0</v>
      </c>
      <c r="AI309" s="20">
        <v>0</v>
      </c>
      <c r="AJ309" s="20">
        <v>0</v>
      </c>
      <c r="AK309" s="20">
        <v>0</v>
      </c>
      <c r="AL309" s="20">
        <v>0</v>
      </c>
      <c r="AM309" s="20">
        <v>0</v>
      </c>
      <c r="AN309" s="20">
        <v>0</v>
      </c>
      <c r="AO309" s="20">
        <v>0</v>
      </c>
      <c r="AP309" s="20">
        <v>0</v>
      </c>
      <c r="AQ309" s="20">
        <v>0</v>
      </c>
      <c r="AR309" s="20">
        <v>0</v>
      </c>
      <c r="AS309" s="20">
        <v>0</v>
      </c>
      <c r="AT309" s="20">
        <v>0</v>
      </c>
      <c r="AU309" s="20">
        <v>0</v>
      </c>
      <c r="AV309" s="20">
        <v>0</v>
      </c>
      <c r="AW309" s="20">
        <v>0</v>
      </c>
      <c r="AX309" s="20">
        <v>0</v>
      </c>
      <c r="AY309" s="20">
        <v>0</v>
      </c>
      <c r="AZ309" s="20">
        <v>0</v>
      </c>
      <c r="BA309" s="20">
        <v>0</v>
      </c>
      <c r="BB309" s="20">
        <v>0</v>
      </c>
      <c r="BC309" s="20">
        <v>0</v>
      </c>
      <c r="BD309" s="20">
        <v>0</v>
      </c>
      <c r="BE309" s="20">
        <v>0</v>
      </c>
      <c r="BF309" s="20">
        <v>0</v>
      </c>
      <c r="BG309" s="20">
        <v>0</v>
      </c>
      <c r="BH309" s="20">
        <v>0</v>
      </c>
      <c r="BI309" s="20">
        <v>0</v>
      </c>
      <c r="BJ309" s="20">
        <v>0</v>
      </c>
      <c r="BK309" s="20">
        <v>0</v>
      </c>
      <c r="BL309" s="20">
        <v>0</v>
      </c>
      <c r="BM309" s="20">
        <v>0</v>
      </c>
      <c r="BN309" s="20">
        <v>0</v>
      </c>
      <c r="BO309" s="20">
        <v>0</v>
      </c>
      <c r="BP309" s="20">
        <v>0</v>
      </c>
      <c r="BQ309" s="20">
        <v>0</v>
      </c>
      <c r="BR309" s="20">
        <v>0</v>
      </c>
      <c r="BS309" s="20">
        <v>0</v>
      </c>
      <c r="BT309" s="20">
        <v>0</v>
      </c>
      <c r="BU309" s="20">
        <v>0</v>
      </c>
      <c r="BV309" s="20">
        <v>0</v>
      </c>
      <c r="BW309" s="20">
        <v>0</v>
      </c>
      <c r="BX309" s="20">
        <v>0</v>
      </c>
      <c r="BY309" s="20">
        <v>0</v>
      </c>
      <c r="BZ309" s="20">
        <v>0</v>
      </c>
      <c r="CA309" s="20">
        <v>0</v>
      </c>
    </row>
    <row r="310" spans="1:79" x14ac:dyDescent="0.3">
      <c r="A310" s="19"/>
      <c r="B310" s="20" t="str">
        <f t="shared" si="87"/>
        <v>12690003</v>
      </c>
      <c r="C310" s="55" t="str">
        <f t="shared" si="88"/>
        <v>2</v>
      </c>
      <c r="D310" s="55">
        <f t="shared" si="89"/>
        <v>6</v>
      </c>
      <c r="E310" s="49">
        <v>3</v>
      </c>
      <c r="F310" s="20">
        <v>1</v>
      </c>
      <c r="G310" s="20">
        <v>106</v>
      </c>
      <c r="H310" s="20" t="str">
        <f t="shared" si="90"/>
        <v>Item_Name_12690003</v>
      </c>
      <c r="I310" s="20" t="s">
        <v>617</v>
      </c>
      <c r="J310" s="20">
        <v>10102001</v>
      </c>
      <c r="K310" s="20">
        <v>99</v>
      </c>
      <c r="L310" s="20">
        <v>0</v>
      </c>
      <c r="M310" s="20">
        <v>0</v>
      </c>
      <c r="N310" s="20">
        <v>15</v>
      </c>
      <c r="O310" s="20">
        <v>100</v>
      </c>
      <c r="P310" s="20">
        <v>1</v>
      </c>
      <c r="Q310" s="20" t="s">
        <v>234</v>
      </c>
      <c r="R310" s="20" t="s">
        <v>448</v>
      </c>
      <c r="S310" s="20" t="s">
        <v>326</v>
      </c>
      <c r="T310" s="20" t="s">
        <v>400</v>
      </c>
      <c r="U310" s="20">
        <v>0</v>
      </c>
      <c r="V310" s="20">
        <v>0</v>
      </c>
      <c r="W310" s="20">
        <v>73</v>
      </c>
      <c r="X310" s="20">
        <v>3</v>
      </c>
      <c r="Y310" s="20">
        <v>1203</v>
      </c>
      <c r="Z310" s="20">
        <v>1203</v>
      </c>
      <c r="AA310" s="20">
        <v>1205</v>
      </c>
      <c r="AB310" s="20">
        <v>1205</v>
      </c>
      <c r="AC310" s="20">
        <v>0</v>
      </c>
      <c r="AD310" s="20">
        <v>0</v>
      </c>
      <c r="AE310" s="39">
        <v>10203</v>
      </c>
      <c r="AF310" s="31">
        <v>0</v>
      </c>
      <c r="AG310" s="20">
        <v>0</v>
      </c>
      <c r="AH310" s="20">
        <v>0</v>
      </c>
      <c r="AI310" s="20">
        <v>0</v>
      </c>
      <c r="AJ310" s="20">
        <v>0</v>
      </c>
      <c r="AK310" s="20">
        <v>0</v>
      </c>
      <c r="AL310" s="20">
        <v>0</v>
      </c>
      <c r="AM310" s="20">
        <v>0</v>
      </c>
      <c r="AN310" s="20">
        <v>0</v>
      </c>
      <c r="AO310" s="20">
        <v>0</v>
      </c>
      <c r="AP310" s="20">
        <v>0</v>
      </c>
      <c r="AQ310" s="20">
        <v>0</v>
      </c>
      <c r="AR310" s="20">
        <v>0</v>
      </c>
      <c r="AS310" s="20">
        <v>0</v>
      </c>
      <c r="AT310" s="20">
        <v>0</v>
      </c>
      <c r="AU310" s="20">
        <v>0</v>
      </c>
      <c r="AV310" s="20">
        <v>0</v>
      </c>
      <c r="AW310" s="20">
        <v>0</v>
      </c>
      <c r="AX310" s="20">
        <v>0</v>
      </c>
      <c r="AY310" s="20">
        <v>0</v>
      </c>
      <c r="AZ310" s="20">
        <v>0</v>
      </c>
      <c r="BA310" s="20">
        <v>0</v>
      </c>
      <c r="BB310" s="20">
        <v>0</v>
      </c>
      <c r="BC310" s="20">
        <v>0</v>
      </c>
      <c r="BD310" s="20">
        <v>0</v>
      </c>
      <c r="BE310" s="20">
        <v>0</v>
      </c>
      <c r="BF310" s="20">
        <v>0</v>
      </c>
      <c r="BG310" s="20">
        <v>0</v>
      </c>
      <c r="BH310" s="20">
        <v>0</v>
      </c>
      <c r="BI310" s="20">
        <v>0</v>
      </c>
      <c r="BJ310" s="20">
        <v>0</v>
      </c>
      <c r="BK310" s="20">
        <v>0</v>
      </c>
      <c r="BL310" s="20">
        <v>0</v>
      </c>
      <c r="BM310" s="20">
        <v>0</v>
      </c>
      <c r="BN310" s="20">
        <v>0</v>
      </c>
      <c r="BO310" s="20">
        <v>0</v>
      </c>
      <c r="BP310" s="20">
        <v>0</v>
      </c>
      <c r="BQ310" s="20">
        <v>0</v>
      </c>
      <c r="BR310" s="20">
        <v>0</v>
      </c>
      <c r="BS310" s="20">
        <v>0</v>
      </c>
      <c r="BT310" s="20">
        <v>0</v>
      </c>
      <c r="BU310" s="20">
        <v>0</v>
      </c>
      <c r="BV310" s="20">
        <v>0</v>
      </c>
      <c r="BW310" s="20">
        <v>0</v>
      </c>
      <c r="BX310" s="20">
        <v>0</v>
      </c>
      <c r="BY310" s="20">
        <v>0</v>
      </c>
      <c r="BZ310" s="20">
        <v>0</v>
      </c>
      <c r="CA310" s="20">
        <v>0</v>
      </c>
    </row>
    <row r="311" spans="1:79" x14ac:dyDescent="0.3">
      <c r="A311" s="59"/>
      <c r="B311" s="20" t="str">
        <f t="shared" si="87"/>
        <v>13690001</v>
      </c>
      <c r="C311" s="55">
        <v>3</v>
      </c>
      <c r="D311" s="55">
        <f t="shared" si="89"/>
        <v>6</v>
      </c>
      <c r="E311" s="49">
        <v>1</v>
      </c>
      <c r="F311" s="57">
        <v>1</v>
      </c>
      <c r="G311" s="57">
        <v>106</v>
      </c>
      <c r="H311" s="57" t="str">
        <f t="shared" si="90"/>
        <v>Item_Name_13690001</v>
      </c>
      <c r="I311" s="57" t="s">
        <v>817</v>
      </c>
      <c r="J311" s="57">
        <v>10103001</v>
      </c>
      <c r="K311" s="57">
        <v>99</v>
      </c>
      <c r="L311" s="57">
        <v>0</v>
      </c>
      <c r="M311" s="57">
        <v>0</v>
      </c>
      <c r="N311" s="57">
        <v>15</v>
      </c>
      <c r="O311" s="57">
        <v>100</v>
      </c>
      <c r="P311" s="57">
        <v>1</v>
      </c>
      <c r="Q311" s="57" t="s">
        <v>820</v>
      </c>
      <c r="R311" s="57" t="s">
        <v>448</v>
      </c>
      <c r="S311" s="57" t="s">
        <v>326</v>
      </c>
      <c r="T311" s="57" t="s">
        <v>400</v>
      </c>
      <c r="U311" s="57">
        <v>0</v>
      </c>
      <c r="V311" s="57">
        <v>0</v>
      </c>
      <c r="W311" s="57">
        <v>73</v>
      </c>
      <c r="X311" s="57">
        <v>1</v>
      </c>
      <c r="Y311" s="57">
        <v>1202</v>
      </c>
      <c r="Z311" s="57">
        <v>1202</v>
      </c>
      <c r="AA311" s="57">
        <v>1206</v>
      </c>
      <c r="AB311" s="57">
        <v>1206</v>
      </c>
      <c r="AC311" s="57">
        <v>0</v>
      </c>
      <c r="AD311" s="57">
        <v>0</v>
      </c>
      <c r="AE311" s="58">
        <v>10301</v>
      </c>
      <c r="AF311" s="30">
        <v>0</v>
      </c>
      <c r="AG311" s="57">
        <v>0</v>
      </c>
      <c r="AH311" s="57">
        <v>0</v>
      </c>
      <c r="AI311" s="57">
        <v>0</v>
      </c>
      <c r="AJ311" s="57">
        <v>0</v>
      </c>
      <c r="AK311" s="57">
        <v>0</v>
      </c>
      <c r="AL311" s="57">
        <v>0</v>
      </c>
      <c r="AM311" s="57">
        <v>0</v>
      </c>
      <c r="AN311" s="57">
        <v>0</v>
      </c>
      <c r="AO311" s="57">
        <v>0</v>
      </c>
      <c r="AP311" s="57">
        <v>0</v>
      </c>
      <c r="AQ311" s="57">
        <v>0</v>
      </c>
      <c r="AR311" s="57">
        <v>0</v>
      </c>
      <c r="AS311" s="57">
        <v>0</v>
      </c>
      <c r="AT311" s="57">
        <v>0</v>
      </c>
      <c r="AU311" s="57">
        <v>0</v>
      </c>
      <c r="AV311" s="57">
        <v>0</v>
      </c>
      <c r="AW311" s="57">
        <v>0</v>
      </c>
      <c r="AX311" s="57">
        <v>0</v>
      </c>
      <c r="AY311" s="57">
        <v>0</v>
      </c>
      <c r="AZ311" s="57">
        <v>0</v>
      </c>
      <c r="BA311" s="57">
        <v>0</v>
      </c>
      <c r="BB311" s="57">
        <v>0</v>
      </c>
      <c r="BC311" s="57">
        <v>0</v>
      </c>
      <c r="BD311" s="57">
        <v>0</v>
      </c>
      <c r="BE311" s="57">
        <v>0</v>
      </c>
      <c r="BF311" s="57">
        <v>0</v>
      </c>
      <c r="BG311" s="57">
        <v>0</v>
      </c>
      <c r="BH311" s="57">
        <v>0</v>
      </c>
      <c r="BI311" s="57">
        <v>0</v>
      </c>
      <c r="BJ311" s="57">
        <v>0</v>
      </c>
      <c r="BK311" s="57">
        <v>0</v>
      </c>
      <c r="BL311" s="57">
        <v>0</v>
      </c>
      <c r="BM311" s="57">
        <v>0</v>
      </c>
      <c r="BN311" s="57">
        <v>0</v>
      </c>
      <c r="BO311" s="57">
        <v>0</v>
      </c>
      <c r="BP311" s="57">
        <v>0</v>
      </c>
      <c r="BQ311" s="57">
        <v>0</v>
      </c>
      <c r="BR311" s="57">
        <v>0</v>
      </c>
      <c r="BS311" s="57">
        <v>0</v>
      </c>
      <c r="BT311" s="57">
        <v>0</v>
      </c>
      <c r="BU311" s="57">
        <v>0</v>
      </c>
      <c r="BV311" s="57">
        <v>0</v>
      </c>
      <c r="BW311" s="57">
        <v>0</v>
      </c>
      <c r="BX311" s="57">
        <v>0</v>
      </c>
      <c r="BY311" s="57">
        <v>0</v>
      </c>
      <c r="BZ311" s="57">
        <v>0</v>
      </c>
      <c r="CA311" s="57">
        <v>0</v>
      </c>
    </row>
    <row r="312" spans="1:79" x14ac:dyDescent="0.3">
      <c r="A312" s="59"/>
      <c r="B312" s="20" t="str">
        <f t="shared" si="87"/>
        <v>13690002</v>
      </c>
      <c r="C312" s="55">
        <v>3</v>
      </c>
      <c r="D312" s="55">
        <f t="shared" si="89"/>
        <v>6</v>
      </c>
      <c r="E312" s="49">
        <v>2</v>
      </c>
      <c r="F312" s="57">
        <v>1</v>
      </c>
      <c r="G312" s="57">
        <v>106</v>
      </c>
      <c r="H312" s="57" t="str">
        <f t="shared" si="90"/>
        <v>Item_Name_13690002</v>
      </c>
      <c r="I312" s="57" t="s">
        <v>818</v>
      </c>
      <c r="J312" s="57">
        <v>10103001</v>
      </c>
      <c r="K312" s="57">
        <v>99</v>
      </c>
      <c r="L312" s="57">
        <v>0</v>
      </c>
      <c r="M312" s="57">
        <v>0</v>
      </c>
      <c r="N312" s="57">
        <v>15</v>
      </c>
      <c r="O312" s="57">
        <v>100</v>
      </c>
      <c r="P312" s="57">
        <v>1</v>
      </c>
      <c r="Q312" s="57" t="s">
        <v>821</v>
      </c>
      <c r="R312" s="57" t="s">
        <v>448</v>
      </c>
      <c r="S312" s="57" t="s">
        <v>326</v>
      </c>
      <c r="T312" s="57" t="s">
        <v>400</v>
      </c>
      <c r="U312" s="57">
        <v>0</v>
      </c>
      <c r="V312" s="57">
        <v>0</v>
      </c>
      <c r="W312" s="57">
        <v>73</v>
      </c>
      <c r="X312" s="57">
        <v>2</v>
      </c>
      <c r="Y312" s="57">
        <v>1202</v>
      </c>
      <c r="Z312" s="57">
        <v>1202</v>
      </c>
      <c r="AA312" s="57">
        <v>1206</v>
      </c>
      <c r="AB312" s="57">
        <v>1206</v>
      </c>
      <c r="AC312" s="57">
        <v>0</v>
      </c>
      <c r="AD312" s="57">
        <v>0</v>
      </c>
      <c r="AE312" s="58">
        <v>10302</v>
      </c>
      <c r="AF312" s="30">
        <v>0</v>
      </c>
      <c r="AG312" s="57">
        <v>0</v>
      </c>
      <c r="AH312" s="57">
        <v>0</v>
      </c>
      <c r="AI312" s="57">
        <v>0</v>
      </c>
      <c r="AJ312" s="57">
        <v>0</v>
      </c>
      <c r="AK312" s="57">
        <v>0</v>
      </c>
      <c r="AL312" s="57">
        <v>0</v>
      </c>
      <c r="AM312" s="57">
        <v>0</v>
      </c>
      <c r="AN312" s="57">
        <v>0</v>
      </c>
      <c r="AO312" s="57">
        <v>0</v>
      </c>
      <c r="AP312" s="57">
        <v>0</v>
      </c>
      <c r="AQ312" s="57">
        <v>0</v>
      </c>
      <c r="AR312" s="57">
        <v>0</v>
      </c>
      <c r="AS312" s="57">
        <v>0</v>
      </c>
      <c r="AT312" s="57">
        <v>0</v>
      </c>
      <c r="AU312" s="57">
        <v>0</v>
      </c>
      <c r="AV312" s="57">
        <v>0</v>
      </c>
      <c r="AW312" s="57">
        <v>0</v>
      </c>
      <c r="AX312" s="57">
        <v>0</v>
      </c>
      <c r="AY312" s="57">
        <v>0</v>
      </c>
      <c r="AZ312" s="57">
        <v>0</v>
      </c>
      <c r="BA312" s="57">
        <v>0</v>
      </c>
      <c r="BB312" s="57">
        <v>0</v>
      </c>
      <c r="BC312" s="57">
        <v>0</v>
      </c>
      <c r="BD312" s="57">
        <v>0</v>
      </c>
      <c r="BE312" s="57">
        <v>0</v>
      </c>
      <c r="BF312" s="57">
        <v>0</v>
      </c>
      <c r="BG312" s="57">
        <v>0</v>
      </c>
      <c r="BH312" s="57">
        <v>0</v>
      </c>
      <c r="BI312" s="57">
        <v>0</v>
      </c>
      <c r="BJ312" s="57">
        <v>0</v>
      </c>
      <c r="BK312" s="57">
        <v>0</v>
      </c>
      <c r="BL312" s="57">
        <v>0</v>
      </c>
      <c r="BM312" s="57">
        <v>0</v>
      </c>
      <c r="BN312" s="57">
        <v>0</v>
      </c>
      <c r="BO312" s="57">
        <v>0</v>
      </c>
      <c r="BP312" s="57">
        <v>0</v>
      </c>
      <c r="BQ312" s="57">
        <v>0</v>
      </c>
      <c r="BR312" s="57">
        <v>0</v>
      </c>
      <c r="BS312" s="57">
        <v>0</v>
      </c>
      <c r="BT312" s="57">
        <v>0</v>
      </c>
      <c r="BU312" s="57">
        <v>0</v>
      </c>
      <c r="BV312" s="57">
        <v>0</v>
      </c>
      <c r="BW312" s="57">
        <v>0</v>
      </c>
      <c r="BX312" s="57">
        <v>0</v>
      </c>
      <c r="BY312" s="57">
        <v>0</v>
      </c>
      <c r="BZ312" s="57">
        <v>0</v>
      </c>
      <c r="CA312" s="57">
        <v>0</v>
      </c>
    </row>
    <row r="313" spans="1:79" x14ac:dyDescent="0.3">
      <c r="A313" s="59"/>
      <c r="B313" s="20" t="str">
        <f t="shared" si="87"/>
        <v>13690003</v>
      </c>
      <c r="C313" s="55">
        <v>3</v>
      </c>
      <c r="D313" s="55">
        <f t="shared" si="89"/>
        <v>6</v>
      </c>
      <c r="E313" s="49">
        <v>3</v>
      </c>
      <c r="F313" s="57">
        <v>1</v>
      </c>
      <c r="G313" s="57">
        <v>106</v>
      </c>
      <c r="H313" s="57" t="str">
        <f t="shared" si="90"/>
        <v>Item_Name_13690003</v>
      </c>
      <c r="I313" s="57" t="s">
        <v>819</v>
      </c>
      <c r="J313" s="57">
        <v>10103001</v>
      </c>
      <c r="K313" s="57">
        <v>99</v>
      </c>
      <c r="L313" s="57">
        <v>0</v>
      </c>
      <c r="M313" s="57">
        <v>0</v>
      </c>
      <c r="N313" s="57">
        <v>15</v>
      </c>
      <c r="O313" s="57">
        <v>100</v>
      </c>
      <c r="P313" s="57">
        <v>1</v>
      </c>
      <c r="Q313" s="57" t="s">
        <v>822</v>
      </c>
      <c r="R313" s="57" t="s">
        <v>448</v>
      </c>
      <c r="S313" s="57" t="s">
        <v>326</v>
      </c>
      <c r="T313" s="57" t="s">
        <v>400</v>
      </c>
      <c r="U313" s="57">
        <v>0</v>
      </c>
      <c r="V313" s="57">
        <v>0</v>
      </c>
      <c r="W313" s="57">
        <v>73</v>
      </c>
      <c r="X313" s="57">
        <v>3</v>
      </c>
      <c r="Y313" s="57">
        <v>1202</v>
      </c>
      <c r="Z313" s="57">
        <v>1202</v>
      </c>
      <c r="AA313" s="57">
        <v>1206</v>
      </c>
      <c r="AB313" s="57">
        <v>1206</v>
      </c>
      <c r="AC313" s="57">
        <v>0</v>
      </c>
      <c r="AD313" s="57">
        <v>0</v>
      </c>
      <c r="AE313" s="58">
        <v>10303</v>
      </c>
      <c r="AF313" s="30">
        <v>0</v>
      </c>
      <c r="AG313" s="57">
        <v>0</v>
      </c>
      <c r="AH313" s="57">
        <v>0</v>
      </c>
      <c r="AI313" s="57">
        <v>0</v>
      </c>
      <c r="AJ313" s="57">
        <v>0</v>
      </c>
      <c r="AK313" s="57">
        <v>0</v>
      </c>
      <c r="AL313" s="57">
        <v>0</v>
      </c>
      <c r="AM313" s="57">
        <v>0</v>
      </c>
      <c r="AN313" s="57">
        <v>0</v>
      </c>
      <c r="AO313" s="57">
        <v>0</v>
      </c>
      <c r="AP313" s="57">
        <v>0</v>
      </c>
      <c r="AQ313" s="57">
        <v>0</v>
      </c>
      <c r="AR313" s="57">
        <v>0</v>
      </c>
      <c r="AS313" s="57">
        <v>0</v>
      </c>
      <c r="AT313" s="57">
        <v>0</v>
      </c>
      <c r="AU313" s="57">
        <v>0</v>
      </c>
      <c r="AV313" s="57">
        <v>0</v>
      </c>
      <c r="AW313" s="57">
        <v>0</v>
      </c>
      <c r="AX313" s="57">
        <v>0</v>
      </c>
      <c r="AY313" s="57">
        <v>0</v>
      </c>
      <c r="AZ313" s="57">
        <v>0</v>
      </c>
      <c r="BA313" s="57">
        <v>0</v>
      </c>
      <c r="BB313" s="57">
        <v>0</v>
      </c>
      <c r="BC313" s="57">
        <v>0</v>
      </c>
      <c r="BD313" s="57">
        <v>0</v>
      </c>
      <c r="BE313" s="57">
        <v>0</v>
      </c>
      <c r="BF313" s="57">
        <v>0</v>
      </c>
      <c r="BG313" s="57">
        <v>0</v>
      </c>
      <c r="BH313" s="57">
        <v>0</v>
      </c>
      <c r="BI313" s="57">
        <v>0</v>
      </c>
      <c r="BJ313" s="57">
        <v>0</v>
      </c>
      <c r="BK313" s="57">
        <v>0</v>
      </c>
      <c r="BL313" s="57">
        <v>0</v>
      </c>
      <c r="BM313" s="57">
        <v>0</v>
      </c>
      <c r="BN313" s="57">
        <v>0</v>
      </c>
      <c r="BO313" s="57">
        <v>0</v>
      </c>
      <c r="BP313" s="57">
        <v>0</v>
      </c>
      <c r="BQ313" s="57">
        <v>0</v>
      </c>
      <c r="BR313" s="57">
        <v>0</v>
      </c>
      <c r="BS313" s="57">
        <v>0</v>
      </c>
      <c r="BT313" s="57">
        <v>0</v>
      </c>
      <c r="BU313" s="57">
        <v>0</v>
      </c>
      <c r="BV313" s="57">
        <v>0</v>
      </c>
      <c r="BW313" s="57">
        <v>0</v>
      </c>
      <c r="BX313" s="57">
        <v>0</v>
      </c>
      <c r="BY313" s="57">
        <v>0</v>
      </c>
      <c r="BZ313" s="57">
        <v>0</v>
      </c>
      <c r="CA313" s="57">
        <v>0</v>
      </c>
    </row>
    <row r="314" spans="1:79" x14ac:dyDescent="0.3">
      <c r="A314" s="59"/>
      <c r="B314" s="20" t="str">
        <f t="shared" si="87"/>
        <v>14690001</v>
      </c>
      <c r="C314" s="55">
        <v>4</v>
      </c>
      <c r="D314" s="55">
        <f t="shared" ref="D314:D316" si="105">IF(G314&lt;100, G314, G314-100)</f>
        <v>6</v>
      </c>
      <c r="E314" s="49">
        <v>1</v>
      </c>
      <c r="F314" s="57">
        <v>1</v>
      </c>
      <c r="G314" s="57">
        <v>106</v>
      </c>
      <c r="H314" s="57" t="str">
        <f t="shared" si="90"/>
        <v>Item_Name_14690001</v>
      </c>
      <c r="I314" s="57" t="s">
        <v>681</v>
      </c>
      <c r="J314" s="57">
        <v>10104001</v>
      </c>
      <c r="K314" s="57">
        <v>99</v>
      </c>
      <c r="L314" s="57">
        <v>0</v>
      </c>
      <c r="M314" s="57">
        <v>0</v>
      </c>
      <c r="N314" s="57">
        <v>15</v>
      </c>
      <c r="O314" s="57">
        <v>100</v>
      </c>
      <c r="P314" s="57">
        <v>1</v>
      </c>
      <c r="Q314" s="57" t="s">
        <v>684</v>
      </c>
      <c r="R314" s="57" t="s">
        <v>448</v>
      </c>
      <c r="S314" s="57" t="s">
        <v>326</v>
      </c>
      <c r="T314" s="57" t="s">
        <v>400</v>
      </c>
      <c r="U314" s="57">
        <v>0</v>
      </c>
      <c r="V314" s="57">
        <v>0</v>
      </c>
      <c r="W314" s="57">
        <v>73</v>
      </c>
      <c r="X314" s="57">
        <v>1</v>
      </c>
      <c r="Y314" s="57">
        <v>1202</v>
      </c>
      <c r="Z314" s="57">
        <v>1202</v>
      </c>
      <c r="AA314" s="57">
        <v>1206</v>
      </c>
      <c r="AB314" s="57">
        <v>1206</v>
      </c>
      <c r="AC314" s="57">
        <v>0</v>
      </c>
      <c r="AD314" s="57">
        <v>0</v>
      </c>
      <c r="AE314" s="58">
        <v>10401</v>
      </c>
      <c r="AF314" s="30">
        <v>0</v>
      </c>
      <c r="AG314" s="57">
        <v>0</v>
      </c>
      <c r="AH314" s="57">
        <v>0</v>
      </c>
      <c r="AI314" s="57">
        <v>0</v>
      </c>
      <c r="AJ314" s="57">
        <v>0</v>
      </c>
      <c r="AK314" s="57">
        <v>0</v>
      </c>
      <c r="AL314" s="57">
        <v>0</v>
      </c>
      <c r="AM314" s="57">
        <v>0</v>
      </c>
      <c r="AN314" s="57">
        <v>0</v>
      </c>
      <c r="AO314" s="57">
        <v>0</v>
      </c>
      <c r="AP314" s="57">
        <v>0</v>
      </c>
      <c r="AQ314" s="57">
        <v>0</v>
      </c>
      <c r="AR314" s="57">
        <v>0</v>
      </c>
      <c r="AS314" s="57">
        <v>0</v>
      </c>
      <c r="AT314" s="57">
        <v>0</v>
      </c>
      <c r="AU314" s="57">
        <v>0</v>
      </c>
      <c r="AV314" s="57">
        <v>0</v>
      </c>
      <c r="AW314" s="57">
        <v>0</v>
      </c>
      <c r="AX314" s="57">
        <v>0</v>
      </c>
      <c r="AY314" s="57">
        <v>0</v>
      </c>
      <c r="AZ314" s="57">
        <v>0</v>
      </c>
      <c r="BA314" s="57">
        <v>0</v>
      </c>
      <c r="BB314" s="57">
        <v>0</v>
      </c>
      <c r="BC314" s="57">
        <v>0</v>
      </c>
      <c r="BD314" s="57">
        <v>0</v>
      </c>
      <c r="BE314" s="57">
        <v>0</v>
      </c>
      <c r="BF314" s="57">
        <v>0</v>
      </c>
      <c r="BG314" s="57">
        <v>0</v>
      </c>
      <c r="BH314" s="57">
        <v>0</v>
      </c>
      <c r="BI314" s="57">
        <v>0</v>
      </c>
      <c r="BJ314" s="57">
        <v>0</v>
      </c>
      <c r="BK314" s="57">
        <v>0</v>
      </c>
      <c r="BL314" s="57">
        <v>0</v>
      </c>
      <c r="BM314" s="57">
        <v>0</v>
      </c>
      <c r="BN314" s="57">
        <v>0</v>
      </c>
      <c r="BO314" s="57">
        <v>0</v>
      </c>
      <c r="BP314" s="57">
        <v>0</v>
      </c>
      <c r="BQ314" s="57">
        <v>0</v>
      </c>
      <c r="BR314" s="57">
        <v>0</v>
      </c>
      <c r="BS314" s="57">
        <v>0</v>
      </c>
      <c r="BT314" s="57">
        <v>0</v>
      </c>
      <c r="BU314" s="57">
        <v>0</v>
      </c>
      <c r="BV314" s="57">
        <v>0</v>
      </c>
      <c r="BW314" s="57">
        <v>0</v>
      </c>
      <c r="BX314" s="57">
        <v>0</v>
      </c>
      <c r="BY314" s="57">
        <v>0</v>
      </c>
      <c r="BZ314" s="57">
        <v>0</v>
      </c>
      <c r="CA314" s="57">
        <v>0</v>
      </c>
    </row>
    <row r="315" spans="1:79" x14ac:dyDescent="0.3">
      <c r="A315" s="59"/>
      <c r="B315" s="20" t="str">
        <f t="shared" si="87"/>
        <v>14690002</v>
      </c>
      <c r="C315" s="55">
        <v>4</v>
      </c>
      <c r="D315" s="55">
        <f t="shared" si="105"/>
        <v>6</v>
      </c>
      <c r="E315" s="49">
        <v>2</v>
      </c>
      <c r="F315" s="57">
        <v>1</v>
      </c>
      <c r="G315" s="57">
        <v>106</v>
      </c>
      <c r="H315" s="57" t="str">
        <f t="shared" si="90"/>
        <v>Item_Name_14690002</v>
      </c>
      <c r="I315" s="57" t="s">
        <v>682</v>
      </c>
      <c r="J315" s="57">
        <v>10104001</v>
      </c>
      <c r="K315" s="57">
        <v>99</v>
      </c>
      <c r="L315" s="57">
        <v>0</v>
      </c>
      <c r="M315" s="57">
        <v>0</v>
      </c>
      <c r="N315" s="57">
        <v>15</v>
      </c>
      <c r="O315" s="57">
        <v>100</v>
      </c>
      <c r="P315" s="57">
        <v>1</v>
      </c>
      <c r="Q315" s="57" t="s">
        <v>685</v>
      </c>
      <c r="R315" s="57" t="s">
        <v>448</v>
      </c>
      <c r="S315" s="57" t="s">
        <v>326</v>
      </c>
      <c r="T315" s="57" t="s">
        <v>400</v>
      </c>
      <c r="U315" s="57">
        <v>0</v>
      </c>
      <c r="V315" s="57">
        <v>0</v>
      </c>
      <c r="W315" s="57">
        <v>73</v>
      </c>
      <c r="X315" s="57">
        <v>2</v>
      </c>
      <c r="Y315" s="57">
        <v>1202</v>
      </c>
      <c r="Z315" s="57">
        <v>1202</v>
      </c>
      <c r="AA315" s="57">
        <v>1206</v>
      </c>
      <c r="AB315" s="57">
        <v>1206</v>
      </c>
      <c r="AC315" s="57">
        <v>0</v>
      </c>
      <c r="AD315" s="57">
        <v>0</v>
      </c>
      <c r="AE315" s="58">
        <v>10402</v>
      </c>
      <c r="AF315" s="30">
        <v>0</v>
      </c>
      <c r="AG315" s="57">
        <v>0</v>
      </c>
      <c r="AH315" s="57">
        <v>0</v>
      </c>
      <c r="AI315" s="57">
        <v>0</v>
      </c>
      <c r="AJ315" s="57">
        <v>0</v>
      </c>
      <c r="AK315" s="57">
        <v>0</v>
      </c>
      <c r="AL315" s="57">
        <v>0</v>
      </c>
      <c r="AM315" s="57">
        <v>0</v>
      </c>
      <c r="AN315" s="57">
        <v>0</v>
      </c>
      <c r="AO315" s="57">
        <v>0</v>
      </c>
      <c r="AP315" s="57">
        <v>0</v>
      </c>
      <c r="AQ315" s="57">
        <v>0</v>
      </c>
      <c r="AR315" s="57">
        <v>0</v>
      </c>
      <c r="AS315" s="57">
        <v>0</v>
      </c>
      <c r="AT315" s="57">
        <v>0</v>
      </c>
      <c r="AU315" s="57">
        <v>0</v>
      </c>
      <c r="AV315" s="57">
        <v>0</v>
      </c>
      <c r="AW315" s="57">
        <v>0</v>
      </c>
      <c r="AX315" s="57">
        <v>0</v>
      </c>
      <c r="AY315" s="57">
        <v>0</v>
      </c>
      <c r="AZ315" s="57">
        <v>0</v>
      </c>
      <c r="BA315" s="57">
        <v>0</v>
      </c>
      <c r="BB315" s="57">
        <v>0</v>
      </c>
      <c r="BC315" s="57">
        <v>0</v>
      </c>
      <c r="BD315" s="57">
        <v>0</v>
      </c>
      <c r="BE315" s="57">
        <v>0</v>
      </c>
      <c r="BF315" s="57">
        <v>0</v>
      </c>
      <c r="BG315" s="57">
        <v>0</v>
      </c>
      <c r="BH315" s="57">
        <v>0</v>
      </c>
      <c r="BI315" s="57">
        <v>0</v>
      </c>
      <c r="BJ315" s="57">
        <v>0</v>
      </c>
      <c r="BK315" s="57">
        <v>0</v>
      </c>
      <c r="BL315" s="57">
        <v>0</v>
      </c>
      <c r="BM315" s="57">
        <v>0</v>
      </c>
      <c r="BN315" s="57">
        <v>0</v>
      </c>
      <c r="BO315" s="57">
        <v>0</v>
      </c>
      <c r="BP315" s="57">
        <v>0</v>
      </c>
      <c r="BQ315" s="57">
        <v>0</v>
      </c>
      <c r="BR315" s="57">
        <v>0</v>
      </c>
      <c r="BS315" s="57">
        <v>0</v>
      </c>
      <c r="BT315" s="57">
        <v>0</v>
      </c>
      <c r="BU315" s="57">
        <v>0</v>
      </c>
      <c r="BV315" s="57">
        <v>0</v>
      </c>
      <c r="BW315" s="57">
        <v>0</v>
      </c>
      <c r="BX315" s="57">
        <v>0</v>
      </c>
      <c r="BY315" s="57">
        <v>0</v>
      </c>
      <c r="BZ315" s="57">
        <v>0</v>
      </c>
      <c r="CA315" s="57">
        <v>0</v>
      </c>
    </row>
    <row r="316" spans="1:79" x14ac:dyDescent="0.3">
      <c r="A316" s="59"/>
      <c r="B316" s="20" t="str">
        <f t="shared" si="87"/>
        <v>14690003</v>
      </c>
      <c r="C316" s="55">
        <v>4</v>
      </c>
      <c r="D316" s="55">
        <f t="shared" si="105"/>
        <v>6</v>
      </c>
      <c r="E316" s="49">
        <v>3</v>
      </c>
      <c r="F316" s="57">
        <v>1</v>
      </c>
      <c r="G316" s="57">
        <v>106</v>
      </c>
      <c r="H316" s="57" t="str">
        <f t="shared" si="90"/>
        <v>Item_Name_14690003</v>
      </c>
      <c r="I316" s="57" t="s">
        <v>683</v>
      </c>
      <c r="J316" s="57">
        <v>10104001</v>
      </c>
      <c r="K316" s="57">
        <v>99</v>
      </c>
      <c r="L316" s="57">
        <v>0</v>
      </c>
      <c r="M316" s="57">
        <v>0</v>
      </c>
      <c r="N316" s="57">
        <v>15</v>
      </c>
      <c r="O316" s="57">
        <v>100</v>
      </c>
      <c r="P316" s="57">
        <v>1</v>
      </c>
      <c r="Q316" s="57" t="s">
        <v>686</v>
      </c>
      <c r="R316" s="57" t="s">
        <v>448</v>
      </c>
      <c r="S316" s="57" t="s">
        <v>326</v>
      </c>
      <c r="T316" s="57" t="s">
        <v>400</v>
      </c>
      <c r="U316" s="57">
        <v>0</v>
      </c>
      <c r="V316" s="57">
        <v>0</v>
      </c>
      <c r="W316" s="57">
        <v>73</v>
      </c>
      <c r="X316" s="57">
        <v>3</v>
      </c>
      <c r="Y316" s="57">
        <v>1202</v>
      </c>
      <c r="Z316" s="57">
        <v>1202</v>
      </c>
      <c r="AA316" s="57">
        <v>1206</v>
      </c>
      <c r="AB316" s="57">
        <v>1206</v>
      </c>
      <c r="AC316" s="57">
        <v>0</v>
      </c>
      <c r="AD316" s="57">
        <v>0</v>
      </c>
      <c r="AE316" s="58">
        <v>10403</v>
      </c>
      <c r="AF316" s="30">
        <v>0</v>
      </c>
      <c r="AG316" s="57">
        <v>0</v>
      </c>
      <c r="AH316" s="57">
        <v>0</v>
      </c>
      <c r="AI316" s="57">
        <v>0</v>
      </c>
      <c r="AJ316" s="57">
        <v>0</v>
      </c>
      <c r="AK316" s="57">
        <v>0</v>
      </c>
      <c r="AL316" s="57">
        <v>0</v>
      </c>
      <c r="AM316" s="57">
        <v>0</v>
      </c>
      <c r="AN316" s="57">
        <v>0</v>
      </c>
      <c r="AO316" s="57">
        <v>0</v>
      </c>
      <c r="AP316" s="57">
        <v>0</v>
      </c>
      <c r="AQ316" s="57">
        <v>0</v>
      </c>
      <c r="AR316" s="57">
        <v>0</v>
      </c>
      <c r="AS316" s="57">
        <v>0</v>
      </c>
      <c r="AT316" s="57">
        <v>0</v>
      </c>
      <c r="AU316" s="57">
        <v>0</v>
      </c>
      <c r="AV316" s="57">
        <v>0</v>
      </c>
      <c r="AW316" s="57">
        <v>0</v>
      </c>
      <c r="AX316" s="57">
        <v>0</v>
      </c>
      <c r="AY316" s="57">
        <v>0</v>
      </c>
      <c r="AZ316" s="57">
        <v>0</v>
      </c>
      <c r="BA316" s="57">
        <v>0</v>
      </c>
      <c r="BB316" s="57">
        <v>0</v>
      </c>
      <c r="BC316" s="57">
        <v>0</v>
      </c>
      <c r="BD316" s="57">
        <v>0</v>
      </c>
      <c r="BE316" s="57">
        <v>0</v>
      </c>
      <c r="BF316" s="57">
        <v>0</v>
      </c>
      <c r="BG316" s="57">
        <v>0</v>
      </c>
      <c r="BH316" s="57">
        <v>0</v>
      </c>
      <c r="BI316" s="57">
        <v>0</v>
      </c>
      <c r="BJ316" s="57">
        <v>0</v>
      </c>
      <c r="BK316" s="57">
        <v>0</v>
      </c>
      <c r="BL316" s="57">
        <v>0</v>
      </c>
      <c r="BM316" s="57">
        <v>0</v>
      </c>
      <c r="BN316" s="57">
        <v>0</v>
      </c>
      <c r="BO316" s="57">
        <v>0</v>
      </c>
      <c r="BP316" s="57">
        <v>0</v>
      </c>
      <c r="BQ316" s="57">
        <v>0</v>
      </c>
      <c r="BR316" s="57">
        <v>0</v>
      </c>
      <c r="BS316" s="57">
        <v>0</v>
      </c>
      <c r="BT316" s="57">
        <v>0</v>
      </c>
      <c r="BU316" s="57">
        <v>0</v>
      </c>
      <c r="BV316" s="57">
        <v>0</v>
      </c>
      <c r="BW316" s="57">
        <v>0</v>
      </c>
      <c r="BX316" s="57">
        <v>0</v>
      </c>
      <c r="BY316" s="57">
        <v>0</v>
      </c>
      <c r="BZ316" s="57">
        <v>0</v>
      </c>
      <c r="CA316" s="57">
        <v>0</v>
      </c>
    </row>
    <row r="317" spans="1:79" x14ac:dyDescent="0.3">
      <c r="A317" s="26"/>
      <c r="B317" s="20" t="str">
        <f t="shared" si="87"/>
        <v>11990001</v>
      </c>
      <c r="C317" s="55" t="str">
        <f t="shared" si="88"/>
        <v>1</v>
      </c>
      <c r="D317" s="55">
        <f t="shared" si="89"/>
        <v>9</v>
      </c>
      <c r="E317" s="49">
        <v>1</v>
      </c>
      <c r="F317" s="57">
        <v>1</v>
      </c>
      <c r="G317" s="57">
        <v>109</v>
      </c>
      <c r="H317" s="57" t="str">
        <f t="shared" si="90"/>
        <v>Item_Name_11990001</v>
      </c>
      <c r="I317" s="57" t="s">
        <v>503</v>
      </c>
      <c r="J317" s="57">
        <v>10101001</v>
      </c>
      <c r="K317" s="57">
        <v>99</v>
      </c>
      <c r="L317" s="57">
        <v>0</v>
      </c>
      <c r="M317" s="57">
        <v>0</v>
      </c>
      <c r="N317" s="57">
        <v>15</v>
      </c>
      <c r="O317" s="57">
        <v>100</v>
      </c>
      <c r="P317" s="57">
        <v>1</v>
      </c>
      <c r="Q317" s="57" t="s">
        <v>660</v>
      </c>
      <c r="R317" s="57" t="s">
        <v>448</v>
      </c>
      <c r="S317" s="57" t="s">
        <v>501</v>
      </c>
      <c r="T317" s="57" t="s">
        <v>400</v>
      </c>
      <c r="U317" s="57">
        <v>0</v>
      </c>
      <c r="V317" s="57">
        <v>0</v>
      </c>
      <c r="W317" s="57">
        <v>73</v>
      </c>
      <c r="X317" s="57">
        <v>1</v>
      </c>
      <c r="Y317" s="57">
        <v>1201</v>
      </c>
      <c r="Z317" s="57">
        <v>1201</v>
      </c>
      <c r="AA317" s="57">
        <v>1205</v>
      </c>
      <c r="AB317" s="57">
        <v>1205</v>
      </c>
      <c r="AC317" s="57">
        <v>0</v>
      </c>
      <c r="AD317" s="57">
        <v>0</v>
      </c>
      <c r="AE317" s="58">
        <v>10101</v>
      </c>
      <c r="AF317" s="30">
        <v>0</v>
      </c>
      <c r="AG317" s="57">
        <v>0</v>
      </c>
      <c r="AH317" s="57">
        <v>0</v>
      </c>
      <c r="AI317" s="57">
        <v>0</v>
      </c>
      <c r="AJ317" s="57">
        <v>0</v>
      </c>
      <c r="AK317" s="57">
        <v>0</v>
      </c>
      <c r="AL317" s="57">
        <v>0</v>
      </c>
      <c r="AM317" s="57">
        <v>0</v>
      </c>
      <c r="AN317" s="57">
        <v>0</v>
      </c>
      <c r="AO317" s="57">
        <v>0</v>
      </c>
      <c r="AP317" s="57">
        <v>0</v>
      </c>
      <c r="AQ317" s="57">
        <v>0</v>
      </c>
      <c r="AR317" s="57">
        <v>0</v>
      </c>
      <c r="AS317" s="57">
        <v>0</v>
      </c>
      <c r="AT317" s="57">
        <v>0</v>
      </c>
      <c r="AU317" s="57">
        <v>0</v>
      </c>
      <c r="AV317" s="57">
        <v>0</v>
      </c>
      <c r="AW317" s="57">
        <v>0</v>
      </c>
      <c r="AX317" s="57">
        <v>0</v>
      </c>
      <c r="AY317" s="57">
        <v>0</v>
      </c>
      <c r="AZ317" s="57">
        <v>0</v>
      </c>
      <c r="BA317" s="57">
        <v>0</v>
      </c>
      <c r="BB317" s="57">
        <v>0</v>
      </c>
      <c r="BC317" s="57">
        <v>0</v>
      </c>
      <c r="BD317" s="57">
        <v>0</v>
      </c>
      <c r="BE317" s="57">
        <v>0</v>
      </c>
      <c r="BF317" s="57">
        <v>0</v>
      </c>
      <c r="BG317" s="57">
        <v>0</v>
      </c>
      <c r="BH317" s="57">
        <v>0</v>
      </c>
      <c r="BI317" s="57">
        <v>0</v>
      </c>
      <c r="BJ317" s="57">
        <v>0</v>
      </c>
      <c r="BK317" s="57">
        <v>0</v>
      </c>
      <c r="BL317" s="57">
        <v>0</v>
      </c>
      <c r="BM317" s="57">
        <v>0</v>
      </c>
      <c r="BN317" s="57">
        <v>0</v>
      </c>
      <c r="BO317" s="57">
        <v>0</v>
      </c>
      <c r="BP317" s="57">
        <v>0</v>
      </c>
      <c r="BQ317" s="57">
        <v>0</v>
      </c>
      <c r="BR317" s="57">
        <v>0</v>
      </c>
      <c r="BS317" s="57">
        <v>0</v>
      </c>
      <c r="BT317" s="57">
        <v>0</v>
      </c>
      <c r="BU317" s="57">
        <v>0</v>
      </c>
      <c r="BV317" s="57">
        <v>0</v>
      </c>
      <c r="BW317" s="57">
        <v>0</v>
      </c>
      <c r="BX317" s="57">
        <v>0</v>
      </c>
      <c r="BY317" s="57">
        <v>0</v>
      </c>
      <c r="BZ317" s="57">
        <v>0</v>
      </c>
      <c r="CA317" s="57">
        <v>0</v>
      </c>
    </row>
    <row r="318" spans="1:79" x14ac:dyDescent="0.3">
      <c r="A318" s="26"/>
      <c r="B318" s="20" t="str">
        <f t="shared" si="87"/>
        <v>11990002</v>
      </c>
      <c r="C318" s="55" t="str">
        <f t="shared" ref="C318:C319" si="106">IF(J318&gt;0,MID(J318,5, 1), 0)</f>
        <v>1</v>
      </c>
      <c r="D318" s="55">
        <f t="shared" ref="D318:D319" si="107">IF(G318&lt;100, G318, G318-100)</f>
        <v>9</v>
      </c>
      <c r="E318" s="49">
        <v>2</v>
      </c>
      <c r="F318" s="57">
        <v>1</v>
      </c>
      <c r="G318" s="57">
        <v>109</v>
      </c>
      <c r="H318" s="57" t="str">
        <f t="shared" si="90"/>
        <v>Item_Name_11990002</v>
      </c>
      <c r="I318" s="57" t="s">
        <v>618</v>
      </c>
      <c r="J318" s="57">
        <v>10101001</v>
      </c>
      <c r="K318" s="57">
        <v>99</v>
      </c>
      <c r="L318" s="57">
        <v>0</v>
      </c>
      <c r="M318" s="57">
        <v>0</v>
      </c>
      <c r="N318" s="57">
        <v>15</v>
      </c>
      <c r="O318" s="57">
        <v>100</v>
      </c>
      <c r="P318" s="57">
        <v>1</v>
      </c>
      <c r="Q318" s="57" t="s">
        <v>661</v>
      </c>
      <c r="R318" s="57" t="s">
        <v>448</v>
      </c>
      <c r="S318" s="57" t="s">
        <v>501</v>
      </c>
      <c r="T318" s="57" t="s">
        <v>400</v>
      </c>
      <c r="U318" s="57">
        <v>0</v>
      </c>
      <c r="V318" s="57">
        <v>0</v>
      </c>
      <c r="W318" s="57">
        <v>73</v>
      </c>
      <c r="X318" s="57">
        <v>2</v>
      </c>
      <c r="Y318" s="57">
        <v>1201</v>
      </c>
      <c r="Z318" s="57">
        <v>1201</v>
      </c>
      <c r="AA318" s="57">
        <v>1205</v>
      </c>
      <c r="AB318" s="57">
        <v>1205</v>
      </c>
      <c r="AC318" s="57">
        <v>0</v>
      </c>
      <c r="AD318" s="57">
        <v>0</v>
      </c>
      <c r="AE318" s="58">
        <v>10102</v>
      </c>
      <c r="AF318" s="30">
        <v>0</v>
      </c>
      <c r="AG318" s="57">
        <v>0</v>
      </c>
      <c r="AH318" s="57">
        <v>0</v>
      </c>
      <c r="AI318" s="57">
        <v>0</v>
      </c>
      <c r="AJ318" s="57">
        <v>0</v>
      </c>
      <c r="AK318" s="57">
        <v>0</v>
      </c>
      <c r="AL318" s="57">
        <v>0</v>
      </c>
      <c r="AM318" s="57">
        <v>0</v>
      </c>
      <c r="AN318" s="57">
        <v>0</v>
      </c>
      <c r="AO318" s="57">
        <v>0</v>
      </c>
      <c r="AP318" s="57">
        <v>0</v>
      </c>
      <c r="AQ318" s="57">
        <v>0</v>
      </c>
      <c r="AR318" s="57">
        <v>0</v>
      </c>
      <c r="AS318" s="57">
        <v>0</v>
      </c>
      <c r="AT318" s="57">
        <v>0</v>
      </c>
      <c r="AU318" s="57">
        <v>0</v>
      </c>
      <c r="AV318" s="57">
        <v>0</v>
      </c>
      <c r="AW318" s="57">
        <v>0</v>
      </c>
      <c r="AX318" s="57">
        <v>0</v>
      </c>
      <c r="AY318" s="57">
        <v>0</v>
      </c>
      <c r="AZ318" s="57">
        <v>0</v>
      </c>
      <c r="BA318" s="57">
        <v>0</v>
      </c>
      <c r="BB318" s="57">
        <v>0</v>
      </c>
      <c r="BC318" s="57">
        <v>0</v>
      </c>
      <c r="BD318" s="57">
        <v>0</v>
      </c>
      <c r="BE318" s="57">
        <v>0</v>
      </c>
      <c r="BF318" s="57">
        <v>0</v>
      </c>
      <c r="BG318" s="57">
        <v>0</v>
      </c>
      <c r="BH318" s="57">
        <v>0</v>
      </c>
      <c r="BI318" s="57">
        <v>0</v>
      </c>
      <c r="BJ318" s="57">
        <v>0</v>
      </c>
      <c r="BK318" s="57">
        <v>0</v>
      </c>
      <c r="BL318" s="57">
        <v>0</v>
      </c>
      <c r="BM318" s="57">
        <v>0</v>
      </c>
      <c r="BN318" s="57">
        <v>0</v>
      </c>
      <c r="BO318" s="57">
        <v>0</v>
      </c>
      <c r="BP318" s="57">
        <v>0</v>
      </c>
      <c r="BQ318" s="57">
        <v>0</v>
      </c>
      <c r="BR318" s="57">
        <v>0</v>
      </c>
      <c r="BS318" s="57">
        <v>0</v>
      </c>
      <c r="BT318" s="57">
        <v>0</v>
      </c>
      <c r="BU318" s="57">
        <v>0</v>
      </c>
      <c r="BV318" s="57">
        <v>0</v>
      </c>
      <c r="BW318" s="57">
        <v>0</v>
      </c>
      <c r="BX318" s="57">
        <v>0</v>
      </c>
      <c r="BY318" s="57">
        <v>0</v>
      </c>
      <c r="BZ318" s="57">
        <v>0</v>
      </c>
      <c r="CA318" s="57">
        <v>0</v>
      </c>
    </row>
    <row r="319" spans="1:79" x14ac:dyDescent="0.3">
      <c r="A319" s="26"/>
      <c r="B319" s="20" t="str">
        <f t="shared" si="87"/>
        <v>11990003</v>
      </c>
      <c r="C319" s="55" t="str">
        <f t="shared" si="106"/>
        <v>1</v>
      </c>
      <c r="D319" s="55">
        <f t="shared" si="107"/>
        <v>9</v>
      </c>
      <c r="E319" s="49">
        <v>3</v>
      </c>
      <c r="F319" s="57">
        <v>1</v>
      </c>
      <c r="G319" s="57">
        <v>109</v>
      </c>
      <c r="H319" s="57" t="str">
        <f t="shared" si="90"/>
        <v>Item_Name_11990003</v>
      </c>
      <c r="I319" s="57" t="s">
        <v>619</v>
      </c>
      <c r="J319" s="57">
        <v>10101001</v>
      </c>
      <c r="K319" s="57">
        <v>99</v>
      </c>
      <c r="L319" s="57">
        <v>0</v>
      </c>
      <c r="M319" s="57">
        <v>0</v>
      </c>
      <c r="N319" s="57">
        <v>15</v>
      </c>
      <c r="O319" s="57">
        <v>100</v>
      </c>
      <c r="P319" s="57">
        <v>1</v>
      </c>
      <c r="Q319" s="57" t="s">
        <v>662</v>
      </c>
      <c r="R319" s="57" t="s">
        <v>448</v>
      </c>
      <c r="S319" s="57" t="s">
        <v>501</v>
      </c>
      <c r="T319" s="57" t="s">
        <v>400</v>
      </c>
      <c r="U319" s="57">
        <v>0</v>
      </c>
      <c r="V319" s="57">
        <v>0</v>
      </c>
      <c r="W319" s="57">
        <v>73</v>
      </c>
      <c r="X319" s="57">
        <v>3</v>
      </c>
      <c r="Y319" s="57">
        <v>1201</v>
      </c>
      <c r="Z319" s="57">
        <v>1201</v>
      </c>
      <c r="AA319" s="57">
        <v>1205</v>
      </c>
      <c r="AB319" s="57">
        <v>1205</v>
      </c>
      <c r="AC319" s="57">
        <v>0</v>
      </c>
      <c r="AD319" s="57">
        <v>0</v>
      </c>
      <c r="AE319" s="58">
        <v>10103</v>
      </c>
      <c r="AF319" s="30">
        <v>0</v>
      </c>
      <c r="AG319" s="57">
        <v>0</v>
      </c>
      <c r="AH319" s="57">
        <v>0</v>
      </c>
      <c r="AI319" s="57">
        <v>0</v>
      </c>
      <c r="AJ319" s="57">
        <v>0</v>
      </c>
      <c r="AK319" s="57">
        <v>0</v>
      </c>
      <c r="AL319" s="57">
        <v>0</v>
      </c>
      <c r="AM319" s="57">
        <v>0</v>
      </c>
      <c r="AN319" s="57">
        <v>0</v>
      </c>
      <c r="AO319" s="57">
        <v>0</v>
      </c>
      <c r="AP319" s="57">
        <v>0</v>
      </c>
      <c r="AQ319" s="57">
        <v>0</v>
      </c>
      <c r="AR319" s="57">
        <v>0</v>
      </c>
      <c r="AS319" s="57">
        <v>0</v>
      </c>
      <c r="AT319" s="57">
        <v>0</v>
      </c>
      <c r="AU319" s="57">
        <v>0</v>
      </c>
      <c r="AV319" s="57">
        <v>0</v>
      </c>
      <c r="AW319" s="57">
        <v>0</v>
      </c>
      <c r="AX319" s="57">
        <v>0</v>
      </c>
      <c r="AY319" s="57">
        <v>0</v>
      </c>
      <c r="AZ319" s="57">
        <v>0</v>
      </c>
      <c r="BA319" s="57">
        <v>0</v>
      </c>
      <c r="BB319" s="57">
        <v>0</v>
      </c>
      <c r="BC319" s="57">
        <v>0</v>
      </c>
      <c r="BD319" s="57">
        <v>0</v>
      </c>
      <c r="BE319" s="57">
        <v>0</v>
      </c>
      <c r="BF319" s="57">
        <v>0</v>
      </c>
      <c r="BG319" s="57">
        <v>0</v>
      </c>
      <c r="BH319" s="57">
        <v>0</v>
      </c>
      <c r="BI319" s="57">
        <v>0</v>
      </c>
      <c r="BJ319" s="57">
        <v>0</v>
      </c>
      <c r="BK319" s="57">
        <v>0</v>
      </c>
      <c r="BL319" s="57">
        <v>0</v>
      </c>
      <c r="BM319" s="57">
        <v>0</v>
      </c>
      <c r="BN319" s="57">
        <v>0</v>
      </c>
      <c r="BO319" s="57">
        <v>0</v>
      </c>
      <c r="BP319" s="57">
        <v>0</v>
      </c>
      <c r="BQ319" s="57">
        <v>0</v>
      </c>
      <c r="BR319" s="57">
        <v>0</v>
      </c>
      <c r="BS319" s="57">
        <v>0</v>
      </c>
      <c r="BT319" s="57">
        <v>0</v>
      </c>
      <c r="BU319" s="57">
        <v>0</v>
      </c>
      <c r="BV319" s="57">
        <v>0</v>
      </c>
      <c r="BW319" s="57">
        <v>0</v>
      </c>
      <c r="BX319" s="57">
        <v>0</v>
      </c>
      <c r="BY319" s="57">
        <v>0</v>
      </c>
      <c r="BZ319" s="57">
        <v>0</v>
      </c>
      <c r="CA319" s="57">
        <v>0</v>
      </c>
    </row>
    <row r="320" spans="1:79" x14ac:dyDescent="0.3">
      <c r="A320" s="26"/>
      <c r="B320" s="20" t="str">
        <f t="shared" si="87"/>
        <v>12990001</v>
      </c>
      <c r="C320" s="55" t="str">
        <f t="shared" si="88"/>
        <v>2</v>
      </c>
      <c r="D320" s="55">
        <f t="shared" si="89"/>
        <v>9</v>
      </c>
      <c r="E320" s="49">
        <v>1</v>
      </c>
      <c r="F320" s="20">
        <v>1</v>
      </c>
      <c r="G320" s="20">
        <v>109</v>
      </c>
      <c r="H320" s="20" t="str">
        <f t="shared" si="90"/>
        <v>Item_Name_12990001</v>
      </c>
      <c r="I320" s="20" t="s">
        <v>504</v>
      </c>
      <c r="J320" s="20">
        <v>10102001</v>
      </c>
      <c r="K320" s="20">
        <v>99</v>
      </c>
      <c r="L320" s="20">
        <v>0</v>
      </c>
      <c r="M320" s="20">
        <v>0</v>
      </c>
      <c r="N320" s="20">
        <v>15</v>
      </c>
      <c r="O320" s="20">
        <v>100</v>
      </c>
      <c r="P320" s="20">
        <v>1</v>
      </c>
      <c r="Q320" s="20" t="s">
        <v>507</v>
      </c>
      <c r="R320" s="20" t="s">
        <v>448</v>
      </c>
      <c r="S320" s="20" t="s">
        <v>501</v>
      </c>
      <c r="T320" s="20" t="s">
        <v>400</v>
      </c>
      <c r="U320" s="20">
        <v>0</v>
      </c>
      <c r="V320" s="20">
        <v>0</v>
      </c>
      <c r="W320" s="20">
        <v>73</v>
      </c>
      <c r="X320" s="20">
        <v>1</v>
      </c>
      <c r="Y320" s="20">
        <v>1203</v>
      </c>
      <c r="Z320" s="20">
        <v>1203</v>
      </c>
      <c r="AA320" s="20">
        <v>1205</v>
      </c>
      <c r="AB320" s="20">
        <v>1205</v>
      </c>
      <c r="AC320" s="20">
        <v>0</v>
      </c>
      <c r="AD320" s="20">
        <v>0</v>
      </c>
      <c r="AE320" s="39">
        <v>10201</v>
      </c>
      <c r="AF320" s="31">
        <v>0</v>
      </c>
      <c r="AG320" s="20">
        <v>0</v>
      </c>
      <c r="AH320" s="20">
        <v>0</v>
      </c>
      <c r="AI320" s="20">
        <v>0</v>
      </c>
      <c r="AJ320" s="20">
        <v>0</v>
      </c>
      <c r="AK320" s="20">
        <v>0</v>
      </c>
      <c r="AL320" s="20">
        <v>0</v>
      </c>
      <c r="AM320" s="20">
        <v>0</v>
      </c>
      <c r="AN320" s="20">
        <v>0</v>
      </c>
      <c r="AO320" s="20">
        <v>0</v>
      </c>
      <c r="AP320" s="20">
        <v>0</v>
      </c>
      <c r="AQ320" s="20">
        <v>0</v>
      </c>
      <c r="AR320" s="20">
        <v>0</v>
      </c>
      <c r="AS320" s="20">
        <v>0</v>
      </c>
      <c r="AT320" s="20">
        <v>0</v>
      </c>
      <c r="AU320" s="20">
        <v>0</v>
      </c>
      <c r="AV320" s="20">
        <v>0</v>
      </c>
      <c r="AW320" s="20">
        <v>0</v>
      </c>
      <c r="AX320" s="20">
        <v>0</v>
      </c>
      <c r="AY320" s="20">
        <v>0</v>
      </c>
      <c r="AZ320" s="20">
        <v>0</v>
      </c>
      <c r="BA320" s="20">
        <v>0</v>
      </c>
      <c r="BB320" s="20">
        <v>0</v>
      </c>
      <c r="BC320" s="20">
        <v>0</v>
      </c>
      <c r="BD320" s="20">
        <v>0</v>
      </c>
      <c r="BE320" s="20">
        <v>0</v>
      </c>
      <c r="BF320" s="20">
        <v>0</v>
      </c>
      <c r="BG320" s="20">
        <v>0</v>
      </c>
      <c r="BH320" s="20">
        <v>0</v>
      </c>
      <c r="BI320" s="20">
        <v>0</v>
      </c>
      <c r="BJ320" s="20">
        <v>0</v>
      </c>
      <c r="BK320" s="20">
        <v>0</v>
      </c>
      <c r="BL320" s="20">
        <v>0</v>
      </c>
      <c r="BM320" s="20">
        <v>0</v>
      </c>
      <c r="BN320" s="20">
        <v>0</v>
      </c>
      <c r="BO320" s="20">
        <v>0</v>
      </c>
      <c r="BP320" s="20">
        <v>0</v>
      </c>
      <c r="BQ320" s="20">
        <v>0</v>
      </c>
      <c r="BR320" s="20">
        <v>0</v>
      </c>
      <c r="BS320" s="20">
        <v>0</v>
      </c>
      <c r="BT320" s="20">
        <v>0</v>
      </c>
      <c r="BU320" s="20">
        <v>0</v>
      </c>
      <c r="BV320" s="20">
        <v>0</v>
      </c>
      <c r="BW320" s="20">
        <v>0</v>
      </c>
      <c r="BX320" s="20">
        <v>0</v>
      </c>
      <c r="BY320" s="20">
        <v>0</v>
      </c>
      <c r="BZ320" s="20">
        <v>0</v>
      </c>
      <c r="CA320" s="20">
        <v>0</v>
      </c>
    </row>
    <row r="321" spans="1:79" x14ac:dyDescent="0.3">
      <c r="A321" s="26"/>
      <c r="B321" s="20" t="str">
        <f t="shared" si="87"/>
        <v>12990002</v>
      </c>
      <c r="C321" s="55" t="str">
        <f t="shared" si="88"/>
        <v>2</v>
      </c>
      <c r="D321" s="55">
        <f t="shared" si="89"/>
        <v>9</v>
      </c>
      <c r="E321" s="49">
        <v>2</v>
      </c>
      <c r="F321" s="20">
        <v>1</v>
      </c>
      <c r="G321" s="20">
        <v>109</v>
      </c>
      <c r="H321" s="20" t="str">
        <f t="shared" si="90"/>
        <v>Item_Name_12990002</v>
      </c>
      <c r="I321" s="20" t="s">
        <v>505</v>
      </c>
      <c r="J321" s="20">
        <v>10102001</v>
      </c>
      <c r="K321" s="20">
        <v>99</v>
      </c>
      <c r="L321" s="20">
        <v>0</v>
      </c>
      <c r="M321" s="20">
        <v>0</v>
      </c>
      <c r="N321" s="20">
        <v>15</v>
      </c>
      <c r="O321" s="20">
        <v>100</v>
      </c>
      <c r="P321" s="20">
        <v>1</v>
      </c>
      <c r="Q321" s="20" t="s">
        <v>508</v>
      </c>
      <c r="R321" s="20" t="s">
        <v>448</v>
      </c>
      <c r="S321" s="20" t="s">
        <v>501</v>
      </c>
      <c r="T321" s="20" t="s">
        <v>400</v>
      </c>
      <c r="U321" s="20">
        <v>0</v>
      </c>
      <c r="V321" s="20">
        <v>0</v>
      </c>
      <c r="W321" s="20">
        <v>73</v>
      </c>
      <c r="X321" s="20">
        <v>2</v>
      </c>
      <c r="Y321" s="20">
        <v>1203</v>
      </c>
      <c r="Z321" s="20">
        <v>1203</v>
      </c>
      <c r="AA321" s="20">
        <v>1205</v>
      </c>
      <c r="AB321" s="20">
        <v>1205</v>
      </c>
      <c r="AC321" s="20">
        <v>0</v>
      </c>
      <c r="AD321" s="20">
        <v>0</v>
      </c>
      <c r="AE321" s="39">
        <v>10202</v>
      </c>
      <c r="AF321" s="31">
        <v>0</v>
      </c>
      <c r="AG321" s="20">
        <v>0</v>
      </c>
      <c r="AH321" s="20">
        <v>0</v>
      </c>
      <c r="AI321" s="20">
        <v>0</v>
      </c>
      <c r="AJ321" s="20">
        <v>0</v>
      </c>
      <c r="AK321" s="20">
        <v>0</v>
      </c>
      <c r="AL321" s="20">
        <v>0</v>
      </c>
      <c r="AM321" s="20">
        <v>0</v>
      </c>
      <c r="AN321" s="20">
        <v>0</v>
      </c>
      <c r="AO321" s="20">
        <v>0</v>
      </c>
      <c r="AP321" s="20">
        <v>0</v>
      </c>
      <c r="AQ321" s="20">
        <v>0</v>
      </c>
      <c r="AR321" s="20">
        <v>0</v>
      </c>
      <c r="AS321" s="20">
        <v>0</v>
      </c>
      <c r="AT321" s="20">
        <v>0</v>
      </c>
      <c r="AU321" s="20">
        <v>0</v>
      </c>
      <c r="AV321" s="20">
        <v>0</v>
      </c>
      <c r="AW321" s="20">
        <v>0</v>
      </c>
      <c r="AX321" s="20">
        <v>0</v>
      </c>
      <c r="AY321" s="20">
        <v>0</v>
      </c>
      <c r="AZ321" s="20">
        <v>0</v>
      </c>
      <c r="BA321" s="20">
        <v>0</v>
      </c>
      <c r="BB321" s="20">
        <v>0</v>
      </c>
      <c r="BC321" s="20">
        <v>0</v>
      </c>
      <c r="BD321" s="20">
        <v>0</v>
      </c>
      <c r="BE321" s="20">
        <v>0</v>
      </c>
      <c r="BF321" s="20">
        <v>0</v>
      </c>
      <c r="BG321" s="20">
        <v>0</v>
      </c>
      <c r="BH321" s="20">
        <v>0</v>
      </c>
      <c r="BI321" s="20">
        <v>0</v>
      </c>
      <c r="BJ321" s="20">
        <v>0</v>
      </c>
      <c r="BK321" s="20">
        <v>0</v>
      </c>
      <c r="BL321" s="20">
        <v>0</v>
      </c>
      <c r="BM321" s="20">
        <v>0</v>
      </c>
      <c r="BN321" s="20">
        <v>0</v>
      </c>
      <c r="BO321" s="20">
        <v>0</v>
      </c>
      <c r="BP321" s="20">
        <v>0</v>
      </c>
      <c r="BQ321" s="20">
        <v>0</v>
      </c>
      <c r="BR321" s="20">
        <v>0</v>
      </c>
      <c r="BS321" s="20">
        <v>0</v>
      </c>
      <c r="BT321" s="20">
        <v>0</v>
      </c>
      <c r="BU321" s="20">
        <v>0</v>
      </c>
      <c r="BV321" s="20">
        <v>0</v>
      </c>
      <c r="BW321" s="20">
        <v>0</v>
      </c>
      <c r="BX321" s="20">
        <v>0</v>
      </c>
      <c r="BY321" s="20">
        <v>0</v>
      </c>
      <c r="BZ321" s="20">
        <v>0</v>
      </c>
      <c r="CA321" s="20">
        <v>0</v>
      </c>
    </row>
    <row r="322" spans="1:79" x14ac:dyDescent="0.3">
      <c r="A322" s="26"/>
      <c r="B322" s="20" t="str">
        <f t="shared" si="87"/>
        <v>12990003</v>
      </c>
      <c r="C322" s="55" t="str">
        <f t="shared" si="88"/>
        <v>2</v>
      </c>
      <c r="D322" s="55">
        <f t="shared" si="89"/>
        <v>9</v>
      </c>
      <c r="E322" s="49">
        <v>3</v>
      </c>
      <c r="F322" s="20">
        <v>1</v>
      </c>
      <c r="G322" s="20">
        <v>109</v>
      </c>
      <c r="H322" s="20" t="str">
        <f t="shared" si="90"/>
        <v>Item_Name_12990003</v>
      </c>
      <c r="I322" s="20" t="s">
        <v>506</v>
      </c>
      <c r="J322" s="20">
        <v>10102001</v>
      </c>
      <c r="K322" s="20">
        <v>99</v>
      </c>
      <c r="L322" s="20">
        <v>0</v>
      </c>
      <c r="M322" s="20">
        <v>0</v>
      </c>
      <c r="N322" s="20">
        <v>15</v>
      </c>
      <c r="O322" s="20">
        <v>100</v>
      </c>
      <c r="P322" s="20">
        <v>1</v>
      </c>
      <c r="Q322" s="20" t="s">
        <v>509</v>
      </c>
      <c r="R322" s="20" t="s">
        <v>448</v>
      </c>
      <c r="S322" s="20" t="s">
        <v>501</v>
      </c>
      <c r="T322" s="20" t="s">
        <v>400</v>
      </c>
      <c r="U322" s="20">
        <v>0</v>
      </c>
      <c r="V322" s="20">
        <v>0</v>
      </c>
      <c r="W322" s="20">
        <v>73</v>
      </c>
      <c r="X322" s="20">
        <v>3</v>
      </c>
      <c r="Y322" s="20">
        <v>1203</v>
      </c>
      <c r="Z322" s="20">
        <v>1203</v>
      </c>
      <c r="AA322" s="20">
        <v>1205</v>
      </c>
      <c r="AB322" s="20">
        <v>1205</v>
      </c>
      <c r="AC322" s="20">
        <v>0</v>
      </c>
      <c r="AD322" s="20">
        <v>0</v>
      </c>
      <c r="AE322" s="39">
        <v>10203</v>
      </c>
      <c r="AF322" s="31">
        <v>0</v>
      </c>
      <c r="AG322" s="20">
        <v>0</v>
      </c>
      <c r="AH322" s="20">
        <v>0</v>
      </c>
      <c r="AI322" s="20">
        <v>0</v>
      </c>
      <c r="AJ322" s="20">
        <v>0</v>
      </c>
      <c r="AK322" s="20">
        <v>0</v>
      </c>
      <c r="AL322" s="20">
        <v>0</v>
      </c>
      <c r="AM322" s="20">
        <v>0</v>
      </c>
      <c r="AN322" s="20">
        <v>0</v>
      </c>
      <c r="AO322" s="20">
        <v>0</v>
      </c>
      <c r="AP322" s="20">
        <v>0</v>
      </c>
      <c r="AQ322" s="20">
        <v>0</v>
      </c>
      <c r="AR322" s="20">
        <v>0</v>
      </c>
      <c r="AS322" s="20">
        <v>0</v>
      </c>
      <c r="AT322" s="20">
        <v>0</v>
      </c>
      <c r="AU322" s="20">
        <v>0</v>
      </c>
      <c r="AV322" s="20">
        <v>0</v>
      </c>
      <c r="AW322" s="20">
        <v>0</v>
      </c>
      <c r="AX322" s="20">
        <v>0</v>
      </c>
      <c r="AY322" s="20">
        <v>0</v>
      </c>
      <c r="AZ322" s="20">
        <v>0</v>
      </c>
      <c r="BA322" s="20">
        <v>0</v>
      </c>
      <c r="BB322" s="20">
        <v>0</v>
      </c>
      <c r="BC322" s="20">
        <v>0</v>
      </c>
      <c r="BD322" s="20">
        <v>0</v>
      </c>
      <c r="BE322" s="20">
        <v>0</v>
      </c>
      <c r="BF322" s="20">
        <v>0</v>
      </c>
      <c r="BG322" s="20">
        <v>0</v>
      </c>
      <c r="BH322" s="20">
        <v>0</v>
      </c>
      <c r="BI322" s="20">
        <v>0</v>
      </c>
      <c r="BJ322" s="20">
        <v>0</v>
      </c>
      <c r="BK322" s="20">
        <v>0</v>
      </c>
      <c r="BL322" s="20">
        <v>0</v>
      </c>
      <c r="BM322" s="20">
        <v>0</v>
      </c>
      <c r="BN322" s="20">
        <v>0</v>
      </c>
      <c r="BO322" s="20">
        <v>0</v>
      </c>
      <c r="BP322" s="20">
        <v>0</v>
      </c>
      <c r="BQ322" s="20">
        <v>0</v>
      </c>
      <c r="BR322" s="20">
        <v>0</v>
      </c>
      <c r="BS322" s="20">
        <v>0</v>
      </c>
      <c r="BT322" s="20">
        <v>0</v>
      </c>
      <c r="BU322" s="20">
        <v>0</v>
      </c>
      <c r="BV322" s="20">
        <v>0</v>
      </c>
      <c r="BW322" s="20">
        <v>0</v>
      </c>
      <c r="BX322" s="20">
        <v>0</v>
      </c>
      <c r="BY322" s="20">
        <v>0</v>
      </c>
      <c r="BZ322" s="20">
        <v>0</v>
      </c>
      <c r="CA322" s="20">
        <v>0</v>
      </c>
    </row>
    <row r="323" spans="1:79" x14ac:dyDescent="0.3">
      <c r="A323" s="26"/>
      <c r="B323" s="20" t="str">
        <f t="shared" si="87"/>
        <v>13990001</v>
      </c>
      <c r="C323" s="55">
        <v>3</v>
      </c>
      <c r="D323" s="55">
        <f t="shared" ref="D323:D325" si="108">IF(G323&lt;100, G323, G323-100)</f>
        <v>9</v>
      </c>
      <c r="E323" s="49">
        <v>1</v>
      </c>
      <c r="F323" s="57">
        <v>1</v>
      </c>
      <c r="G323" s="57">
        <v>109</v>
      </c>
      <c r="H323" s="57" t="str">
        <f t="shared" si="90"/>
        <v>Item_Name_13990001</v>
      </c>
      <c r="I323" s="57" t="s">
        <v>823</v>
      </c>
      <c r="J323" s="57">
        <v>10103001</v>
      </c>
      <c r="K323" s="57">
        <v>99</v>
      </c>
      <c r="L323" s="57">
        <v>0</v>
      </c>
      <c r="M323" s="57">
        <v>0</v>
      </c>
      <c r="N323" s="57">
        <v>15</v>
      </c>
      <c r="O323" s="57">
        <v>100</v>
      </c>
      <c r="P323" s="57">
        <v>1</v>
      </c>
      <c r="Q323" s="57" t="s">
        <v>826</v>
      </c>
      <c r="R323" s="57" t="s">
        <v>448</v>
      </c>
      <c r="S323" s="57" t="s">
        <v>501</v>
      </c>
      <c r="T323" s="57" t="s">
        <v>400</v>
      </c>
      <c r="U323" s="57">
        <v>0</v>
      </c>
      <c r="V323" s="57">
        <v>0</v>
      </c>
      <c r="W323" s="57">
        <v>73</v>
      </c>
      <c r="X323" s="57">
        <v>1</v>
      </c>
      <c r="Y323" s="57">
        <v>1202</v>
      </c>
      <c r="Z323" s="57">
        <v>1202</v>
      </c>
      <c r="AA323" s="57">
        <v>1206</v>
      </c>
      <c r="AB323" s="57">
        <v>1206</v>
      </c>
      <c r="AC323" s="57">
        <v>0</v>
      </c>
      <c r="AD323" s="57">
        <v>0</v>
      </c>
      <c r="AE323" s="58">
        <v>10301</v>
      </c>
      <c r="AF323" s="30">
        <v>0</v>
      </c>
      <c r="AG323" s="57">
        <v>0</v>
      </c>
      <c r="AH323" s="57">
        <v>0</v>
      </c>
      <c r="AI323" s="57">
        <v>0</v>
      </c>
      <c r="AJ323" s="57">
        <v>0</v>
      </c>
      <c r="AK323" s="57">
        <v>0</v>
      </c>
      <c r="AL323" s="57">
        <v>0</v>
      </c>
      <c r="AM323" s="57">
        <v>0</v>
      </c>
      <c r="AN323" s="57">
        <v>0</v>
      </c>
      <c r="AO323" s="57">
        <v>0</v>
      </c>
      <c r="AP323" s="57">
        <v>0</v>
      </c>
      <c r="AQ323" s="57">
        <v>0</v>
      </c>
      <c r="AR323" s="57">
        <v>0</v>
      </c>
      <c r="AS323" s="57">
        <v>0</v>
      </c>
      <c r="AT323" s="57">
        <v>0</v>
      </c>
      <c r="AU323" s="57">
        <v>0</v>
      </c>
      <c r="AV323" s="57">
        <v>0</v>
      </c>
      <c r="AW323" s="57">
        <v>0</v>
      </c>
      <c r="AX323" s="57">
        <v>0</v>
      </c>
      <c r="AY323" s="57">
        <v>0</v>
      </c>
      <c r="AZ323" s="57">
        <v>0</v>
      </c>
      <c r="BA323" s="57">
        <v>0</v>
      </c>
      <c r="BB323" s="57">
        <v>0</v>
      </c>
      <c r="BC323" s="57">
        <v>0</v>
      </c>
      <c r="BD323" s="57">
        <v>0</v>
      </c>
      <c r="BE323" s="57">
        <v>0</v>
      </c>
      <c r="BF323" s="57">
        <v>0</v>
      </c>
      <c r="BG323" s="57">
        <v>0</v>
      </c>
      <c r="BH323" s="57">
        <v>0</v>
      </c>
      <c r="BI323" s="57">
        <v>0</v>
      </c>
      <c r="BJ323" s="57">
        <v>0</v>
      </c>
      <c r="BK323" s="57">
        <v>0</v>
      </c>
      <c r="BL323" s="57">
        <v>0</v>
      </c>
      <c r="BM323" s="57">
        <v>0</v>
      </c>
      <c r="BN323" s="57">
        <v>0</v>
      </c>
      <c r="BO323" s="57">
        <v>0</v>
      </c>
      <c r="BP323" s="57">
        <v>0</v>
      </c>
      <c r="BQ323" s="57">
        <v>0</v>
      </c>
      <c r="BR323" s="57">
        <v>0</v>
      </c>
      <c r="BS323" s="57">
        <v>0</v>
      </c>
      <c r="BT323" s="57">
        <v>0</v>
      </c>
      <c r="BU323" s="57">
        <v>0</v>
      </c>
      <c r="BV323" s="57">
        <v>0</v>
      </c>
      <c r="BW323" s="57">
        <v>0</v>
      </c>
      <c r="BX323" s="57">
        <v>0</v>
      </c>
      <c r="BY323" s="57">
        <v>0</v>
      </c>
      <c r="BZ323" s="57">
        <v>0</v>
      </c>
      <c r="CA323" s="57">
        <v>0</v>
      </c>
    </row>
    <row r="324" spans="1:79" x14ac:dyDescent="0.3">
      <c r="A324" s="26"/>
      <c r="B324" s="20" t="str">
        <f t="shared" si="87"/>
        <v>13990002</v>
      </c>
      <c r="C324" s="55">
        <v>3</v>
      </c>
      <c r="D324" s="55">
        <f t="shared" si="108"/>
        <v>9</v>
      </c>
      <c r="E324" s="49">
        <v>2</v>
      </c>
      <c r="F324" s="57">
        <v>1</v>
      </c>
      <c r="G324" s="57">
        <v>109</v>
      </c>
      <c r="H324" s="57" t="str">
        <f t="shared" si="90"/>
        <v>Item_Name_13990002</v>
      </c>
      <c r="I324" s="57" t="s">
        <v>824</v>
      </c>
      <c r="J324" s="57">
        <v>10103001</v>
      </c>
      <c r="K324" s="57">
        <v>99</v>
      </c>
      <c r="L324" s="57">
        <v>0</v>
      </c>
      <c r="M324" s="57">
        <v>0</v>
      </c>
      <c r="N324" s="57">
        <v>15</v>
      </c>
      <c r="O324" s="57">
        <v>100</v>
      </c>
      <c r="P324" s="57">
        <v>1</v>
      </c>
      <c r="Q324" s="57" t="s">
        <v>827</v>
      </c>
      <c r="R324" s="57" t="s">
        <v>448</v>
      </c>
      <c r="S324" s="57" t="s">
        <v>501</v>
      </c>
      <c r="T324" s="57" t="s">
        <v>400</v>
      </c>
      <c r="U324" s="57">
        <v>0</v>
      </c>
      <c r="V324" s="57">
        <v>0</v>
      </c>
      <c r="W324" s="57">
        <v>73</v>
      </c>
      <c r="X324" s="57">
        <v>2</v>
      </c>
      <c r="Y324" s="57">
        <v>1202</v>
      </c>
      <c r="Z324" s="57">
        <v>1202</v>
      </c>
      <c r="AA324" s="57">
        <v>1206</v>
      </c>
      <c r="AB324" s="57">
        <v>1206</v>
      </c>
      <c r="AC324" s="57">
        <v>0</v>
      </c>
      <c r="AD324" s="57">
        <v>0</v>
      </c>
      <c r="AE324" s="58">
        <v>10302</v>
      </c>
      <c r="AF324" s="30">
        <v>0</v>
      </c>
      <c r="AG324" s="57">
        <v>0</v>
      </c>
      <c r="AH324" s="57">
        <v>0</v>
      </c>
      <c r="AI324" s="57">
        <v>0</v>
      </c>
      <c r="AJ324" s="57">
        <v>0</v>
      </c>
      <c r="AK324" s="57">
        <v>0</v>
      </c>
      <c r="AL324" s="57">
        <v>0</v>
      </c>
      <c r="AM324" s="57">
        <v>0</v>
      </c>
      <c r="AN324" s="57">
        <v>0</v>
      </c>
      <c r="AO324" s="57">
        <v>0</v>
      </c>
      <c r="AP324" s="57">
        <v>0</v>
      </c>
      <c r="AQ324" s="57">
        <v>0</v>
      </c>
      <c r="AR324" s="57">
        <v>0</v>
      </c>
      <c r="AS324" s="57">
        <v>0</v>
      </c>
      <c r="AT324" s="57">
        <v>0</v>
      </c>
      <c r="AU324" s="57">
        <v>0</v>
      </c>
      <c r="AV324" s="57">
        <v>0</v>
      </c>
      <c r="AW324" s="57">
        <v>0</v>
      </c>
      <c r="AX324" s="57">
        <v>0</v>
      </c>
      <c r="AY324" s="57">
        <v>0</v>
      </c>
      <c r="AZ324" s="57">
        <v>0</v>
      </c>
      <c r="BA324" s="57">
        <v>0</v>
      </c>
      <c r="BB324" s="57">
        <v>0</v>
      </c>
      <c r="BC324" s="57">
        <v>0</v>
      </c>
      <c r="BD324" s="57">
        <v>0</v>
      </c>
      <c r="BE324" s="57">
        <v>0</v>
      </c>
      <c r="BF324" s="57">
        <v>0</v>
      </c>
      <c r="BG324" s="57">
        <v>0</v>
      </c>
      <c r="BH324" s="57">
        <v>0</v>
      </c>
      <c r="BI324" s="57">
        <v>0</v>
      </c>
      <c r="BJ324" s="57">
        <v>0</v>
      </c>
      <c r="BK324" s="57">
        <v>0</v>
      </c>
      <c r="BL324" s="57">
        <v>0</v>
      </c>
      <c r="BM324" s="57">
        <v>0</v>
      </c>
      <c r="BN324" s="57">
        <v>0</v>
      </c>
      <c r="BO324" s="57">
        <v>0</v>
      </c>
      <c r="BP324" s="57">
        <v>0</v>
      </c>
      <c r="BQ324" s="57">
        <v>0</v>
      </c>
      <c r="BR324" s="57">
        <v>0</v>
      </c>
      <c r="BS324" s="57">
        <v>0</v>
      </c>
      <c r="BT324" s="57">
        <v>0</v>
      </c>
      <c r="BU324" s="57">
        <v>0</v>
      </c>
      <c r="BV324" s="57">
        <v>0</v>
      </c>
      <c r="BW324" s="57">
        <v>0</v>
      </c>
      <c r="BX324" s="57">
        <v>0</v>
      </c>
      <c r="BY324" s="57">
        <v>0</v>
      </c>
      <c r="BZ324" s="57">
        <v>0</v>
      </c>
      <c r="CA324" s="57">
        <v>0</v>
      </c>
    </row>
    <row r="325" spans="1:79" x14ac:dyDescent="0.3">
      <c r="A325" s="26"/>
      <c r="B325" s="20" t="str">
        <f t="shared" si="87"/>
        <v>13990003</v>
      </c>
      <c r="C325" s="55">
        <v>3</v>
      </c>
      <c r="D325" s="55">
        <f t="shared" si="108"/>
        <v>9</v>
      </c>
      <c r="E325" s="49">
        <v>3</v>
      </c>
      <c r="F325" s="57">
        <v>1</v>
      </c>
      <c r="G325" s="57">
        <v>109</v>
      </c>
      <c r="H325" s="57" t="str">
        <f t="shared" si="90"/>
        <v>Item_Name_13990003</v>
      </c>
      <c r="I325" s="57" t="s">
        <v>825</v>
      </c>
      <c r="J325" s="57">
        <v>10103001</v>
      </c>
      <c r="K325" s="57">
        <v>99</v>
      </c>
      <c r="L325" s="57">
        <v>0</v>
      </c>
      <c r="M325" s="57">
        <v>0</v>
      </c>
      <c r="N325" s="57">
        <v>15</v>
      </c>
      <c r="O325" s="57">
        <v>100</v>
      </c>
      <c r="P325" s="57">
        <v>1</v>
      </c>
      <c r="Q325" s="57" t="s">
        <v>828</v>
      </c>
      <c r="R325" s="57" t="s">
        <v>448</v>
      </c>
      <c r="S325" s="57" t="s">
        <v>501</v>
      </c>
      <c r="T325" s="57" t="s">
        <v>400</v>
      </c>
      <c r="U325" s="57">
        <v>0</v>
      </c>
      <c r="V325" s="57">
        <v>0</v>
      </c>
      <c r="W325" s="57">
        <v>73</v>
      </c>
      <c r="X325" s="57">
        <v>3</v>
      </c>
      <c r="Y325" s="57">
        <v>1202</v>
      </c>
      <c r="Z325" s="57">
        <v>1202</v>
      </c>
      <c r="AA325" s="57">
        <v>1206</v>
      </c>
      <c r="AB325" s="57">
        <v>1206</v>
      </c>
      <c r="AC325" s="57">
        <v>0</v>
      </c>
      <c r="AD325" s="57">
        <v>0</v>
      </c>
      <c r="AE325" s="58">
        <v>10303</v>
      </c>
      <c r="AF325" s="30">
        <v>0</v>
      </c>
      <c r="AG325" s="57">
        <v>0</v>
      </c>
      <c r="AH325" s="57">
        <v>0</v>
      </c>
      <c r="AI325" s="57">
        <v>0</v>
      </c>
      <c r="AJ325" s="57">
        <v>0</v>
      </c>
      <c r="AK325" s="57">
        <v>0</v>
      </c>
      <c r="AL325" s="57">
        <v>0</v>
      </c>
      <c r="AM325" s="57">
        <v>0</v>
      </c>
      <c r="AN325" s="57">
        <v>0</v>
      </c>
      <c r="AO325" s="57">
        <v>0</v>
      </c>
      <c r="AP325" s="57">
        <v>0</v>
      </c>
      <c r="AQ325" s="57">
        <v>0</v>
      </c>
      <c r="AR325" s="57">
        <v>0</v>
      </c>
      <c r="AS325" s="57">
        <v>0</v>
      </c>
      <c r="AT325" s="57">
        <v>0</v>
      </c>
      <c r="AU325" s="57">
        <v>0</v>
      </c>
      <c r="AV325" s="57">
        <v>0</v>
      </c>
      <c r="AW325" s="57">
        <v>0</v>
      </c>
      <c r="AX325" s="57">
        <v>0</v>
      </c>
      <c r="AY325" s="57">
        <v>0</v>
      </c>
      <c r="AZ325" s="57">
        <v>0</v>
      </c>
      <c r="BA325" s="57">
        <v>0</v>
      </c>
      <c r="BB325" s="57">
        <v>0</v>
      </c>
      <c r="BC325" s="57">
        <v>0</v>
      </c>
      <c r="BD325" s="57">
        <v>0</v>
      </c>
      <c r="BE325" s="57">
        <v>0</v>
      </c>
      <c r="BF325" s="57">
        <v>0</v>
      </c>
      <c r="BG325" s="57">
        <v>0</v>
      </c>
      <c r="BH325" s="57">
        <v>0</v>
      </c>
      <c r="BI325" s="57">
        <v>0</v>
      </c>
      <c r="BJ325" s="57">
        <v>0</v>
      </c>
      <c r="BK325" s="57">
        <v>0</v>
      </c>
      <c r="BL325" s="57">
        <v>0</v>
      </c>
      <c r="BM325" s="57">
        <v>0</v>
      </c>
      <c r="BN325" s="57">
        <v>0</v>
      </c>
      <c r="BO325" s="57">
        <v>0</v>
      </c>
      <c r="BP325" s="57">
        <v>0</v>
      </c>
      <c r="BQ325" s="57">
        <v>0</v>
      </c>
      <c r="BR325" s="57">
        <v>0</v>
      </c>
      <c r="BS325" s="57">
        <v>0</v>
      </c>
      <c r="BT325" s="57">
        <v>0</v>
      </c>
      <c r="BU325" s="57">
        <v>0</v>
      </c>
      <c r="BV325" s="57">
        <v>0</v>
      </c>
      <c r="BW325" s="57">
        <v>0</v>
      </c>
      <c r="BX325" s="57">
        <v>0</v>
      </c>
      <c r="BY325" s="57">
        <v>0</v>
      </c>
      <c r="BZ325" s="57">
        <v>0</v>
      </c>
      <c r="CA325" s="57">
        <v>0</v>
      </c>
    </row>
    <row r="326" spans="1:79" x14ac:dyDescent="0.3">
      <c r="A326" s="26"/>
      <c r="B326" s="20" t="str">
        <f t="shared" si="87"/>
        <v>14990001</v>
      </c>
      <c r="C326" s="55">
        <v>4</v>
      </c>
      <c r="D326" s="55">
        <f t="shared" ref="D326:D328" si="109">IF(G326&lt;100, G326, G326-100)</f>
        <v>9</v>
      </c>
      <c r="E326" s="49">
        <v>1</v>
      </c>
      <c r="F326" s="57">
        <v>1</v>
      </c>
      <c r="G326" s="57">
        <v>109</v>
      </c>
      <c r="H326" s="57" t="str">
        <f t="shared" si="90"/>
        <v>Item_Name_14990001</v>
      </c>
      <c r="I326" s="57" t="s">
        <v>690</v>
      </c>
      <c r="J326" s="57">
        <v>10104001</v>
      </c>
      <c r="K326" s="57">
        <v>99</v>
      </c>
      <c r="L326" s="57">
        <v>0</v>
      </c>
      <c r="M326" s="57">
        <v>0</v>
      </c>
      <c r="N326" s="57">
        <v>15</v>
      </c>
      <c r="O326" s="57">
        <v>100</v>
      </c>
      <c r="P326" s="57">
        <v>1</v>
      </c>
      <c r="Q326" s="57" t="s">
        <v>687</v>
      </c>
      <c r="R326" s="57" t="s">
        <v>448</v>
      </c>
      <c r="S326" s="57" t="s">
        <v>501</v>
      </c>
      <c r="T326" s="57" t="s">
        <v>400</v>
      </c>
      <c r="U326" s="57">
        <v>0</v>
      </c>
      <c r="V326" s="57">
        <v>0</v>
      </c>
      <c r="W326" s="57">
        <v>73</v>
      </c>
      <c r="X326" s="57">
        <v>1</v>
      </c>
      <c r="Y326" s="57">
        <v>1202</v>
      </c>
      <c r="Z326" s="57">
        <v>1202</v>
      </c>
      <c r="AA326" s="57">
        <v>1206</v>
      </c>
      <c r="AB326" s="57">
        <v>1206</v>
      </c>
      <c r="AC326" s="57">
        <v>0</v>
      </c>
      <c r="AD326" s="57">
        <v>0</v>
      </c>
      <c r="AE326" s="58">
        <v>10401</v>
      </c>
      <c r="AF326" s="30">
        <v>0</v>
      </c>
      <c r="AG326" s="57">
        <v>0</v>
      </c>
      <c r="AH326" s="57">
        <v>0</v>
      </c>
      <c r="AI326" s="57">
        <v>0</v>
      </c>
      <c r="AJ326" s="57">
        <v>0</v>
      </c>
      <c r="AK326" s="57">
        <v>0</v>
      </c>
      <c r="AL326" s="57">
        <v>0</v>
      </c>
      <c r="AM326" s="57">
        <v>0</v>
      </c>
      <c r="AN326" s="57">
        <v>0</v>
      </c>
      <c r="AO326" s="57">
        <v>0</v>
      </c>
      <c r="AP326" s="57">
        <v>0</v>
      </c>
      <c r="AQ326" s="57">
        <v>0</v>
      </c>
      <c r="AR326" s="57">
        <v>0</v>
      </c>
      <c r="AS326" s="57">
        <v>0</v>
      </c>
      <c r="AT326" s="57">
        <v>0</v>
      </c>
      <c r="AU326" s="57">
        <v>0</v>
      </c>
      <c r="AV326" s="57">
        <v>0</v>
      </c>
      <c r="AW326" s="57">
        <v>0</v>
      </c>
      <c r="AX326" s="57">
        <v>0</v>
      </c>
      <c r="AY326" s="57">
        <v>0</v>
      </c>
      <c r="AZ326" s="57">
        <v>0</v>
      </c>
      <c r="BA326" s="57">
        <v>0</v>
      </c>
      <c r="BB326" s="57">
        <v>0</v>
      </c>
      <c r="BC326" s="57">
        <v>0</v>
      </c>
      <c r="BD326" s="57">
        <v>0</v>
      </c>
      <c r="BE326" s="57">
        <v>0</v>
      </c>
      <c r="BF326" s="57">
        <v>0</v>
      </c>
      <c r="BG326" s="57">
        <v>0</v>
      </c>
      <c r="BH326" s="57">
        <v>0</v>
      </c>
      <c r="BI326" s="57">
        <v>0</v>
      </c>
      <c r="BJ326" s="57">
        <v>0</v>
      </c>
      <c r="BK326" s="57">
        <v>0</v>
      </c>
      <c r="BL326" s="57">
        <v>0</v>
      </c>
      <c r="BM326" s="57">
        <v>0</v>
      </c>
      <c r="BN326" s="57">
        <v>0</v>
      </c>
      <c r="BO326" s="57">
        <v>0</v>
      </c>
      <c r="BP326" s="57">
        <v>0</v>
      </c>
      <c r="BQ326" s="57">
        <v>0</v>
      </c>
      <c r="BR326" s="57">
        <v>0</v>
      </c>
      <c r="BS326" s="57">
        <v>0</v>
      </c>
      <c r="BT326" s="57">
        <v>0</v>
      </c>
      <c r="BU326" s="57">
        <v>0</v>
      </c>
      <c r="BV326" s="57">
        <v>0</v>
      </c>
      <c r="BW326" s="57">
        <v>0</v>
      </c>
      <c r="BX326" s="57">
        <v>0</v>
      </c>
      <c r="BY326" s="57">
        <v>0</v>
      </c>
      <c r="BZ326" s="57">
        <v>0</v>
      </c>
      <c r="CA326" s="57">
        <v>0</v>
      </c>
    </row>
    <row r="327" spans="1:79" x14ac:dyDescent="0.3">
      <c r="A327" s="26"/>
      <c r="B327" s="20" t="str">
        <f t="shared" si="87"/>
        <v>14990002</v>
      </c>
      <c r="C327" s="55">
        <v>4</v>
      </c>
      <c r="D327" s="55">
        <f t="shared" si="109"/>
        <v>9</v>
      </c>
      <c r="E327" s="49">
        <v>2</v>
      </c>
      <c r="F327" s="57">
        <v>1</v>
      </c>
      <c r="G327" s="57">
        <v>109</v>
      </c>
      <c r="H327" s="57" t="str">
        <f t="shared" si="90"/>
        <v>Item_Name_14990002</v>
      </c>
      <c r="I327" s="57" t="s">
        <v>691</v>
      </c>
      <c r="J327" s="57">
        <v>10104001</v>
      </c>
      <c r="K327" s="57">
        <v>99</v>
      </c>
      <c r="L327" s="57">
        <v>0</v>
      </c>
      <c r="M327" s="57">
        <v>0</v>
      </c>
      <c r="N327" s="57">
        <v>15</v>
      </c>
      <c r="O327" s="57">
        <v>100</v>
      </c>
      <c r="P327" s="57">
        <v>1</v>
      </c>
      <c r="Q327" s="57" t="s">
        <v>688</v>
      </c>
      <c r="R327" s="57" t="s">
        <v>448</v>
      </c>
      <c r="S327" s="57" t="s">
        <v>501</v>
      </c>
      <c r="T327" s="57" t="s">
        <v>400</v>
      </c>
      <c r="U327" s="57">
        <v>0</v>
      </c>
      <c r="V327" s="57">
        <v>0</v>
      </c>
      <c r="W327" s="57">
        <v>73</v>
      </c>
      <c r="X327" s="57">
        <v>2</v>
      </c>
      <c r="Y327" s="57">
        <v>1202</v>
      </c>
      <c r="Z327" s="57">
        <v>1202</v>
      </c>
      <c r="AA327" s="57">
        <v>1206</v>
      </c>
      <c r="AB327" s="57">
        <v>1206</v>
      </c>
      <c r="AC327" s="57">
        <v>0</v>
      </c>
      <c r="AD327" s="57">
        <v>0</v>
      </c>
      <c r="AE327" s="58">
        <v>10402</v>
      </c>
      <c r="AF327" s="30">
        <v>0</v>
      </c>
      <c r="AG327" s="57">
        <v>0</v>
      </c>
      <c r="AH327" s="57">
        <v>0</v>
      </c>
      <c r="AI327" s="57">
        <v>0</v>
      </c>
      <c r="AJ327" s="57">
        <v>0</v>
      </c>
      <c r="AK327" s="57">
        <v>0</v>
      </c>
      <c r="AL327" s="57">
        <v>0</v>
      </c>
      <c r="AM327" s="57">
        <v>0</v>
      </c>
      <c r="AN327" s="57">
        <v>0</v>
      </c>
      <c r="AO327" s="57">
        <v>0</v>
      </c>
      <c r="AP327" s="57">
        <v>0</v>
      </c>
      <c r="AQ327" s="57">
        <v>0</v>
      </c>
      <c r="AR327" s="57">
        <v>0</v>
      </c>
      <c r="AS327" s="57">
        <v>0</v>
      </c>
      <c r="AT327" s="57">
        <v>0</v>
      </c>
      <c r="AU327" s="57">
        <v>0</v>
      </c>
      <c r="AV327" s="57">
        <v>0</v>
      </c>
      <c r="AW327" s="57">
        <v>0</v>
      </c>
      <c r="AX327" s="57">
        <v>0</v>
      </c>
      <c r="AY327" s="57">
        <v>0</v>
      </c>
      <c r="AZ327" s="57">
        <v>0</v>
      </c>
      <c r="BA327" s="57">
        <v>0</v>
      </c>
      <c r="BB327" s="57">
        <v>0</v>
      </c>
      <c r="BC327" s="57">
        <v>0</v>
      </c>
      <c r="BD327" s="57">
        <v>0</v>
      </c>
      <c r="BE327" s="57">
        <v>0</v>
      </c>
      <c r="BF327" s="57">
        <v>0</v>
      </c>
      <c r="BG327" s="57">
        <v>0</v>
      </c>
      <c r="BH327" s="57">
        <v>0</v>
      </c>
      <c r="BI327" s="57">
        <v>0</v>
      </c>
      <c r="BJ327" s="57">
        <v>0</v>
      </c>
      <c r="BK327" s="57">
        <v>0</v>
      </c>
      <c r="BL327" s="57">
        <v>0</v>
      </c>
      <c r="BM327" s="57">
        <v>0</v>
      </c>
      <c r="BN327" s="57">
        <v>0</v>
      </c>
      <c r="BO327" s="57">
        <v>0</v>
      </c>
      <c r="BP327" s="57">
        <v>0</v>
      </c>
      <c r="BQ327" s="57">
        <v>0</v>
      </c>
      <c r="BR327" s="57">
        <v>0</v>
      </c>
      <c r="BS327" s="57">
        <v>0</v>
      </c>
      <c r="BT327" s="57">
        <v>0</v>
      </c>
      <c r="BU327" s="57">
        <v>0</v>
      </c>
      <c r="BV327" s="57">
        <v>0</v>
      </c>
      <c r="BW327" s="57">
        <v>0</v>
      </c>
      <c r="BX327" s="57">
        <v>0</v>
      </c>
      <c r="BY327" s="57">
        <v>0</v>
      </c>
      <c r="BZ327" s="57">
        <v>0</v>
      </c>
      <c r="CA327" s="57">
        <v>0</v>
      </c>
    </row>
    <row r="328" spans="1:79" x14ac:dyDescent="0.3">
      <c r="A328" s="26"/>
      <c r="B328" s="20" t="str">
        <f t="shared" si="87"/>
        <v>14990003</v>
      </c>
      <c r="C328" s="55">
        <v>4</v>
      </c>
      <c r="D328" s="55">
        <f t="shared" si="109"/>
        <v>9</v>
      </c>
      <c r="E328" s="49">
        <v>3</v>
      </c>
      <c r="F328" s="57">
        <v>1</v>
      </c>
      <c r="G328" s="57">
        <v>109</v>
      </c>
      <c r="H328" s="57" t="str">
        <f t="shared" si="90"/>
        <v>Item_Name_14990003</v>
      </c>
      <c r="I328" s="57" t="s">
        <v>692</v>
      </c>
      <c r="J328" s="57">
        <v>10104001</v>
      </c>
      <c r="K328" s="57">
        <v>99</v>
      </c>
      <c r="L328" s="57">
        <v>0</v>
      </c>
      <c r="M328" s="57">
        <v>0</v>
      </c>
      <c r="N328" s="57">
        <v>15</v>
      </c>
      <c r="O328" s="57">
        <v>100</v>
      </c>
      <c r="P328" s="57">
        <v>1</v>
      </c>
      <c r="Q328" s="57" t="s">
        <v>689</v>
      </c>
      <c r="R328" s="57" t="s">
        <v>448</v>
      </c>
      <c r="S328" s="57" t="s">
        <v>501</v>
      </c>
      <c r="T328" s="57" t="s">
        <v>400</v>
      </c>
      <c r="U328" s="57">
        <v>0</v>
      </c>
      <c r="V328" s="57">
        <v>0</v>
      </c>
      <c r="W328" s="57">
        <v>73</v>
      </c>
      <c r="X328" s="57">
        <v>3</v>
      </c>
      <c r="Y328" s="57">
        <v>1202</v>
      </c>
      <c r="Z328" s="57">
        <v>1202</v>
      </c>
      <c r="AA328" s="57">
        <v>1206</v>
      </c>
      <c r="AB328" s="57">
        <v>1206</v>
      </c>
      <c r="AC328" s="57">
        <v>0</v>
      </c>
      <c r="AD328" s="57">
        <v>0</v>
      </c>
      <c r="AE328" s="58">
        <v>10403</v>
      </c>
      <c r="AF328" s="30">
        <v>0</v>
      </c>
      <c r="AG328" s="57">
        <v>0</v>
      </c>
      <c r="AH328" s="57">
        <v>0</v>
      </c>
      <c r="AI328" s="57">
        <v>0</v>
      </c>
      <c r="AJ328" s="57">
        <v>0</v>
      </c>
      <c r="AK328" s="57">
        <v>0</v>
      </c>
      <c r="AL328" s="57">
        <v>0</v>
      </c>
      <c r="AM328" s="57">
        <v>0</v>
      </c>
      <c r="AN328" s="57">
        <v>0</v>
      </c>
      <c r="AO328" s="57">
        <v>0</v>
      </c>
      <c r="AP328" s="57">
        <v>0</v>
      </c>
      <c r="AQ328" s="57">
        <v>0</v>
      </c>
      <c r="AR328" s="57">
        <v>0</v>
      </c>
      <c r="AS328" s="57">
        <v>0</v>
      </c>
      <c r="AT328" s="57">
        <v>0</v>
      </c>
      <c r="AU328" s="57">
        <v>0</v>
      </c>
      <c r="AV328" s="57">
        <v>0</v>
      </c>
      <c r="AW328" s="57">
        <v>0</v>
      </c>
      <c r="AX328" s="57">
        <v>0</v>
      </c>
      <c r="AY328" s="57">
        <v>0</v>
      </c>
      <c r="AZ328" s="57">
        <v>0</v>
      </c>
      <c r="BA328" s="57">
        <v>0</v>
      </c>
      <c r="BB328" s="57">
        <v>0</v>
      </c>
      <c r="BC328" s="57">
        <v>0</v>
      </c>
      <c r="BD328" s="57">
        <v>0</v>
      </c>
      <c r="BE328" s="57">
        <v>0</v>
      </c>
      <c r="BF328" s="57">
        <v>0</v>
      </c>
      <c r="BG328" s="57">
        <v>0</v>
      </c>
      <c r="BH328" s="57">
        <v>0</v>
      </c>
      <c r="BI328" s="57">
        <v>0</v>
      </c>
      <c r="BJ328" s="57">
        <v>0</v>
      </c>
      <c r="BK328" s="57">
        <v>0</v>
      </c>
      <c r="BL328" s="57">
        <v>0</v>
      </c>
      <c r="BM328" s="57">
        <v>0</v>
      </c>
      <c r="BN328" s="57">
        <v>0</v>
      </c>
      <c r="BO328" s="57">
        <v>0</v>
      </c>
      <c r="BP328" s="57">
        <v>0</v>
      </c>
      <c r="BQ328" s="57">
        <v>0</v>
      </c>
      <c r="BR328" s="57">
        <v>0</v>
      </c>
      <c r="BS328" s="57">
        <v>0</v>
      </c>
      <c r="BT328" s="57">
        <v>0</v>
      </c>
      <c r="BU328" s="57">
        <v>0</v>
      </c>
      <c r="BV328" s="57">
        <v>0</v>
      </c>
      <c r="BW328" s="57">
        <v>0</v>
      </c>
      <c r="BX328" s="57">
        <v>0</v>
      </c>
      <c r="BY328" s="57">
        <v>0</v>
      </c>
      <c r="BZ328" s="57">
        <v>0</v>
      </c>
      <c r="CA328" s="57">
        <v>0</v>
      </c>
    </row>
    <row r="329" spans="1:79" x14ac:dyDescent="0.3">
      <c r="A329" s="26"/>
      <c r="B329" s="20" t="str">
        <f t="shared" si="87"/>
        <v>11790001</v>
      </c>
      <c r="C329" s="55">
        <v>1</v>
      </c>
      <c r="D329" s="55">
        <v>7</v>
      </c>
      <c r="E329" s="49">
        <v>1</v>
      </c>
      <c r="F329" s="57">
        <v>1</v>
      </c>
      <c r="G329" s="57">
        <v>107</v>
      </c>
      <c r="H329" s="57" t="str">
        <f t="shared" si="90"/>
        <v>Item_Name_11790001</v>
      </c>
      <c r="I329" s="57" t="s">
        <v>841</v>
      </c>
      <c r="J329" s="57">
        <v>10101001</v>
      </c>
      <c r="K329" s="57">
        <v>99</v>
      </c>
      <c r="L329" s="57">
        <v>0</v>
      </c>
      <c r="M329" s="57">
        <v>0</v>
      </c>
      <c r="N329" s="57">
        <v>15</v>
      </c>
      <c r="O329" s="57">
        <v>100</v>
      </c>
      <c r="P329" s="57">
        <v>1</v>
      </c>
      <c r="Q329" s="57" t="s">
        <v>853</v>
      </c>
      <c r="R329" s="57" t="s">
        <v>448</v>
      </c>
      <c r="S329" s="57" t="s">
        <v>327</v>
      </c>
      <c r="T329" s="57" t="s">
        <v>429</v>
      </c>
      <c r="U329" s="57">
        <v>0</v>
      </c>
      <c r="V329" s="57">
        <v>0</v>
      </c>
      <c r="W329" s="57">
        <v>73</v>
      </c>
      <c r="X329" s="57">
        <v>1</v>
      </c>
      <c r="Y329" s="57">
        <v>1201</v>
      </c>
      <c r="Z329" s="57">
        <v>1201</v>
      </c>
      <c r="AA329" s="57">
        <v>1205</v>
      </c>
      <c r="AB329" s="57">
        <v>1205</v>
      </c>
      <c r="AC329" s="57">
        <v>0</v>
      </c>
      <c r="AD329" s="57">
        <v>0</v>
      </c>
      <c r="AE329" s="58">
        <v>10101</v>
      </c>
      <c r="AF329" s="30">
        <v>0</v>
      </c>
      <c r="AG329" s="57">
        <v>0</v>
      </c>
      <c r="AH329" s="57">
        <v>0</v>
      </c>
      <c r="AI329" s="57">
        <v>0</v>
      </c>
      <c r="AJ329" s="57">
        <v>0</v>
      </c>
      <c r="AK329" s="57">
        <v>0</v>
      </c>
      <c r="AL329" s="57">
        <v>0</v>
      </c>
      <c r="AM329" s="57">
        <v>0</v>
      </c>
      <c r="AN329" s="57">
        <v>0</v>
      </c>
      <c r="AO329" s="57">
        <v>0</v>
      </c>
      <c r="AP329" s="57">
        <v>0</v>
      </c>
      <c r="AQ329" s="57">
        <v>0</v>
      </c>
      <c r="AR329" s="57">
        <v>0</v>
      </c>
      <c r="AS329" s="57">
        <v>0</v>
      </c>
      <c r="AT329" s="57">
        <v>0</v>
      </c>
      <c r="AU329" s="57">
        <v>0</v>
      </c>
      <c r="AV329" s="57">
        <v>0</v>
      </c>
      <c r="AW329" s="57">
        <v>0</v>
      </c>
      <c r="AX329" s="57">
        <v>0</v>
      </c>
      <c r="AY329" s="57">
        <v>0</v>
      </c>
      <c r="AZ329" s="57">
        <v>0</v>
      </c>
      <c r="BA329" s="57">
        <v>0</v>
      </c>
      <c r="BB329" s="57">
        <v>0</v>
      </c>
      <c r="BC329" s="57">
        <v>0</v>
      </c>
      <c r="BD329" s="57">
        <v>0</v>
      </c>
      <c r="BE329" s="57">
        <v>0</v>
      </c>
      <c r="BF329" s="57">
        <v>0</v>
      </c>
      <c r="BG329" s="57">
        <v>0</v>
      </c>
      <c r="BH329" s="57">
        <v>0</v>
      </c>
      <c r="BI329" s="57">
        <v>0</v>
      </c>
      <c r="BJ329" s="57">
        <v>0</v>
      </c>
      <c r="BK329" s="57">
        <v>0</v>
      </c>
      <c r="BL329" s="57">
        <v>0</v>
      </c>
      <c r="BM329" s="57">
        <v>0</v>
      </c>
      <c r="BN329" s="57">
        <v>0</v>
      </c>
      <c r="BO329" s="57">
        <v>0</v>
      </c>
      <c r="BP329" s="57">
        <v>0</v>
      </c>
      <c r="BQ329" s="57">
        <v>0</v>
      </c>
      <c r="BR329" s="57">
        <v>0</v>
      </c>
      <c r="BS329" s="57">
        <v>0</v>
      </c>
      <c r="BT329" s="57">
        <v>0</v>
      </c>
      <c r="BU329" s="57">
        <v>0</v>
      </c>
      <c r="BV329" s="57">
        <v>0</v>
      </c>
      <c r="BW329" s="57">
        <v>0</v>
      </c>
      <c r="BX329" s="57">
        <v>0</v>
      </c>
      <c r="BY329" s="57">
        <v>0</v>
      </c>
      <c r="BZ329" s="57">
        <v>0</v>
      </c>
      <c r="CA329" s="57">
        <v>0</v>
      </c>
    </row>
    <row r="330" spans="1:79" x14ac:dyDescent="0.3">
      <c r="A330" s="26"/>
      <c r="B330" s="20" t="str">
        <f t="shared" ref="B330:B352" si="110">1&amp;$C330&amp;$D330&amp;IF($K330=99,9,$K330)&amp;REPT("0",4-LEN($E330))&amp;$E330</f>
        <v>11790002</v>
      </c>
      <c r="C330" s="55">
        <v>1</v>
      </c>
      <c r="D330" s="55">
        <v>7</v>
      </c>
      <c r="E330" s="49">
        <v>2</v>
      </c>
      <c r="F330" s="57">
        <v>1</v>
      </c>
      <c r="G330" s="57">
        <v>107</v>
      </c>
      <c r="H330" s="57" t="str">
        <f t="shared" ref="H330:H352" si="111">"Item_Name_"&amp;$B330</f>
        <v>Item_Name_11790002</v>
      </c>
      <c r="I330" s="57" t="s">
        <v>842</v>
      </c>
      <c r="J330" s="57">
        <v>10101001</v>
      </c>
      <c r="K330" s="57">
        <v>99</v>
      </c>
      <c r="L330" s="57">
        <v>0</v>
      </c>
      <c r="M330" s="57">
        <v>0</v>
      </c>
      <c r="N330" s="57">
        <v>15</v>
      </c>
      <c r="O330" s="57">
        <v>100</v>
      </c>
      <c r="P330" s="57">
        <v>1</v>
      </c>
      <c r="Q330" s="57" t="s">
        <v>854</v>
      </c>
      <c r="R330" s="57" t="s">
        <v>448</v>
      </c>
      <c r="S330" s="57" t="s">
        <v>327</v>
      </c>
      <c r="T330" s="57" t="s">
        <v>429</v>
      </c>
      <c r="U330" s="57">
        <v>0</v>
      </c>
      <c r="V330" s="57">
        <v>0</v>
      </c>
      <c r="W330" s="57">
        <v>73</v>
      </c>
      <c r="X330" s="57">
        <v>2</v>
      </c>
      <c r="Y330" s="57">
        <v>1201</v>
      </c>
      <c r="Z330" s="57">
        <v>1201</v>
      </c>
      <c r="AA330" s="57">
        <v>1205</v>
      </c>
      <c r="AB330" s="57">
        <v>1205</v>
      </c>
      <c r="AC330" s="57">
        <v>0</v>
      </c>
      <c r="AD330" s="57">
        <v>0</v>
      </c>
      <c r="AE330" s="58">
        <v>10102</v>
      </c>
      <c r="AF330" s="30">
        <v>0</v>
      </c>
      <c r="AG330" s="57">
        <v>0</v>
      </c>
      <c r="AH330" s="57">
        <v>0</v>
      </c>
      <c r="AI330" s="57">
        <v>0</v>
      </c>
      <c r="AJ330" s="57">
        <v>0</v>
      </c>
      <c r="AK330" s="57">
        <v>0</v>
      </c>
      <c r="AL330" s="57">
        <v>0</v>
      </c>
      <c r="AM330" s="57">
        <v>0</v>
      </c>
      <c r="AN330" s="57">
        <v>0</v>
      </c>
      <c r="AO330" s="57">
        <v>0</v>
      </c>
      <c r="AP330" s="57">
        <v>0</v>
      </c>
      <c r="AQ330" s="57">
        <v>0</v>
      </c>
      <c r="AR330" s="57">
        <v>0</v>
      </c>
      <c r="AS330" s="57">
        <v>0</v>
      </c>
      <c r="AT330" s="57">
        <v>0</v>
      </c>
      <c r="AU330" s="57">
        <v>0</v>
      </c>
      <c r="AV330" s="57">
        <v>0</v>
      </c>
      <c r="AW330" s="57">
        <v>0</v>
      </c>
      <c r="AX330" s="57">
        <v>0</v>
      </c>
      <c r="AY330" s="57">
        <v>0</v>
      </c>
      <c r="AZ330" s="57">
        <v>0</v>
      </c>
      <c r="BA330" s="57">
        <v>0</v>
      </c>
      <c r="BB330" s="57">
        <v>0</v>
      </c>
      <c r="BC330" s="57">
        <v>0</v>
      </c>
      <c r="BD330" s="57">
        <v>0</v>
      </c>
      <c r="BE330" s="57">
        <v>0</v>
      </c>
      <c r="BF330" s="57">
        <v>0</v>
      </c>
      <c r="BG330" s="57">
        <v>0</v>
      </c>
      <c r="BH330" s="57">
        <v>0</v>
      </c>
      <c r="BI330" s="57">
        <v>0</v>
      </c>
      <c r="BJ330" s="57">
        <v>0</v>
      </c>
      <c r="BK330" s="57">
        <v>0</v>
      </c>
      <c r="BL330" s="57">
        <v>0</v>
      </c>
      <c r="BM330" s="57">
        <v>0</v>
      </c>
      <c r="BN330" s="57">
        <v>0</v>
      </c>
      <c r="BO330" s="57">
        <v>0</v>
      </c>
      <c r="BP330" s="57">
        <v>0</v>
      </c>
      <c r="BQ330" s="57">
        <v>0</v>
      </c>
      <c r="BR330" s="57">
        <v>0</v>
      </c>
      <c r="BS330" s="57">
        <v>0</v>
      </c>
      <c r="BT330" s="57">
        <v>0</v>
      </c>
      <c r="BU330" s="57">
        <v>0</v>
      </c>
      <c r="BV330" s="57">
        <v>0</v>
      </c>
      <c r="BW330" s="57">
        <v>0</v>
      </c>
      <c r="BX330" s="57">
        <v>0</v>
      </c>
      <c r="BY330" s="57">
        <v>0</v>
      </c>
      <c r="BZ330" s="57">
        <v>0</v>
      </c>
      <c r="CA330" s="57">
        <v>0</v>
      </c>
    </row>
    <row r="331" spans="1:79" x14ac:dyDescent="0.3">
      <c r="A331" s="26"/>
      <c r="B331" s="20" t="str">
        <f t="shared" si="110"/>
        <v>11790003</v>
      </c>
      <c r="C331" s="55">
        <v>1</v>
      </c>
      <c r="D331" s="55">
        <v>7</v>
      </c>
      <c r="E331" s="49">
        <v>3</v>
      </c>
      <c r="F331" s="57">
        <v>1</v>
      </c>
      <c r="G331" s="57">
        <v>107</v>
      </c>
      <c r="H331" s="57" t="str">
        <f t="shared" si="111"/>
        <v>Item_Name_11790003</v>
      </c>
      <c r="I331" s="57" t="s">
        <v>843</v>
      </c>
      <c r="J331" s="57">
        <v>10101001</v>
      </c>
      <c r="K331" s="57">
        <v>99</v>
      </c>
      <c r="L331" s="57">
        <v>0</v>
      </c>
      <c r="M331" s="57">
        <v>0</v>
      </c>
      <c r="N331" s="57">
        <v>15</v>
      </c>
      <c r="O331" s="57">
        <v>100</v>
      </c>
      <c r="P331" s="57">
        <v>1</v>
      </c>
      <c r="Q331" s="57" t="s">
        <v>855</v>
      </c>
      <c r="R331" s="57" t="s">
        <v>448</v>
      </c>
      <c r="S331" s="57" t="s">
        <v>327</v>
      </c>
      <c r="T331" s="57" t="s">
        <v>429</v>
      </c>
      <c r="U331" s="57">
        <v>0</v>
      </c>
      <c r="V331" s="57">
        <v>0</v>
      </c>
      <c r="W331" s="57">
        <v>73</v>
      </c>
      <c r="X331" s="57">
        <v>3</v>
      </c>
      <c r="Y331" s="57">
        <v>1201</v>
      </c>
      <c r="Z331" s="57">
        <v>1201</v>
      </c>
      <c r="AA331" s="57">
        <v>1205</v>
      </c>
      <c r="AB331" s="57">
        <v>1205</v>
      </c>
      <c r="AC331" s="57">
        <v>0</v>
      </c>
      <c r="AD331" s="57">
        <v>0</v>
      </c>
      <c r="AE331" s="58">
        <v>10103</v>
      </c>
      <c r="AF331" s="30">
        <v>0</v>
      </c>
      <c r="AG331" s="57">
        <v>0</v>
      </c>
      <c r="AH331" s="57">
        <v>0</v>
      </c>
      <c r="AI331" s="57">
        <v>0</v>
      </c>
      <c r="AJ331" s="57">
        <v>0</v>
      </c>
      <c r="AK331" s="57">
        <v>0</v>
      </c>
      <c r="AL331" s="57">
        <v>0</v>
      </c>
      <c r="AM331" s="57">
        <v>0</v>
      </c>
      <c r="AN331" s="57">
        <v>0</v>
      </c>
      <c r="AO331" s="57">
        <v>0</v>
      </c>
      <c r="AP331" s="57">
        <v>0</v>
      </c>
      <c r="AQ331" s="57">
        <v>0</v>
      </c>
      <c r="AR331" s="57">
        <v>0</v>
      </c>
      <c r="AS331" s="57">
        <v>0</v>
      </c>
      <c r="AT331" s="57">
        <v>0</v>
      </c>
      <c r="AU331" s="57">
        <v>0</v>
      </c>
      <c r="AV331" s="57">
        <v>0</v>
      </c>
      <c r="AW331" s="57">
        <v>0</v>
      </c>
      <c r="AX331" s="57">
        <v>0</v>
      </c>
      <c r="AY331" s="57">
        <v>0</v>
      </c>
      <c r="AZ331" s="57">
        <v>0</v>
      </c>
      <c r="BA331" s="57">
        <v>0</v>
      </c>
      <c r="BB331" s="57">
        <v>0</v>
      </c>
      <c r="BC331" s="57">
        <v>0</v>
      </c>
      <c r="BD331" s="57">
        <v>0</v>
      </c>
      <c r="BE331" s="57">
        <v>0</v>
      </c>
      <c r="BF331" s="57">
        <v>0</v>
      </c>
      <c r="BG331" s="57">
        <v>0</v>
      </c>
      <c r="BH331" s="57">
        <v>0</v>
      </c>
      <c r="BI331" s="57">
        <v>0</v>
      </c>
      <c r="BJ331" s="57">
        <v>0</v>
      </c>
      <c r="BK331" s="57">
        <v>0</v>
      </c>
      <c r="BL331" s="57">
        <v>0</v>
      </c>
      <c r="BM331" s="57">
        <v>0</v>
      </c>
      <c r="BN331" s="57">
        <v>0</v>
      </c>
      <c r="BO331" s="57">
        <v>0</v>
      </c>
      <c r="BP331" s="57">
        <v>0</v>
      </c>
      <c r="BQ331" s="57">
        <v>0</v>
      </c>
      <c r="BR331" s="57">
        <v>0</v>
      </c>
      <c r="BS331" s="57">
        <v>0</v>
      </c>
      <c r="BT331" s="57">
        <v>0</v>
      </c>
      <c r="BU331" s="57">
        <v>0</v>
      </c>
      <c r="BV331" s="57">
        <v>0</v>
      </c>
      <c r="BW331" s="57">
        <v>0</v>
      </c>
      <c r="BX331" s="57">
        <v>0</v>
      </c>
      <c r="BY331" s="57">
        <v>0</v>
      </c>
      <c r="BZ331" s="57">
        <v>0</v>
      </c>
      <c r="CA331" s="57">
        <v>0</v>
      </c>
    </row>
    <row r="332" spans="1:79" x14ac:dyDescent="0.3">
      <c r="A332" s="26"/>
      <c r="B332" s="20" t="str">
        <f t="shared" si="110"/>
        <v>12790001</v>
      </c>
      <c r="C332" s="55">
        <v>2</v>
      </c>
      <c r="D332" s="55">
        <v>7</v>
      </c>
      <c r="E332" s="49">
        <v>1</v>
      </c>
      <c r="F332" s="57">
        <v>1</v>
      </c>
      <c r="G332" s="57">
        <v>107</v>
      </c>
      <c r="H332" s="57" t="str">
        <f t="shared" si="111"/>
        <v>Item_Name_12790001</v>
      </c>
      <c r="I332" s="57" t="s">
        <v>844</v>
      </c>
      <c r="J332" s="57">
        <v>10102001</v>
      </c>
      <c r="K332" s="57">
        <v>99</v>
      </c>
      <c r="L332" s="57">
        <v>0</v>
      </c>
      <c r="M332" s="57">
        <v>0</v>
      </c>
      <c r="N332" s="57">
        <v>15</v>
      </c>
      <c r="O332" s="57">
        <v>100</v>
      </c>
      <c r="P332" s="57">
        <v>1</v>
      </c>
      <c r="Q332" s="57" t="s">
        <v>856</v>
      </c>
      <c r="R332" s="57" t="s">
        <v>448</v>
      </c>
      <c r="S332" s="57" t="s">
        <v>327</v>
      </c>
      <c r="T332" s="57" t="s">
        <v>429</v>
      </c>
      <c r="U332" s="57">
        <v>0</v>
      </c>
      <c r="V332" s="57">
        <v>0</v>
      </c>
      <c r="W332" s="57">
        <v>73</v>
      </c>
      <c r="X332" s="57">
        <v>1</v>
      </c>
      <c r="Y332" s="57">
        <v>1201</v>
      </c>
      <c r="Z332" s="57">
        <v>1201</v>
      </c>
      <c r="AA332" s="57">
        <v>1205</v>
      </c>
      <c r="AB332" s="57">
        <v>1205</v>
      </c>
      <c r="AC332" s="57">
        <v>0</v>
      </c>
      <c r="AD332" s="57">
        <v>0</v>
      </c>
      <c r="AE332" s="58">
        <v>10201</v>
      </c>
      <c r="AF332" s="30">
        <v>0</v>
      </c>
      <c r="AG332" s="57">
        <v>0</v>
      </c>
      <c r="AH332" s="57">
        <v>0</v>
      </c>
      <c r="AI332" s="57">
        <v>0</v>
      </c>
      <c r="AJ332" s="57">
        <v>0</v>
      </c>
      <c r="AK332" s="57">
        <v>0</v>
      </c>
      <c r="AL332" s="57">
        <v>0</v>
      </c>
      <c r="AM332" s="57">
        <v>0</v>
      </c>
      <c r="AN332" s="57">
        <v>0</v>
      </c>
      <c r="AO332" s="57">
        <v>0</v>
      </c>
      <c r="AP332" s="57">
        <v>0</v>
      </c>
      <c r="AQ332" s="57">
        <v>0</v>
      </c>
      <c r="AR332" s="57">
        <v>0</v>
      </c>
      <c r="AS332" s="57">
        <v>0</v>
      </c>
      <c r="AT332" s="57">
        <v>0</v>
      </c>
      <c r="AU332" s="57">
        <v>0</v>
      </c>
      <c r="AV332" s="57">
        <v>0</v>
      </c>
      <c r="AW332" s="57">
        <v>0</v>
      </c>
      <c r="AX332" s="57">
        <v>0</v>
      </c>
      <c r="AY332" s="57">
        <v>0</v>
      </c>
      <c r="AZ332" s="57">
        <v>0</v>
      </c>
      <c r="BA332" s="57">
        <v>0</v>
      </c>
      <c r="BB332" s="57">
        <v>0</v>
      </c>
      <c r="BC332" s="57">
        <v>0</v>
      </c>
      <c r="BD332" s="57">
        <v>0</v>
      </c>
      <c r="BE332" s="57">
        <v>0</v>
      </c>
      <c r="BF332" s="57">
        <v>0</v>
      </c>
      <c r="BG332" s="57">
        <v>0</v>
      </c>
      <c r="BH332" s="57">
        <v>0</v>
      </c>
      <c r="BI332" s="57">
        <v>0</v>
      </c>
      <c r="BJ332" s="57">
        <v>0</v>
      </c>
      <c r="BK332" s="57">
        <v>0</v>
      </c>
      <c r="BL332" s="57">
        <v>0</v>
      </c>
      <c r="BM332" s="57">
        <v>0</v>
      </c>
      <c r="BN332" s="57">
        <v>0</v>
      </c>
      <c r="BO332" s="57">
        <v>0</v>
      </c>
      <c r="BP332" s="57">
        <v>0</v>
      </c>
      <c r="BQ332" s="57">
        <v>0</v>
      </c>
      <c r="BR332" s="57">
        <v>0</v>
      </c>
      <c r="BS332" s="57">
        <v>0</v>
      </c>
      <c r="BT332" s="57">
        <v>0</v>
      </c>
      <c r="BU332" s="57">
        <v>0</v>
      </c>
      <c r="BV332" s="57">
        <v>0</v>
      </c>
      <c r="BW332" s="57">
        <v>0</v>
      </c>
      <c r="BX332" s="57">
        <v>0</v>
      </c>
      <c r="BY332" s="57">
        <v>0</v>
      </c>
      <c r="BZ332" s="57">
        <v>0</v>
      </c>
      <c r="CA332" s="57">
        <v>0</v>
      </c>
    </row>
    <row r="333" spans="1:79" x14ac:dyDescent="0.3">
      <c r="A333" s="26"/>
      <c r="B333" s="20" t="str">
        <f t="shared" si="110"/>
        <v>12790002</v>
      </c>
      <c r="C333" s="55">
        <v>2</v>
      </c>
      <c r="D333" s="55">
        <v>7</v>
      </c>
      <c r="E333" s="49">
        <v>2</v>
      </c>
      <c r="F333" s="57">
        <v>1</v>
      </c>
      <c r="G333" s="57">
        <v>107</v>
      </c>
      <c r="H333" s="57" t="str">
        <f t="shared" si="111"/>
        <v>Item_Name_12790002</v>
      </c>
      <c r="I333" s="57" t="s">
        <v>845</v>
      </c>
      <c r="J333" s="57">
        <v>10102001</v>
      </c>
      <c r="K333" s="57">
        <v>99</v>
      </c>
      <c r="L333" s="57">
        <v>0</v>
      </c>
      <c r="M333" s="57">
        <v>0</v>
      </c>
      <c r="N333" s="57">
        <v>15</v>
      </c>
      <c r="O333" s="57">
        <v>100</v>
      </c>
      <c r="P333" s="57">
        <v>1</v>
      </c>
      <c r="Q333" s="57" t="s">
        <v>857</v>
      </c>
      <c r="R333" s="57" t="s">
        <v>448</v>
      </c>
      <c r="S333" s="57" t="s">
        <v>327</v>
      </c>
      <c r="T333" s="57" t="s">
        <v>429</v>
      </c>
      <c r="U333" s="57">
        <v>0</v>
      </c>
      <c r="V333" s="57">
        <v>0</v>
      </c>
      <c r="W333" s="57">
        <v>73</v>
      </c>
      <c r="X333" s="57">
        <v>2</v>
      </c>
      <c r="Y333" s="57">
        <v>1201</v>
      </c>
      <c r="Z333" s="57">
        <v>1201</v>
      </c>
      <c r="AA333" s="57">
        <v>1205</v>
      </c>
      <c r="AB333" s="57">
        <v>1205</v>
      </c>
      <c r="AC333" s="57">
        <v>0</v>
      </c>
      <c r="AD333" s="57">
        <v>0</v>
      </c>
      <c r="AE333" s="58">
        <v>10202</v>
      </c>
      <c r="AF333" s="30">
        <v>0</v>
      </c>
      <c r="AG333" s="57">
        <v>0</v>
      </c>
      <c r="AH333" s="57">
        <v>0</v>
      </c>
      <c r="AI333" s="57">
        <v>0</v>
      </c>
      <c r="AJ333" s="57">
        <v>0</v>
      </c>
      <c r="AK333" s="57">
        <v>0</v>
      </c>
      <c r="AL333" s="57">
        <v>0</v>
      </c>
      <c r="AM333" s="57">
        <v>0</v>
      </c>
      <c r="AN333" s="57">
        <v>0</v>
      </c>
      <c r="AO333" s="57">
        <v>0</v>
      </c>
      <c r="AP333" s="57">
        <v>0</v>
      </c>
      <c r="AQ333" s="57">
        <v>0</v>
      </c>
      <c r="AR333" s="57">
        <v>0</v>
      </c>
      <c r="AS333" s="57">
        <v>0</v>
      </c>
      <c r="AT333" s="57">
        <v>0</v>
      </c>
      <c r="AU333" s="57">
        <v>0</v>
      </c>
      <c r="AV333" s="57">
        <v>0</v>
      </c>
      <c r="AW333" s="57">
        <v>0</v>
      </c>
      <c r="AX333" s="57">
        <v>0</v>
      </c>
      <c r="AY333" s="57">
        <v>0</v>
      </c>
      <c r="AZ333" s="57">
        <v>0</v>
      </c>
      <c r="BA333" s="57">
        <v>0</v>
      </c>
      <c r="BB333" s="57">
        <v>0</v>
      </c>
      <c r="BC333" s="57">
        <v>0</v>
      </c>
      <c r="BD333" s="57">
        <v>0</v>
      </c>
      <c r="BE333" s="57">
        <v>0</v>
      </c>
      <c r="BF333" s="57">
        <v>0</v>
      </c>
      <c r="BG333" s="57">
        <v>0</v>
      </c>
      <c r="BH333" s="57">
        <v>0</v>
      </c>
      <c r="BI333" s="57">
        <v>0</v>
      </c>
      <c r="BJ333" s="57">
        <v>0</v>
      </c>
      <c r="BK333" s="57">
        <v>0</v>
      </c>
      <c r="BL333" s="57">
        <v>0</v>
      </c>
      <c r="BM333" s="57">
        <v>0</v>
      </c>
      <c r="BN333" s="57">
        <v>0</v>
      </c>
      <c r="BO333" s="57">
        <v>0</v>
      </c>
      <c r="BP333" s="57">
        <v>0</v>
      </c>
      <c r="BQ333" s="57">
        <v>0</v>
      </c>
      <c r="BR333" s="57">
        <v>0</v>
      </c>
      <c r="BS333" s="57">
        <v>0</v>
      </c>
      <c r="BT333" s="57">
        <v>0</v>
      </c>
      <c r="BU333" s="57">
        <v>0</v>
      </c>
      <c r="BV333" s="57">
        <v>0</v>
      </c>
      <c r="BW333" s="57">
        <v>0</v>
      </c>
      <c r="BX333" s="57">
        <v>0</v>
      </c>
      <c r="BY333" s="57">
        <v>0</v>
      </c>
      <c r="BZ333" s="57">
        <v>0</v>
      </c>
      <c r="CA333" s="57">
        <v>0</v>
      </c>
    </row>
    <row r="334" spans="1:79" x14ac:dyDescent="0.3">
      <c r="A334" s="26"/>
      <c r="B334" s="20" t="str">
        <f t="shared" si="110"/>
        <v>12790003</v>
      </c>
      <c r="C334" s="55">
        <v>2</v>
      </c>
      <c r="D334" s="55">
        <v>7</v>
      </c>
      <c r="E334" s="49">
        <v>3</v>
      </c>
      <c r="F334" s="57">
        <v>1</v>
      </c>
      <c r="G334" s="57">
        <v>107</v>
      </c>
      <c r="H334" s="57" t="str">
        <f t="shared" si="111"/>
        <v>Item_Name_12790003</v>
      </c>
      <c r="I334" s="57" t="s">
        <v>846</v>
      </c>
      <c r="J334" s="57">
        <v>10102001</v>
      </c>
      <c r="K334" s="57">
        <v>99</v>
      </c>
      <c r="L334" s="57">
        <v>0</v>
      </c>
      <c r="M334" s="57">
        <v>0</v>
      </c>
      <c r="N334" s="57">
        <v>15</v>
      </c>
      <c r="O334" s="57">
        <v>100</v>
      </c>
      <c r="P334" s="57">
        <v>1</v>
      </c>
      <c r="Q334" s="57" t="s">
        <v>858</v>
      </c>
      <c r="R334" s="57" t="s">
        <v>448</v>
      </c>
      <c r="S334" s="57" t="s">
        <v>327</v>
      </c>
      <c r="T334" s="57" t="s">
        <v>429</v>
      </c>
      <c r="U334" s="57">
        <v>0</v>
      </c>
      <c r="V334" s="57">
        <v>0</v>
      </c>
      <c r="W334" s="57">
        <v>73</v>
      </c>
      <c r="X334" s="57">
        <v>3</v>
      </c>
      <c r="Y334" s="57">
        <v>1201</v>
      </c>
      <c r="Z334" s="57">
        <v>1201</v>
      </c>
      <c r="AA334" s="57">
        <v>1205</v>
      </c>
      <c r="AB334" s="57">
        <v>1205</v>
      </c>
      <c r="AC334" s="57">
        <v>0</v>
      </c>
      <c r="AD334" s="57">
        <v>0</v>
      </c>
      <c r="AE334" s="58">
        <v>10203</v>
      </c>
      <c r="AF334" s="30">
        <v>0</v>
      </c>
      <c r="AG334" s="57">
        <v>0</v>
      </c>
      <c r="AH334" s="57">
        <v>0</v>
      </c>
      <c r="AI334" s="57">
        <v>0</v>
      </c>
      <c r="AJ334" s="57">
        <v>0</v>
      </c>
      <c r="AK334" s="57">
        <v>0</v>
      </c>
      <c r="AL334" s="57">
        <v>0</v>
      </c>
      <c r="AM334" s="57">
        <v>0</v>
      </c>
      <c r="AN334" s="57">
        <v>0</v>
      </c>
      <c r="AO334" s="57">
        <v>0</v>
      </c>
      <c r="AP334" s="57">
        <v>0</v>
      </c>
      <c r="AQ334" s="57">
        <v>0</v>
      </c>
      <c r="AR334" s="57">
        <v>0</v>
      </c>
      <c r="AS334" s="57">
        <v>0</v>
      </c>
      <c r="AT334" s="57">
        <v>0</v>
      </c>
      <c r="AU334" s="57">
        <v>0</v>
      </c>
      <c r="AV334" s="57">
        <v>0</v>
      </c>
      <c r="AW334" s="57">
        <v>0</v>
      </c>
      <c r="AX334" s="57">
        <v>0</v>
      </c>
      <c r="AY334" s="57">
        <v>0</v>
      </c>
      <c r="AZ334" s="57">
        <v>0</v>
      </c>
      <c r="BA334" s="57">
        <v>0</v>
      </c>
      <c r="BB334" s="57">
        <v>0</v>
      </c>
      <c r="BC334" s="57">
        <v>0</v>
      </c>
      <c r="BD334" s="57">
        <v>0</v>
      </c>
      <c r="BE334" s="57">
        <v>0</v>
      </c>
      <c r="BF334" s="57">
        <v>0</v>
      </c>
      <c r="BG334" s="57">
        <v>0</v>
      </c>
      <c r="BH334" s="57">
        <v>0</v>
      </c>
      <c r="BI334" s="57">
        <v>0</v>
      </c>
      <c r="BJ334" s="57">
        <v>0</v>
      </c>
      <c r="BK334" s="57">
        <v>0</v>
      </c>
      <c r="BL334" s="57">
        <v>0</v>
      </c>
      <c r="BM334" s="57">
        <v>0</v>
      </c>
      <c r="BN334" s="57">
        <v>0</v>
      </c>
      <c r="BO334" s="57">
        <v>0</v>
      </c>
      <c r="BP334" s="57">
        <v>0</v>
      </c>
      <c r="BQ334" s="57">
        <v>0</v>
      </c>
      <c r="BR334" s="57">
        <v>0</v>
      </c>
      <c r="BS334" s="57">
        <v>0</v>
      </c>
      <c r="BT334" s="57">
        <v>0</v>
      </c>
      <c r="BU334" s="57">
        <v>0</v>
      </c>
      <c r="BV334" s="57">
        <v>0</v>
      </c>
      <c r="BW334" s="57">
        <v>0</v>
      </c>
      <c r="BX334" s="57">
        <v>0</v>
      </c>
      <c r="BY334" s="57">
        <v>0</v>
      </c>
      <c r="BZ334" s="57">
        <v>0</v>
      </c>
      <c r="CA334" s="57">
        <v>0</v>
      </c>
    </row>
    <row r="335" spans="1:79" x14ac:dyDescent="0.3">
      <c r="A335" s="26"/>
      <c r="B335" s="20" t="str">
        <f t="shared" si="110"/>
        <v>13790001</v>
      </c>
      <c r="C335" s="55">
        <v>3</v>
      </c>
      <c r="D335" s="55">
        <v>7</v>
      </c>
      <c r="E335" s="49">
        <v>1</v>
      </c>
      <c r="F335" s="57">
        <v>1</v>
      </c>
      <c r="G335" s="57">
        <v>107</v>
      </c>
      <c r="H335" s="57" t="str">
        <f t="shared" si="111"/>
        <v>Item_Name_13790001</v>
      </c>
      <c r="I335" s="57" t="s">
        <v>847</v>
      </c>
      <c r="J335" s="57">
        <v>10103001</v>
      </c>
      <c r="K335" s="57">
        <v>99</v>
      </c>
      <c r="L335" s="57">
        <v>0</v>
      </c>
      <c r="M335" s="57">
        <v>0</v>
      </c>
      <c r="N335" s="57">
        <v>15</v>
      </c>
      <c r="O335" s="57">
        <v>100</v>
      </c>
      <c r="P335" s="57">
        <v>1</v>
      </c>
      <c r="Q335" s="57" t="s">
        <v>859</v>
      </c>
      <c r="R335" s="57" t="s">
        <v>448</v>
      </c>
      <c r="S335" s="57" t="s">
        <v>327</v>
      </c>
      <c r="T335" s="57" t="s">
        <v>429</v>
      </c>
      <c r="U335" s="57">
        <v>0</v>
      </c>
      <c r="V335" s="57">
        <v>0</v>
      </c>
      <c r="W335" s="57">
        <v>73</v>
      </c>
      <c r="X335" s="57">
        <v>1</v>
      </c>
      <c r="Y335" s="57">
        <v>1202</v>
      </c>
      <c r="Z335" s="57">
        <v>1202</v>
      </c>
      <c r="AA335" s="57">
        <v>1206</v>
      </c>
      <c r="AB335" s="57">
        <v>1206</v>
      </c>
      <c r="AC335" s="57">
        <v>0</v>
      </c>
      <c r="AD335" s="57">
        <v>0</v>
      </c>
      <c r="AE335" s="58">
        <v>10301</v>
      </c>
      <c r="AF335" s="30">
        <v>0</v>
      </c>
      <c r="AG335" s="57">
        <v>0</v>
      </c>
      <c r="AH335" s="57">
        <v>0</v>
      </c>
      <c r="AI335" s="57">
        <v>0</v>
      </c>
      <c r="AJ335" s="57">
        <v>0</v>
      </c>
      <c r="AK335" s="57">
        <v>0</v>
      </c>
      <c r="AL335" s="57">
        <v>0</v>
      </c>
      <c r="AM335" s="57">
        <v>0</v>
      </c>
      <c r="AN335" s="57">
        <v>0</v>
      </c>
      <c r="AO335" s="57">
        <v>0</v>
      </c>
      <c r="AP335" s="57">
        <v>0</v>
      </c>
      <c r="AQ335" s="57">
        <v>0</v>
      </c>
      <c r="AR335" s="57">
        <v>0</v>
      </c>
      <c r="AS335" s="57">
        <v>0</v>
      </c>
      <c r="AT335" s="57">
        <v>0</v>
      </c>
      <c r="AU335" s="57">
        <v>0</v>
      </c>
      <c r="AV335" s="57">
        <v>0</v>
      </c>
      <c r="AW335" s="57">
        <v>0</v>
      </c>
      <c r="AX335" s="57">
        <v>0</v>
      </c>
      <c r="AY335" s="57">
        <v>0</v>
      </c>
      <c r="AZ335" s="57">
        <v>0</v>
      </c>
      <c r="BA335" s="57">
        <v>0</v>
      </c>
      <c r="BB335" s="57">
        <v>0</v>
      </c>
      <c r="BC335" s="57">
        <v>0</v>
      </c>
      <c r="BD335" s="57">
        <v>0</v>
      </c>
      <c r="BE335" s="57">
        <v>0</v>
      </c>
      <c r="BF335" s="57">
        <v>0</v>
      </c>
      <c r="BG335" s="57">
        <v>0</v>
      </c>
      <c r="BH335" s="57">
        <v>0</v>
      </c>
      <c r="BI335" s="57">
        <v>0</v>
      </c>
      <c r="BJ335" s="57">
        <v>0</v>
      </c>
      <c r="BK335" s="57">
        <v>0</v>
      </c>
      <c r="BL335" s="57">
        <v>0</v>
      </c>
      <c r="BM335" s="57">
        <v>0</v>
      </c>
      <c r="BN335" s="57">
        <v>0</v>
      </c>
      <c r="BO335" s="57">
        <v>0</v>
      </c>
      <c r="BP335" s="57">
        <v>0</v>
      </c>
      <c r="BQ335" s="57">
        <v>0</v>
      </c>
      <c r="BR335" s="57">
        <v>0</v>
      </c>
      <c r="BS335" s="57">
        <v>0</v>
      </c>
      <c r="BT335" s="57">
        <v>0</v>
      </c>
      <c r="BU335" s="57">
        <v>0</v>
      </c>
      <c r="BV335" s="57">
        <v>0</v>
      </c>
      <c r="BW335" s="57">
        <v>0</v>
      </c>
      <c r="BX335" s="57">
        <v>0</v>
      </c>
      <c r="BY335" s="57">
        <v>0</v>
      </c>
      <c r="BZ335" s="57">
        <v>0</v>
      </c>
      <c r="CA335" s="57">
        <v>0</v>
      </c>
    </row>
    <row r="336" spans="1:79" x14ac:dyDescent="0.3">
      <c r="A336" s="26"/>
      <c r="B336" s="20" t="str">
        <f t="shared" si="110"/>
        <v>13790002</v>
      </c>
      <c r="C336" s="55">
        <v>3</v>
      </c>
      <c r="D336" s="55">
        <v>7</v>
      </c>
      <c r="E336" s="49">
        <v>2</v>
      </c>
      <c r="F336" s="57">
        <v>1</v>
      </c>
      <c r="G336" s="57">
        <v>107</v>
      </c>
      <c r="H336" s="57" t="str">
        <f t="shared" si="111"/>
        <v>Item_Name_13790002</v>
      </c>
      <c r="I336" s="57" t="s">
        <v>848</v>
      </c>
      <c r="J336" s="57">
        <v>10103001</v>
      </c>
      <c r="K336" s="57">
        <v>99</v>
      </c>
      <c r="L336" s="57">
        <v>0</v>
      </c>
      <c r="M336" s="57">
        <v>0</v>
      </c>
      <c r="N336" s="57">
        <v>15</v>
      </c>
      <c r="O336" s="57">
        <v>100</v>
      </c>
      <c r="P336" s="57">
        <v>1</v>
      </c>
      <c r="Q336" s="57" t="s">
        <v>860</v>
      </c>
      <c r="R336" s="57" t="s">
        <v>448</v>
      </c>
      <c r="S336" s="57" t="s">
        <v>327</v>
      </c>
      <c r="T336" s="57" t="s">
        <v>429</v>
      </c>
      <c r="U336" s="57">
        <v>0</v>
      </c>
      <c r="V336" s="57">
        <v>0</v>
      </c>
      <c r="W336" s="57">
        <v>73</v>
      </c>
      <c r="X336" s="57">
        <v>2</v>
      </c>
      <c r="Y336" s="57">
        <v>1202</v>
      </c>
      <c r="Z336" s="57">
        <v>1202</v>
      </c>
      <c r="AA336" s="57">
        <v>1206</v>
      </c>
      <c r="AB336" s="57">
        <v>1206</v>
      </c>
      <c r="AC336" s="57">
        <v>0</v>
      </c>
      <c r="AD336" s="57">
        <v>0</v>
      </c>
      <c r="AE336" s="58">
        <v>10302</v>
      </c>
      <c r="AF336" s="30">
        <v>0</v>
      </c>
      <c r="AG336" s="57">
        <v>0</v>
      </c>
      <c r="AH336" s="57">
        <v>0</v>
      </c>
      <c r="AI336" s="57">
        <v>0</v>
      </c>
      <c r="AJ336" s="57">
        <v>0</v>
      </c>
      <c r="AK336" s="57">
        <v>0</v>
      </c>
      <c r="AL336" s="57">
        <v>0</v>
      </c>
      <c r="AM336" s="57">
        <v>0</v>
      </c>
      <c r="AN336" s="57">
        <v>0</v>
      </c>
      <c r="AO336" s="57">
        <v>0</v>
      </c>
      <c r="AP336" s="57">
        <v>0</v>
      </c>
      <c r="AQ336" s="57">
        <v>0</v>
      </c>
      <c r="AR336" s="57">
        <v>0</v>
      </c>
      <c r="AS336" s="57">
        <v>0</v>
      </c>
      <c r="AT336" s="57">
        <v>0</v>
      </c>
      <c r="AU336" s="57">
        <v>0</v>
      </c>
      <c r="AV336" s="57">
        <v>0</v>
      </c>
      <c r="AW336" s="57">
        <v>0</v>
      </c>
      <c r="AX336" s="57">
        <v>0</v>
      </c>
      <c r="AY336" s="57">
        <v>0</v>
      </c>
      <c r="AZ336" s="57">
        <v>0</v>
      </c>
      <c r="BA336" s="57">
        <v>0</v>
      </c>
      <c r="BB336" s="57">
        <v>0</v>
      </c>
      <c r="BC336" s="57">
        <v>0</v>
      </c>
      <c r="BD336" s="57">
        <v>0</v>
      </c>
      <c r="BE336" s="57">
        <v>0</v>
      </c>
      <c r="BF336" s="57">
        <v>0</v>
      </c>
      <c r="BG336" s="57">
        <v>0</v>
      </c>
      <c r="BH336" s="57">
        <v>0</v>
      </c>
      <c r="BI336" s="57">
        <v>0</v>
      </c>
      <c r="BJ336" s="57">
        <v>0</v>
      </c>
      <c r="BK336" s="57">
        <v>0</v>
      </c>
      <c r="BL336" s="57">
        <v>0</v>
      </c>
      <c r="BM336" s="57">
        <v>0</v>
      </c>
      <c r="BN336" s="57">
        <v>0</v>
      </c>
      <c r="BO336" s="57">
        <v>0</v>
      </c>
      <c r="BP336" s="57">
        <v>0</v>
      </c>
      <c r="BQ336" s="57">
        <v>0</v>
      </c>
      <c r="BR336" s="57">
        <v>0</v>
      </c>
      <c r="BS336" s="57">
        <v>0</v>
      </c>
      <c r="BT336" s="57">
        <v>0</v>
      </c>
      <c r="BU336" s="57">
        <v>0</v>
      </c>
      <c r="BV336" s="57">
        <v>0</v>
      </c>
      <c r="BW336" s="57">
        <v>0</v>
      </c>
      <c r="BX336" s="57">
        <v>0</v>
      </c>
      <c r="BY336" s="57">
        <v>0</v>
      </c>
      <c r="BZ336" s="57">
        <v>0</v>
      </c>
      <c r="CA336" s="57">
        <v>0</v>
      </c>
    </row>
    <row r="337" spans="1:79" x14ac:dyDescent="0.3">
      <c r="A337" s="26"/>
      <c r="B337" s="20" t="str">
        <f t="shared" si="110"/>
        <v>13790003</v>
      </c>
      <c r="C337" s="55">
        <v>3</v>
      </c>
      <c r="D337" s="55">
        <v>7</v>
      </c>
      <c r="E337" s="49">
        <v>3</v>
      </c>
      <c r="F337" s="57">
        <v>1</v>
      </c>
      <c r="G337" s="57">
        <v>107</v>
      </c>
      <c r="H337" s="57" t="str">
        <f t="shared" si="111"/>
        <v>Item_Name_13790003</v>
      </c>
      <c r="I337" s="57" t="s">
        <v>849</v>
      </c>
      <c r="J337" s="57">
        <v>10103001</v>
      </c>
      <c r="K337" s="57">
        <v>99</v>
      </c>
      <c r="L337" s="57">
        <v>0</v>
      </c>
      <c r="M337" s="57">
        <v>0</v>
      </c>
      <c r="N337" s="57">
        <v>15</v>
      </c>
      <c r="O337" s="57">
        <v>100</v>
      </c>
      <c r="P337" s="57">
        <v>1</v>
      </c>
      <c r="Q337" s="57" t="s">
        <v>861</v>
      </c>
      <c r="R337" s="57" t="s">
        <v>448</v>
      </c>
      <c r="S337" s="57" t="s">
        <v>327</v>
      </c>
      <c r="T337" s="57" t="s">
        <v>429</v>
      </c>
      <c r="U337" s="57">
        <v>0</v>
      </c>
      <c r="V337" s="57">
        <v>0</v>
      </c>
      <c r="W337" s="57">
        <v>73</v>
      </c>
      <c r="X337" s="57">
        <v>3</v>
      </c>
      <c r="Y337" s="57">
        <v>1202</v>
      </c>
      <c r="Z337" s="57">
        <v>1202</v>
      </c>
      <c r="AA337" s="57">
        <v>1206</v>
      </c>
      <c r="AB337" s="57">
        <v>1206</v>
      </c>
      <c r="AC337" s="57">
        <v>0</v>
      </c>
      <c r="AD337" s="57">
        <v>0</v>
      </c>
      <c r="AE337" s="58">
        <v>10303</v>
      </c>
      <c r="AF337" s="30">
        <v>0</v>
      </c>
      <c r="AG337" s="57">
        <v>0</v>
      </c>
      <c r="AH337" s="57">
        <v>0</v>
      </c>
      <c r="AI337" s="57">
        <v>0</v>
      </c>
      <c r="AJ337" s="57">
        <v>0</v>
      </c>
      <c r="AK337" s="57">
        <v>0</v>
      </c>
      <c r="AL337" s="57">
        <v>0</v>
      </c>
      <c r="AM337" s="57">
        <v>0</v>
      </c>
      <c r="AN337" s="57">
        <v>0</v>
      </c>
      <c r="AO337" s="57">
        <v>0</v>
      </c>
      <c r="AP337" s="57">
        <v>0</v>
      </c>
      <c r="AQ337" s="57">
        <v>0</v>
      </c>
      <c r="AR337" s="57">
        <v>0</v>
      </c>
      <c r="AS337" s="57">
        <v>0</v>
      </c>
      <c r="AT337" s="57">
        <v>0</v>
      </c>
      <c r="AU337" s="57">
        <v>0</v>
      </c>
      <c r="AV337" s="57">
        <v>0</v>
      </c>
      <c r="AW337" s="57">
        <v>0</v>
      </c>
      <c r="AX337" s="57">
        <v>0</v>
      </c>
      <c r="AY337" s="57">
        <v>0</v>
      </c>
      <c r="AZ337" s="57">
        <v>0</v>
      </c>
      <c r="BA337" s="57">
        <v>0</v>
      </c>
      <c r="BB337" s="57">
        <v>0</v>
      </c>
      <c r="BC337" s="57">
        <v>0</v>
      </c>
      <c r="BD337" s="57">
        <v>0</v>
      </c>
      <c r="BE337" s="57">
        <v>0</v>
      </c>
      <c r="BF337" s="57">
        <v>0</v>
      </c>
      <c r="BG337" s="57">
        <v>0</v>
      </c>
      <c r="BH337" s="57">
        <v>0</v>
      </c>
      <c r="BI337" s="57">
        <v>0</v>
      </c>
      <c r="BJ337" s="57">
        <v>0</v>
      </c>
      <c r="BK337" s="57">
        <v>0</v>
      </c>
      <c r="BL337" s="57">
        <v>0</v>
      </c>
      <c r="BM337" s="57">
        <v>0</v>
      </c>
      <c r="BN337" s="57">
        <v>0</v>
      </c>
      <c r="BO337" s="57">
        <v>0</v>
      </c>
      <c r="BP337" s="57">
        <v>0</v>
      </c>
      <c r="BQ337" s="57">
        <v>0</v>
      </c>
      <c r="BR337" s="57">
        <v>0</v>
      </c>
      <c r="BS337" s="57">
        <v>0</v>
      </c>
      <c r="BT337" s="57">
        <v>0</v>
      </c>
      <c r="BU337" s="57">
        <v>0</v>
      </c>
      <c r="BV337" s="57">
        <v>0</v>
      </c>
      <c r="BW337" s="57">
        <v>0</v>
      </c>
      <c r="BX337" s="57">
        <v>0</v>
      </c>
      <c r="BY337" s="57">
        <v>0</v>
      </c>
      <c r="BZ337" s="57">
        <v>0</v>
      </c>
      <c r="CA337" s="57">
        <v>0</v>
      </c>
    </row>
    <row r="338" spans="1:79" x14ac:dyDescent="0.3">
      <c r="A338" s="26"/>
      <c r="B338" s="20" t="str">
        <f t="shared" si="110"/>
        <v>14790001</v>
      </c>
      <c r="C338" s="55">
        <v>4</v>
      </c>
      <c r="D338" s="55">
        <v>7</v>
      </c>
      <c r="E338" s="49">
        <v>1</v>
      </c>
      <c r="F338" s="57">
        <v>1</v>
      </c>
      <c r="G338" s="57">
        <v>107</v>
      </c>
      <c r="H338" s="57" t="str">
        <f t="shared" si="111"/>
        <v>Item_Name_14790001</v>
      </c>
      <c r="I338" s="57" t="s">
        <v>850</v>
      </c>
      <c r="J338" s="57">
        <v>10104001</v>
      </c>
      <c r="K338" s="57">
        <v>99</v>
      </c>
      <c r="L338" s="57">
        <v>0</v>
      </c>
      <c r="M338" s="57">
        <v>0</v>
      </c>
      <c r="N338" s="57">
        <v>15</v>
      </c>
      <c r="O338" s="57">
        <v>100</v>
      </c>
      <c r="P338" s="57">
        <v>1</v>
      </c>
      <c r="Q338" s="57" t="s">
        <v>862</v>
      </c>
      <c r="R338" s="57" t="s">
        <v>448</v>
      </c>
      <c r="S338" s="57" t="s">
        <v>327</v>
      </c>
      <c r="T338" s="57" t="s">
        <v>429</v>
      </c>
      <c r="U338" s="57">
        <v>0</v>
      </c>
      <c r="V338" s="57">
        <v>0</v>
      </c>
      <c r="W338" s="57">
        <v>73</v>
      </c>
      <c r="X338" s="57">
        <v>1</v>
      </c>
      <c r="Y338" s="57">
        <v>1202</v>
      </c>
      <c r="Z338" s="57">
        <v>1202</v>
      </c>
      <c r="AA338" s="57">
        <v>1206</v>
      </c>
      <c r="AB338" s="57">
        <v>1206</v>
      </c>
      <c r="AC338" s="57">
        <v>0</v>
      </c>
      <c r="AD338" s="57">
        <v>0</v>
      </c>
      <c r="AE338" s="58">
        <v>10401</v>
      </c>
      <c r="AF338" s="30">
        <v>0</v>
      </c>
      <c r="AG338" s="57">
        <v>0</v>
      </c>
      <c r="AH338" s="57">
        <v>0</v>
      </c>
      <c r="AI338" s="57">
        <v>0</v>
      </c>
      <c r="AJ338" s="57">
        <v>0</v>
      </c>
      <c r="AK338" s="57">
        <v>0</v>
      </c>
      <c r="AL338" s="57">
        <v>0</v>
      </c>
      <c r="AM338" s="57">
        <v>0</v>
      </c>
      <c r="AN338" s="57">
        <v>0</v>
      </c>
      <c r="AO338" s="57">
        <v>0</v>
      </c>
      <c r="AP338" s="57">
        <v>0</v>
      </c>
      <c r="AQ338" s="57">
        <v>0</v>
      </c>
      <c r="AR338" s="57">
        <v>0</v>
      </c>
      <c r="AS338" s="57">
        <v>0</v>
      </c>
      <c r="AT338" s="57">
        <v>0</v>
      </c>
      <c r="AU338" s="57">
        <v>0</v>
      </c>
      <c r="AV338" s="57">
        <v>0</v>
      </c>
      <c r="AW338" s="57">
        <v>0</v>
      </c>
      <c r="AX338" s="57">
        <v>0</v>
      </c>
      <c r="AY338" s="57">
        <v>0</v>
      </c>
      <c r="AZ338" s="57">
        <v>0</v>
      </c>
      <c r="BA338" s="57">
        <v>0</v>
      </c>
      <c r="BB338" s="57">
        <v>0</v>
      </c>
      <c r="BC338" s="57">
        <v>0</v>
      </c>
      <c r="BD338" s="57">
        <v>0</v>
      </c>
      <c r="BE338" s="57">
        <v>0</v>
      </c>
      <c r="BF338" s="57">
        <v>0</v>
      </c>
      <c r="BG338" s="57">
        <v>0</v>
      </c>
      <c r="BH338" s="57">
        <v>0</v>
      </c>
      <c r="BI338" s="57">
        <v>0</v>
      </c>
      <c r="BJ338" s="57">
        <v>0</v>
      </c>
      <c r="BK338" s="57">
        <v>0</v>
      </c>
      <c r="BL338" s="57">
        <v>0</v>
      </c>
      <c r="BM338" s="57">
        <v>0</v>
      </c>
      <c r="BN338" s="57">
        <v>0</v>
      </c>
      <c r="BO338" s="57">
        <v>0</v>
      </c>
      <c r="BP338" s="57">
        <v>0</v>
      </c>
      <c r="BQ338" s="57">
        <v>0</v>
      </c>
      <c r="BR338" s="57">
        <v>0</v>
      </c>
      <c r="BS338" s="57">
        <v>0</v>
      </c>
      <c r="BT338" s="57">
        <v>0</v>
      </c>
      <c r="BU338" s="57">
        <v>0</v>
      </c>
      <c r="BV338" s="57">
        <v>0</v>
      </c>
      <c r="BW338" s="57">
        <v>0</v>
      </c>
      <c r="BX338" s="57">
        <v>0</v>
      </c>
      <c r="BY338" s="57">
        <v>0</v>
      </c>
      <c r="BZ338" s="57">
        <v>0</v>
      </c>
      <c r="CA338" s="57">
        <v>0</v>
      </c>
    </row>
    <row r="339" spans="1:79" x14ac:dyDescent="0.3">
      <c r="A339" s="26"/>
      <c r="B339" s="20" t="str">
        <f t="shared" si="110"/>
        <v>14790002</v>
      </c>
      <c r="C339" s="55">
        <v>4</v>
      </c>
      <c r="D339" s="55">
        <v>7</v>
      </c>
      <c r="E339" s="49">
        <v>2</v>
      </c>
      <c r="F339" s="57">
        <v>1</v>
      </c>
      <c r="G339" s="57">
        <v>107</v>
      </c>
      <c r="H339" s="57" t="str">
        <f t="shared" si="111"/>
        <v>Item_Name_14790002</v>
      </c>
      <c r="I339" s="57" t="s">
        <v>851</v>
      </c>
      <c r="J339" s="57">
        <v>10104001</v>
      </c>
      <c r="K339" s="57">
        <v>99</v>
      </c>
      <c r="L339" s="57">
        <v>0</v>
      </c>
      <c r="M339" s="57">
        <v>0</v>
      </c>
      <c r="N339" s="57">
        <v>15</v>
      </c>
      <c r="O339" s="57">
        <v>100</v>
      </c>
      <c r="P339" s="57">
        <v>1</v>
      </c>
      <c r="Q339" s="57" t="s">
        <v>863</v>
      </c>
      <c r="R339" s="57" t="s">
        <v>448</v>
      </c>
      <c r="S339" s="57" t="s">
        <v>327</v>
      </c>
      <c r="T339" s="57" t="s">
        <v>429</v>
      </c>
      <c r="U339" s="57">
        <v>0</v>
      </c>
      <c r="V339" s="57">
        <v>0</v>
      </c>
      <c r="W339" s="57">
        <v>73</v>
      </c>
      <c r="X339" s="57">
        <v>2</v>
      </c>
      <c r="Y339" s="57">
        <v>1202</v>
      </c>
      <c r="Z339" s="57">
        <v>1202</v>
      </c>
      <c r="AA339" s="57">
        <v>1206</v>
      </c>
      <c r="AB339" s="57">
        <v>1206</v>
      </c>
      <c r="AC339" s="57">
        <v>0</v>
      </c>
      <c r="AD339" s="57">
        <v>0</v>
      </c>
      <c r="AE339" s="58">
        <v>10402</v>
      </c>
      <c r="AF339" s="30">
        <v>0</v>
      </c>
      <c r="AG339" s="57">
        <v>0</v>
      </c>
      <c r="AH339" s="57">
        <v>0</v>
      </c>
      <c r="AI339" s="57">
        <v>0</v>
      </c>
      <c r="AJ339" s="57">
        <v>0</v>
      </c>
      <c r="AK339" s="57">
        <v>0</v>
      </c>
      <c r="AL339" s="57">
        <v>0</v>
      </c>
      <c r="AM339" s="57">
        <v>0</v>
      </c>
      <c r="AN339" s="57">
        <v>0</v>
      </c>
      <c r="AO339" s="57">
        <v>0</v>
      </c>
      <c r="AP339" s="57">
        <v>0</v>
      </c>
      <c r="AQ339" s="57">
        <v>0</v>
      </c>
      <c r="AR339" s="57">
        <v>0</v>
      </c>
      <c r="AS339" s="57">
        <v>0</v>
      </c>
      <c r="AT339" s="57">
        <v>0</v>
      </c>
      <c r="AU339" s="57">
        <v>0</v>
      </c>
      <c r="AV339" s="57">
        <v>0</v>
      </c>
      <c r="AW339" s="57">
        <v>0</v>
      </c>
      <c r="AX339" s="57">
        <v>0</v>
      </c>
      <c r="AY339" s="57">
        <v>0</v>
      </c>
      <c r="AZ339" s="57">
        <v>0</v>
      </c>
      <c r="BA339" s="57">
        <v>0</v>
      </c>
      <c r="BB339" s="57">
        <v>0</v>
      </c>
      <c r="BC339" s="57">
        <v>0</v>
      </c>
      <c r="BD339" s="57">
        <v>0</v>
      </c>
      <c r="BE339" s="57">
        <v>0</v>
      </c>
      <c r="BF339" s="57">
        <v>0</v>
      </c>
      <c r="BG339" s="57">
        <v>0</v>
      </c>
      <c r="BH339" s="57">
        <v>0</v>
      </c>
      <c r="BI339" s="57">
        <v>0</v>
      </c>
      <c r="BJ339" s="57">
        <v>0</v>
      </c>
      <c r="BK339" s="57">
        <v>0</v>
      </c>
      <c r="BL339" s="57">
        <v>0</v>
      </c>
      <c r="BM339" s="57">
        <v>0</v>
      </c>
      <c r="BN339" s="57">
        <v>0</v>
      </c>
      <c r="BO339" s="57">
        <v>0</v>
      </c>
      <c r="BP339" s="57">
        <v>0</v>
      </c>
      <c r="BQ339" s="57">
        <v>0</v>
      </c>
      <c r="BR339" s="57">
        <v>0</v>
      </c>
      <c r="BS339" s="57">
        <v>0</v>
      </c>
      <c r="BT339" s="57">
        <v>0</v>
      </c>
      <c r="BU339" s="57">
        <v>0</v>
      </c>
      <c r="BV339" s="57">
        <v>0</v>
      </c>
      <c r="BW339" s="57">
        <v>0</v>
      </c>
      <c r="BX339" s="57">
        <v>0</v>
      </c>
      <c r="BY339" s="57">
        <v>0</v>
      </c>
      <c r="BZ339" s="57">
        <v>0</v>
      </c>
      <c r="CA339" s="57">
        <v>0</v>
      </c>
    </row>
    <row r="340" spans="1:79" x14ac:dyDescent="0.3">
      <c r="A340" s="26"/>
      <c r="B340" s="20" t="str">
        <f t="shared" si="110"/>
        <v>14790003</v>
      </c>
      <c r="C340" s="55">
        <v>4</v>
      </c>
      <c r="D340" s="55">
        <v>7</v>
      </c>
      <c r="E340" s="49">
        <v>3</v>
      </c>
      <c r="F340" s="57">
        <v>1</v>
      </c>
      <c r="G340" s="57">
        <v>107</v>
      </c>
      <c r="H340" s="57" t="str">
        <f t="shared" si="111"/>
        <v>Item_Name_14790003</v>
      </c>
      <c r="I340" s="57" t="s">
        <v>852</v>
      </c>
      <c r="J340" s="57">
        <v>10104001</v>
      </c>
      <c r="K340" s="57">
        <v>99</v>
      </c>
      <c r="L340" s="57">
        <v>0</v>
      </c>
      <c r="M340" s="57">
        <v>0</v>
      </c>
      <c r="N340" s="57">
        <v>15</v>
      </c>
      <c r="O340" s="57">
        <v>100</v>
      </c>
      <c r="P340" s="57">
        <v>1</v>
      </c>
      <c r="Q340" s="57" t="s">
        <v>864</v>
      </c>
      <c r="R340" s="57" t="s">
        <v>448</v>
      </c>
      <c r="S340" s="57" t="s">
        <v>327</v>
      </c>
      <c r="T340" s="57" t="s">
        <v>429</v>
      </c>
      <c r="U340" s="57">
        <v>0</v>
      </c>
      <c r="V340" s="57">
        <v>0</v>
      </c>
      <c r="W340" s="57">
        <v>73</v>
      </c>
      <c r="X340" s="57">
        <v>3</v>
      </c>
      <c r="Y340" s="57">
        <v>1202</v>
      </c>
      <c r="Z340" s="57">
        <v>1202</v>
      </c>
      <c r="AA340" s="57">
        <v>1206</v>
      </c>
      <c r="AB340" s="57">
        <v>1206</v>
      </c>
      <c r="AC340" s="57">
        <v>0</v>
      </c>
      <c r="AD340" s="57">
        <v>0</v>
      </c>
      <c r="AE340" s="58">
        <v>10403</v>
      </c>
      <c r="AF340" s="30">
        <v>0</v>
      </c>
      <c r="AG340" s="57">
        <v>0</v>
      </c>
      <c r="AH340" s="57">
        <v>0</v>
      </c>
      <c r="AI340" s="57">
        <v>0</v>
      </c>
      <c r="AJ340" s="57">
        <v>0</v>
      </c>
      <c r="AK340" s="57">
        <v>0</v>
      </c>
      <c r="AL340" s="57">
        <v>0</v>
      </c>
      <c r="AM340" s="57">
        <v>0</v>
      </c>
      <c r="AN340" s="57">
        <v>0</v>
      </c>
      <c r="AO340" s="57">
        <v>0</v>
      </c>
      <c r="AP340" s="57">
        <v>0</v>
      </c>
      <c r="AQ340" s="57">
        <v>0</v>
      </c>
      <c r="AR340" s="57">
        <v>0</v>
      </c>
      <c r="AS340" s="57">
        <v>0</v>
      </c>
      <c r="AT340" s="57">
        <v>0</v>
      </c>
      <c r="AU340" s="57">
        <v>0</v>
      </c>
      <c r="AV340" s="57">
        <v>0</v>
      </c>
      <c r="AW340" s="57">
        <v>0</v>
      </c>
      <c r="AX340" s="57">
        <v>0</v>
      </c>
      <c r="AY340" s="57">
        <v>0</v>
      </c>
      <c r="AZ340" s="57">
        <v>0</v>
      </c>
      <c r="BA340" s="57">
        <v>0</v>
      </c>
      <c r="BB340" s="57">
        <v>0</v>
      </c>
      <c r="BC340" s="57">
        <v>0</v>
      </c>
      <c r="BD340" s="57">
        <v>0</v>
      </c>
      <c r="BE340" s="57">
        <v>0</v>
      </c>
      <c r="BF340" s="57">
        <v>0</v>
      </c>
      <c r="BG340" s="57">
        <v>0</v>
      </c>
      <c r="BH340" s="57">
        <v>0</v>
      </c>
      <c r="BI340" s="57">
        <v>0</v>
      </c>
      <c r="BJ340" s="57">
        <v>0</v>
      </c>
      <c r="BK340" s="57">
        <v>0</v>
      </c>
      <c r="BL340" s="57">
        <v>0</v>
      </c>
      <c r="BM340" s="57">
        <v>0</v>
      </c>
      <c r="BN340" s="57">
        <v>0</v>
      </c>
      <c r="BO340" s="57">
        <v>0</v>
      </c>
      <c r="BP340" s="57">
        <v>0</v>
      </c>
      <c r="BQ340" s="57">
        <v>0</v>
      </c>
      <c r="BR340" s="57">
        <v>0</v>
      </c>
      <c r="BS340" s="57">
        <v>0</v>
      </c>
      <c r="BT340" s="57">
        <v>0</v>
      </c>
      <c r="BU340" s="57">
        <v>0</v>
      </c>
      <c r="BV340" s="57">
        <v>0</v>
      </c>
      <c r="BW340" s="57">
        <v>0</v>
      </c>
      <c r="BX340" s="57">
        <v>0</v>
      </c>
      <c r="BY340" s="57">
        <v>0</v>
      </c>
      <c r="BZ340" s="57">
        <v>0</v>
      </c>
      <c r="CA340" s="57">
        <v>0</v>
      </c>
    </row>
    <row r="341" spans="1:79" x14ac:dyDescent="0.3">
      <c r="A341" s="26"/>
      <c r="B341" s="20" t="str">
        <f t="shared" si="110"/>
        <v>11890001</v>
      </c>
      <c r="C341" s="55">
        <v>1</v>
      </c>
      <c r="D341" s="55">
        <v>8</v>
      </c>
      <c r="E341" s="49">
        <v>1</v>
      </c>
      <c r="F341" s="57">
        <v>1</v>
      </c>
      <c r="G341" s="57">
        <v>108</v>
      </c>
      <c r="H341" s="57" t="str">
        <f t="shared" si="111"/>
        <v>Item_Name_11890001</v>
      </c>
      <c r="I341" s="57" t="s">
        <v>829</v>
      </c>
      <c r="J341" s="57">
        <v>10101001</v>
      </c>
      <c r="K341" s="57">
        <v>99</v>
      </c>
      <c r="L341" s="57">
        <v>0</v>
      </c>
      <c r="M341" s="57">
        <v>0</v>
      </c>
      <c r="N341" s="57">
        <v>15</v>
      </c>
      <c r="O341" s="57">
        <v>100</v>
      </c>
      <c r="P341" s="57">
        <v>1</v>
      </c>
      <c r="Q341" s="57" t="s">
        <v>865</v>
      </c>
      <c r="R341" s="57" t="s">
        <v>448</v>
      </c>
      <c r="S341" s="57" t="s">
        <v>328</v>
      </c>
      <c r="T341" s="57" t="s">
        <v>429</v>
      </c>
      <c r="U341" s="57">
        <v>0</v>
      </c>
      <c r="V341" s="57">
        <v>0</v>
      </c>
      <c r="W341" s="57">
        <v>73</v>
      </c>
      <c r="X341" s="57">
        <v>1</v>
      </c>
      <c r="Y341" s="57">
        <v>1201</v>
      </c>
      <c r="Z341" s="57">
        <v>1201</v>
      </c>
      <c r="AA341" s="57">
        <v>1205</v>
      </c>
      <c r="AB341" s="57">
        <v>1205</v>
      </c>
      <c r="AC341" s="57">
        <v>0</v>
      </c>
      <c r="AD341" s="57">
        <v>0</v>
      </c>
      <c r="AE341" s="58">
        <v>10101</v>
      </c>
      <c r="AF341" s="30">
        <v>0</v>
      </c>
      <c r="AG341" s="57">
        <v>0</v>
      </c>
      <c r="AH341" s="57">
        <v>0</v>
      </c>
      <c r="AI341" s="57">
        <v>0</v>
      </c>
      <c r="AJ341" s="57">
        <v>0</v>
      </c>
      <c r="AK341" s="57">
        <v>0</v>
      </c>
      <c r="AL341" s="57">
        <v>0</v>
      </c>
      <c r="AM341" s="57">
        <v>0</v>
      </c>
      <c r="AN341" s="57">
        <v>0</v>
      </c>
      <c r="AO341" s="57">
        <v>0</v>
      </c>
      <c r="AP341" s="57">
        <v>0</v>
      </c>
      <c r="AQ341" s="57">
        <v>0</v>
      </c>
      <c r="AR341" s="57">
        <v>0</v>
      </c>
      <c r="AS341" s="57">
        <v>0</v>
      </c>
      <c r="AT341" s="57">
        <v>0</v>
      </c>
      <c r="AU341" s="57">
        <v>0</v>
      </c>
      <c r="AV341" s="57">
        <v>0</v>
      </c>
      <c r="AW341" s="57">
        <v>0</v>
      </c>
      <c r="AX341" s="57">
        <v>0</v>
      </c>
      <c r="AY341" s="57">
        <v>0</v>
      </c>
      <c r="AZ341" s="57">
        <v>0</v>
      </c>
      <c r="BA341" s="57">
        <v>0</v>
      </c>
      <c r="BB341" s="57">
        <v>0</v>
      </c>
      <c r="BC341" s="57">
        <v>0</v>
      </c>
      <c r="BD341" s="57">
        <v>0</v>
      </c>
      <c r="BE341" s="57">
        <v>0</v>
      </c>
      <c r="BF341" s="57">
        <v>0</v>
      </c>
      <c r="BG341" s="57">
        <v>0</v>
      </c>
      <c r="BH341" s="57">
        <v>0</v>
      </c>
      <c r="BI341" s="57">
        <v>0</v>
      </c>
      <c r="BJ341" s="57">
        <v>0</v>
      </c>
      <c r="BK341" s="57">
        <v>0</v>
      </c>
      <c r="BL341" s="57">
        <v>0</v>
      </c>
      <c r="BM341" s="57">
        <v>0</v>
      </c>
      <c r="BN341" s="57">
        <v>0</v>
      </c>
      <c r="BO341" s="57">
        <v>0</v>
      </c>
      <c r="BP341" s="57">
        <v>0</v>
      </c>
      <c r="BQ341" s="57">
        <v>0</v>
      </c>
      <c r="BR341" s="57">
        <v>0</v>
      </c>
      <c r="BS341" s="57">
        <v>0</v>
      </c>
      <c r="BT341" s="57">
        <v>0</v>
      </c>
      <c r="BU341" s="57">
        <v>0</v>
      </c>
      <c r="BV341" s="57">
        <v>0</v>
      </c>
      <c r="BW341" s="57">
        <v>0</v>
      </c>
      <c r="BX341" s="57">
        <v>0</v>
      </c>
      <c r="BY341" s="57">
        <v>0</v>
      </c>
      <c r="BZ341" s="57">
        <v>0</v>
      </c>
      <c r="CA341" s="57">
        <v>0</v>
      </c>
    </row>
    <row r="342" spans="1:79" x14ac:dyDescent="0.3">
      <c r="A342" s="26"/>
      <c r="B342" s="20" t="str">
        <f t="shared" si="110"/>
        <v>11890002</v>
      </c>
      <c r="C342" s="55">
        <v>1</v>
      </c>
      <c r="D342" s="55">
        <v>8</v>
      </c>
      <c r="E342" s="49">
        <v>2</v>
      </c>
      <c r="F342" s="57">
        <v>1</v>
      </c>
      <c r="G342" s="57">
        <v>108</v>
      </c>
      <c r="H342" s="57" t="str">
        <f t="shared" si="111"/>
        <v>Item_Name_11890002</v>
      </c>
      <c r="I342" s="57" t="s">
        <v>830</v>
      </c>
      <c r="J342" s="57">
        <v>10101001</v>
      </c>
      <c r="K342" s="57">
        <v>99</v>
      </c>
      <c r="L342" s="57">
        <v>0</v>
      </c>
      <c r="M342" s="57">
        <v>0</v>
      </c>
      <c r="N342" s="57">
        <v>15</v>
      </c>
      <c r="O342" s="57">
        <v>100</v>
      </c>
      <c r="P342" s="57">
        <v>1</v>
      </c>
      <c r="Q342" s="57" t="s">
        <v>866</v>
      </c>
      <c r="R342" s="57" t="s">
        <v>448</v>
      </c>
      <c r="S342" s="57" t="s">
        <v>328</v>
      </c>
      <c r="T342" s="57" t="s">
        <v>429</v>
      </c>
      <c r="U342" s="57">
        <v>0</v>
      </c>
      <c r="V342" s="57">
        <v>0</v>
      </c>
      <c r="W342" s="57">
        <v>73</v>
      </c>
      <c r="X342" s="57">
        <v>2</v>
      </c>
      <c r="Y342" s="57">
        <v>1201</v>
      </c>
      <c r="Z342" s="57">
        <v>1201</v>
      </c>
      <c r="AA342" s="57">
        <v>1205</v>
      </c>
      <c r="AB342" s="57">
        <v>1205</v>
      </c>
      <c r="AC342" s="57">
        <v>0</v>
      </c>
      <c r="AD342" s="57">
        <v>0</v>
      </c>
      <c r="AE342" s="58">
        <v>10102</v>
      </c>
      <c r="AF342" s="30">
        <v>0</v>
      </c>
      <c r="AG342" s="57">
        <v>0</v>
      </c>
      <c r="AH342" s="57">
        <v>0</v>
      </c>
      <c r="AI342" s="57">
        <v>0</v>
      </c>
      <c r="AJ342" s="57">
        <v>0</v>
      </c>
      <c r="AK342" s="57">
        <v>0</v>
      </c>
      <c r="AL342" s="57">
        <v>0</v>
      </c>
      <c r="AM342" s="57">
        <v>0</v>
      </c>
      <c r="AN342" s="57">
        <v>0</v>
      </c>
      <c r="AO342" s="57">
        <v>0</v>
      </c>
      <c r="AP342" s="57">
        <v>0</v>
      </c>
      <c r="AQ342" s="57">
        <v>0</v>
      </c>
      <c r="AR342" s="57">
        <v>0</v>
      </c>
      <c r="AS342" s="57">
        <v>0</v>
      </c>
      <c r="AT342" s="57">
        <v>0</v>
      </c>
      <c r="AU342" s="57">
        <v>0</v>
      </c>
      <c r="AV342" s="57">
        <v>0</v>
      </c>
      <c r="AW342" s="57">
        <v>0</v>
      </c>
      <c r="AX342" s="57">
        <v>0</v>
      </c>
      <c r="AY342" s="57">
        <v>0</v>
      </c>
      <c r="AZ342" s="57">
        <v>0</v>
      </c>
      <c r="BA342" s="57">
        <v>0</v>
      </c>
      <c r="BB342" s="57">
        <v>0</v>
      </c>
      <c r="BC342" s="57">
        <v>0</v>
      </c>
      <c r="BD342" s="57">
        <v>0</v>
      </c>
      <c r="BE342" s="57">
        <v>0</v>
      </c>
      <c r="BF342" s="57">
        <v>0</v>
      </c>
      <c r="BG342" s="57">
        <v>0</v>
      </c>
      <c r="BH342" s="57">
        <v>0</v>
      </c>
      <c r="BI342" s="57">
        <v>0</v>
      </c>
      <c r="BJ342" s="57">
        <v>0</v>
      </c>
      <c r="BK342" s="57">
        <v>0</v>
      </c>
      <c r="BL342" s="57">
        <v>0</v>
      </c>
      <c r="BM342" s="57">
        <v>0</v>
      </c>
      <c r="BN342" s="57">
        <v>0</v>
      </c>
      <c r="BO342" s="57">
        <v>0</v>
      </c>
      <c r="BP342" s="57">
        <v>0</v>
      </c>
      <c r="BQ342" s="57">
        <v>0</v>
      </c>
      <c r="BR342" s="57">
        <v>0</v>
      </c>
      <c r="BS342" s="57">
        <v>0</v>
      </c>
      <c r="BT342" s="57">
        <v>0</v>
      </c>
      <c r="BU342" s="57">
        <v>0</v>
      </c>
      <c r="BV342" s="57">
        <v>0</v>
      </c>
      <c r="BW342" s="57">
        <v>0</v>
      </c>
      <c r="BX342" s="57">
        <v>0</v>
      </c>
      <c r="BY342" s="57">
        <v>0</v>
      </c>
      <c r="BZ342" s="57">
        <v>0</v>
      </c>
      <c r="CA342" s="57">
        <v>0</v>
      </c>
    </row>
    <row r="343" spans="1:79" x14ac:dyDescent="0.3">
      <c r="A343" s="26"/>
      <c r="B343" s="20" t="str">
        <f t="shared" si="110"/>
        <v>11890003</v>
      </c>
      <c r="C343" s="55">
        <v>1</v>
      </c>
      <c r="D343" s="55">
        <v>8</v>
      </c>
      <c r="E343" s="49">
        <v>3</v>
      </c>
      <c r="F343" s="57">
        <v>1</v>
      </c>
      <c r="G343" s="57">
        <v>108</v>
      </c>
      <c r="H343" s="57" t="str">
        <f t="shared" si="111"/>
        <v>Item_Name_11890003</v>
      </c>
      <c r="I343" s="57" t="s">
        <v>831</v>
      </c>
      <c r="J343" s="57">
        <v>10101001</v>
      </c>
      <c r="K343" s="57">
        <v>99</v>
      </c>
      <c r="L343" s="57">
        <v>0</v>
      </c>
      <c r="M343" s="57">
        <v>0</v>
      </c>
      <c r="N343" s="57">
        <v>15</v>
      </c>
      <c r="O343" s="57">
        <v>100</v>
      </c>
      <c r="P343" s="57">
        <v>1</v>
      </c>
      <c r="Q343" s="57" t="s">
        <v>867</v>
      </c>
      <c r="R343" s="57" t="s">
        <v>448</v>
      </c>
      <c r="S343" s="57" t="s">
        <v>328</v>
      </c>
      <c r="T343" s="57" t="s">
        <v>429</v>
      </c>
      <c r="U343" s="57">
        <v>0</v>
      </c>
      <c r="V343" s="57">
        <v>0</v>
      </c>
      <c r="W343" s="57">
        <v>73</v>
      </c>
      <c r="X343" s="57">
        <v>3</v>
      </c>
      <c r="Y343" s="57">
        <v>1201</v>
      </c>
      <c r="Z343" s="57">
        <v>1201</v>
      </c>
      <c r="AA343" s="57">
        <v>1205</v>
      </c>
      <c r="AB343" s="57">
        <v>1205</v>
      </c>
      <c r="AC343" s="57">
        <v>0</v>
      </c>
      <c r="AD343" s="57">
        <v>0</v>
      </c>
      <c r="AE343" s="58">
        <v>10103</v>
      </c>
      <c r="AF343" s="30">
        <v>0</v>
      </c>
      <c r="AG343" s="57">
        <v>0</v>
      </c>
      <c r="AH343" s="57">
        <v>0</v>
      </c>
      <c r="AI343" s="57">
        <v>0</v>
      </c>
      <c r="AJ343" s="57">
        <v>0</v>
      </c>
      <c r="AK343" s="57">
        <v>0</v>
      </c>
      <c r="AL343" s="57">
        <v>0</v>
      </c>
      <c r="AM343" s="57">
        <v>0</v>
      </c>
      <c r="AN343" s="57">
        <v>0</v>
      </c>
      <c r="AO343" s="57">
        <v>0</v>
      </c>
      <c r="AP343" s="57">
        <v>0</v>
      </c>
      <c r="AQ343" s="57">
        <v>0</v>
      </c>
      <c r="AR343" s="57">
        <v>0</v>
      </c>
      <c r="AS343" s="57">
        <v>0</v>
      </c>
      <c r="AT343" s="57">
        <v>0</v>
      </c>
      <c r="AU343" s="57">
        <v>0</v>
      </c>
      <c r="AV343" s="57">
        <v>0</v>
      </c>
      <c r="AW343" s="57">
        <v>0</v>
      </c>
      <c r="AX343" s="57">
        <v>0</v>
      </c>
      <c r="AY343" s="57">
        <v>0</v>
      </c>
      <c r="AZ343" s="57">
        <v>0</v>
      </c>
      <c r="BA343" s="57">
        <v>0</v>
      </c>
      <c r="BB343" s="57">
        <v>0</v>
      </c>
      <c r="BC343" s="57">
        <v>0</v>
      </c>
      <c r="BD343" s="57">
        <v>0</v>
      </c>
      <c r="BE343" s="57">
        <v>0</v>
      </c>
      <c r="BF343" s="57">
        <v>0</v>
      </c>
      <c r="BG343" s="57">
        <v>0</v>
      </c>
      <c r="BH343" s="57">
        <v>0</v>
      </c>
      <c r="BI343" s="57">
        <v>0</v>
      </c>
      <c r="BJ343" s="57">
        <v>0</v>
      </c>
      <c r="BK343" s="57">
        <v>0</v>
      </c>
      <c r="BL343" s="57">
        <v>0</v>
      </c>
      <c r="BM343" s="57">
        <v>0</v>
      </c>
      <c r="BN343" s="57">
        <v>0</v>
      </c>
      <c r="BO343" s="57">
        <v>0</v>
      </c>
      <c r="BP343" s="57">
        <v>0</v>
      </c>
      <c r="BQ343" s="57">
        <v>0</v>
      </c>
      <c r="BR343" s="57">
        <v>0</v>
      </c>
      <c r="BS343" s="57">
        <v>0</v>
      </c>
      <c r="BT343" s="57">
        <v>0</v>
      </c>
      <c r="BU343" s="57">
        <v>0</v>
      </c>
      <c r="BV343" s="57">
        <v>0</v>
      </c>
      <c r="BW343" s="57">
        <v>0</v>
      </c>
      <c r="BX343" s="57">
        <v>0</v>
      </c>
      <c r="BY343" s="57">
        <v>0</v>
      </c>
      <c r="BZ343" s="57">
        <v>0</v>
      </c>
      <c r="CA343" s="57">
        <v>0</v>
      </c>
    </row>
    <row r="344" spans="1:79" x14ac:dyDescent="0.3">
      <c r="A344" s="26"/>
      <c r="B344" s="20" t="str">
        <f t="shared" si="110"/>
        <v>12890001</v>
      </c>
      <c r="C344" s="55">
        <v>2</v>
      </c>
      <c r="D344" s="55">
        <v>8</v>
      </c>
      <c r="E344" s="49">
        <v>1</v>
      </c>
      <c r="F344" s="57">
        <v>1</v>
      </c>
      <c r="G344" s="57">
        <v>108</v>
      </c>
      <c r="H344" s="57" t="str">
        <f t="shared" si="111"/>
        <v>Item_Name_12890001</v>
      </c>
      <c r="I344" s="57" t="s">
        <v>832</v>
      </c>
      <c r="J344" s="57">
        <v>10102001</v>
      </c>
      <c r="K344" s="57">
        <v>99</v>
      </c>
      <c r="L344" s="57">
        <v>0</v>
      </c>
      <c r="M344" s="57">
        <v>0</v>
      </c>
      <c r="N344" s="57">
        <v>15</v>
      </c>
      <c r="O344" s="57">
        <v>100</v>
      </c>
      <c r="P344" s="57">
        <v>1</v>
      </c>
      <c r="Q344" s="57" t="s">
        <v>868</v>
      </c>
      <c r="R344" s="57" t="s">
        <v>448</v>
      </c>
      <c r="S344" s="57" t="s">
        <v>328</v>
      </c>
      <c r="T344" s="57" t="s">
        <v>429</v>
      </c>
      <c r="U344" s="57">
        <v>0</v>
      </c>
      <c r="V344" s="57">
        <v>0</v>
      </c>
      <c r="W344" s="57">
        <v>73</v>
      </c>
      <c r="X344" s="57">
        <v>1</v>
      </c>
      <c r="Y344" s="57">
        <v>1201</v>
      </c>
      <c r="Z344" s="57">
        <v>1201</v>
      </c>
      <c r="AA344" s="57">
        <v>1205</v>
      </c>
      <c r="AB344" s="57">
        <v>1205</v>
      </c>
      <c r="AC344" s="57">
        <v>0</v>
      </c>
      <c r="AD344" s="57">
        <v>0</v>
      </c>
      <c r="AE344" s="58">
        <v>10201</v>
      </c>
      <c r="AF344" s="30">
        <v>0</v>
      </c>
      <c r="AG344" s="57">
        <v>0</v>
      </c>
      <c r="AH344" s="57">
        <v>0</v>
      </c>
      <c r="AI344" s="57">
        <v>0</v>
      </c>
      <c r="AJ344" s="57">
        <v>0</v>
      </c>
      <c r="AK344" s="57">
        <v>0</v>
      </c>
      <c r="AL344" s="57">
        <v>0</v>
      </c>
      <c r="AM344" s="57">
        <v>0</v>
      </c>
      <c r="AN344" s="57">
        <v>0</v>
      </c>
      <c r="AO344" s="57">
        <v>0</v>
      </c>
      <c r="AP344" s="57">
        <v>0</v>
      </c>
      <c r="AQ344" s="57">
        <v>0</v>
      </c>
      <c r="AR344" s="57">
        <v>0</v>
      </c>
      <c r="AS344" s="57">
        <v>0</v>
      </c>
      <c r="AT344" s="57">
        <v>0</v>
      </c>
      <c r="AU344" s="57">
        <v>0</v>
      </c>
      <c r="AV344" s="57">
        <v>0</v>
      </c>
      <c r="AW344" s="57">
        <v>0</v>
      </c>
      <c r="AX344" s="57">
        <v>0</v>
      </c>
      <c r="AY344" s="57">
        <v>0</v>
      </c>
      <c r="AZ344" s="57">
        <v>0</v>
      </c>
      <c r="BA344" s="57">
        <v>0</v>
      </c>
      <c r="BB344" s="57">
        <v>0</v>
      </c>
      <c r="BC344" s="57">
        <v>0</v>
      </c>
      <c r="BD344" s="57">
        <v>0</v>
      </c>
      <c r="BE344" s="57">
        <v>0</v>
      </c>
      <c r="BF344" s="57">
        <v>0</v>
      </c>
      <c r="BG344" s="57">
        <v>0</v>
      </c>
      <c r="BH344" s="57">
        <v>0</v>
      </c>
      <c r="BI344" s="57">
        <v>0</v>
      </c>
      <c r="BJ344" s="57">
        <v>0</v>
      </c>
      <c r="BK344" s="57">
        <v>0</v>
      </c>
      <c r="BL344" s="57">
        <v>0</v>
      </c>
      <c r="BM344" s="57">
        <v>0</v>
      </c>
      <c r="BN344" s="57">
        <v>0</v>
      </c>
      <c r="BO344" s="57">
        <v>0</v>
      </c>
      <c r="BP344" s="57">
        <v>0</v>
      </c>
      <c r="BQ344" s="57">
        <v>0</v>
      </c>
      <c r="BR344" s="57">
        <v>0</v>
      </c>
      <c r="BS344" s="57">
        <v>0</v>
      </c>
      <c r="BT344" s="57">
        <v>0</v>
      </c>
      <c r="BU344" s="57">
        <v>0</v>
      </c>
      <c r="BV344" s="57">
        <v>0</v>
      </c>
      <c r="BW344" s="57">
        <v>0</v>
      </c>
      <c r="BX344" s="57">
        <v>0</v>
      </c>
      <c r="BY344" s="57">
        <v>0</v>
      </c>
      <c r="BZ344" s="57">
        <v>0</v>
      </c>
      <c r="CA344" s="57">
        <v>0</v>
      </c>
    </row>
    <row r="345" spans="1:79" x14ac:dyDescent="0.3">
      <c r="A345" s="26"/>
      <c r="B345" s="20" t="str">
        <f t="shared" si="110"/>
        <v>12890002</v>
      </c>
      <c r="C345" s="55">
        <v>2</v>
      </c>
      <c r="D345" s="55">
        <v>8</v>
      </c>
      <c r="E345" s="49">
        <v>2</v>
      </c>
      <c r="F345" s="57">
        <v>1</v>
      </c>
      <c r="G345" s="57">
        <v>108</v>
      </c>
      <c r="H345" s="57" t="str">
        <f t="shared" si="111"/>
        <v>Item_Name_12890002</v>
      </c>
      <c r="I345" s="57" t="s">
        <v>835</v>
      </c>
      <c r="J345" s="57">
        <v>10102001</v>
      </c>
      <c r="K345" s="57">
        <v>99</v>
      </c>
      <c r="L345" s="57">
        <v>0</v>
      </c>
      <c r="M345" s="57">
        <v>0</v>
      </c>
      <c r="N345" s="57">
        <v>15</v>
      </c>
      <c r="O345" s="57">
        <v>100</v>
      </c>
      <c r="P345" s="57">
        <v>1</v>
      </c>
      <c r="Q345" s="57" t="s">
        <v>869</v>
      </c>
      <c r="R345" s="57" t="s">
        <v>448</v>
      </c>
      <c r="S345" s="57" t="s">
        <v>328</v>
      </c>
      <c r="T345" s="57" t="s">
        <v>429</v>
      </c>
      <c r="U345" s="57">
        <v>0</v>
      </c>
      <c r="V345" s="57">
        <v>0</v>
      </c>
      <c r="W345" s="57">
        <v>73</v>
      </c>
      <c r="X345" s="57">
        <v>2</v>
      </c>
      <c r="Y345" s="57">
        <v>1201</v>
      </c>
      <c r="Z345" s="57">
        <v>1201</v>
      </c>
      <c r="AA345" s="57">
        <v>1205</v>
      </c>
      <c r="AB345" s="57">
        <v>1205</v>
      </c>
      <c r="AC345" s="57">
        <v>0</v>
      </c>
      <c r="AD345" s="57">
        <v>0</v>
      </c>
      <c r="AE345" s="58">
        <v>10202</v>
      </c>
      <c r="AF345" s="30">
        <v>0</v>
      </c>
      <c r="AG345" s="57">
        <v>0</v>
      </c>
      <c r="AH345" s="57">
        <v>0</v>
      </c>
      <c r="AI345" s="57">
        <v>0</v>
      </c>
      <c r="AJ345" s="57">
        <v>0</v>
      </c>
      <c r="AK345" s="57">
        <v>0</v>
      </c>
      <c r="AL345" s="57">
        <v>0</v>
      </c>
      <c r="AM345" s="57">
        <v>0</v>
      </c>
      <c r="AN345" s="57">
        <v>0</v>
      </c>
      <c r="AO345" s="57">
        <v>0</v>
      </c>
      <c r="AP345" s="57">
        <v>0</v>
      </c>
      <c r="AQ345" s="57">
        <v>0</v>
      </c>
      <c r="AR345" s="57">
        <v>0</v>
      </c>
      <c r="AS345" s="57">
        <v>0</v>
      </c>
      <c r="AT345" s="57">
        <v>0</v>
      </c>
      <c r="AU345" s="57">
        <v>0</v>
      </c>
      <c r="AV345" s="57">
        <v>0</v>
      </c>
      <c r="AW345" s="57">
        <v>0</v>
      </c>
      <c r="AX345" s="57">
        <v>0</v>
      </c>
      <c r="AY345" s="57">
        <v>0</v>
      </c>
      <c r="AZ345" s="57">
        <v>0</v>
      </c>
      <c r="BA345" s="57">
        <v>0</v>
      </c>
      <c r="BB345" s="57">
        <v>0</v>
      </c>
      <c r="BC345" s="57">
        <v>0</v>
      </c>
      <c r="BD345" s="57">
        <v>0</v>
      </c>
      <c r="BE345" s="57">
        <v>0</v>
      </c>
      <c r="BF345" s="57">
        <v>0</v>
      </c>
      <c r="BG345" s="57">
        <v>0</v>
      </c>
      <c r="BH345" s="57">
        <v>0</v>
      </c>
      <c r="BI345" s="57">
        <v>0</v>
      </c>
      <c r="BJ345" s="57">
        <v>0</v>
      </c>
      <c r="BK345" s="57">
        <v>0</v>
      </c>
      <c r="BL345" s="57">
        <v>0</v>
      </c>
      <c r="BM345" s="57">
        <v>0</v>
      </c>
      <c r="BN345" s="57">
        <v>0</v>
      </c>
      <c r="BO345" s="57">
        <v>0</v>
      </c>
      <c r="BP345" s="57">
        <v>0</v>
      </c>
      <c r="BQ345" s="57">
        <v>0</v>
      </c>
      <c r="BR345" s="57">
        <v>0</v>
      </c>
      <c r="BS345" s="57">
        <v>0</v>
      </c>
      <c r="BT345" s="57">
        <v>0</v>
      </c>
      <c r="BU345" s="57">
        <v>0</v>
      </c>
      <c r="BV345" s="57">
        <v>0</v>
      </c>
      <c r="BW345" s="57">
        <v>0</v>
      </c>
      <c r="BX345" s="57">
        <v>0</v>
      </c>
      <c r="BY345" s="57">
        <v>0</v>
      </c>
      <c r="BZ345" s="57">
        <v>0</v>
      </c>
      <c r="CA345" s="57">
        <v>0</v>
      </c>
    </row>
    <row r="346" spans="1:79" x14ac:dyDescent="0.3">
      <c r="A346" s="26"/>
      <c r="B346" s="20" t="str">
        <f t="shared" si="110"/>
        <v>12890003</v>
      </c>
      <c r="C346" s="55">
        <v>2</v>
      </c>
      <c r="D346" s="55">
        <v>8</v>
      </c>
      <c r="E346" s="49">
        <v>3</v>
      </c>
      <c r="F346" s="57">
        <v>1</v>
      </c>
      <c r="G346" s="57">
        <v>108</v>
      </c>
      <c r="H346" s="57" t="str">
        <f t="shared" si="111"/>
        <v>Item_Name_12890003</v>
      </c>
      <c r="I346" s="57" t="s">
        <v>836</v>
      </c>
      <c r="J346" s="57">
        <v>10102001</v>
      </c>
      <c r="K346" s="57">
        <v>99</v>
      </c>
      <c r="L346" s="57">
        <v>0</v>
      </c>
      <c r="M346" s="57">
        <v>0</v>
      </c>
      <c r="N346" s="57">
        <v>15</v>
      </c>
      <c r="O346" s="57">
        <v>100</v>
      </c>
      <c r="P346" s="57">
        <v>1</v>
      </c>
      <c r="Q346" s="57" t="s">
        <v>870</v>
      </c>
      <c r="R346" s="57" t="s">
        <v>448</v>
      </c>
      <c r="S346" s="57" t="s">
        <v>328</v>
      </c>
      <c r="T346" s="57" t="s">
        <v>429</v>
      </c>
      <c r="U346" s="57">
        <v>0</v>
      </c>
      <c r="V346" s="57">
        <v>0</v>
      </c>
      <c r="W346" s="57">
        <v>73</v>
      </c>
      <c r="X346" s="57">
        <v>3</v>
      </c>
      <c r="Y346" s="57">
        <v>1201</v>
      </c>
      <c r="Z346" s="57">
        <v>1201</v>
      </c>
      <c r="AA346" s="57">
        <v>1205</v>
      </c>
      <c r="AB346" s="57">
        <v>1205</v>
      </c>
      <c r="AC346" s="57">
        <v>0</v>
      </c>
      <c r="AD346" s="57">
        <v>0</v>
      </c>
      <c r="AE346" s="58">
        <v>10203</v>
      </c>
      <c r="AF346" s="30">
        <v>0</v>
      </c>
      <c r="AG346" s="57">
        <v>0</v>
      </c>
      <c r="AH346" s="57">
        <v>0</v>
      </c>
      <c r="AI346" s="57">
        <v>0</v>
      </c>
      <c r="AJ346" s="57">
        <v>0</v>
      </c>
      <c r="AK346" s="57">
        <v>0</v>
      </c>
      <c r="AL346" s="57">
        <v>0</v>
      </c>
      <c r="AM346" s="57">
        <v>0</v>
      </c>
      <c r="AN346" s="57">
        <v>0</v>
      </c>
      <c r="AO346" s="57">
        <v>0</v>
      </c>
      <c r="AP346" s="57">
        <v>0</v>
      </c>
      <c r="AQ346" s="57">
        <v>0</v>
      </c>
      <c r="AR346" s="57">
        <v>0</v>
      </c>
      <c r="AS346" s="57">
        <v>0</v>
      </c>
      <c r="AT346" s="57">
        <v>0</v>
      </c>
      <c r="AU346" s="57">
        <v>0</v>
      </c>
      <c r="AV346" s="57">
        <v>0</v>
      </c>
      <c r="AW346" s="57">
        <v>0</v>
      </c>
      <c r="AX346" s="57">
        <v>0</v>
      </c>
      <c r="AY346" s="57">
        <v>0</v>
      </c>
      <c r="AZ346" s="57">
        <v>0</v>
      </c>
      <c r="BA346" s="57">
        <v>0</v>
      </c>
      <c r="BB346" s="57">
        <v>0</v>
      </c>
      <c r="BC346" s="57">
        <v>0</v>
      </c>
      <c r="BD346" s="57">
        <v>0</v>
      </c>
      <c r="BE346" s="57">
        <v>0</v>
      </c>
      <c r="BF346" s="57">
        <v>0</v>
      </c>
      <c r="BG346" s="57">
        <v>0</v>
      </c>
      <c r="BH346" s="57">
        <v>0</v>
      </c>
      <c r="BI346" s="57">
        <v>0</v>
      </c>
      <c r="BJ346" s="57">
        <v>0</v>
      </c>
      <c r="BK346" s="57">
        <v>0</v>
      </c>
      <c r="BL346" s="57">
        <v>0</v>
      </c>
      <c r="BM346" s="57">
        <v>0</v>
      </c>
      <c r="BN346" s="57">
        <v>0</v>
      </c>
      <c r="BO346" s="57">
        <v>0</v>
      </c>
      <c r="BP346" s="57">
        <v>0</v>
      </c>
      <c r="BQ346" s="57">
        <v>0</v>
      </c>
      <c r="BR346" s="57">
        <v>0</v>
      </c>
      <c r="BS346" s="57">
        <v>0</v>
      </c>
      <c r="BT346" s="57">
        <v>0</v>
      </c>
      <c r="BU346" s="57">
        <v>0</v>
      </c>
      <c r="BV346" s="57">
        <v>0</v>
      </c>
      <c r="BW346" s="57">
        <v>0</v>
      </c>
      <c r="BX346" s="57">
        <v>0</v>
      </c>
      <c r="BY346" s="57">
        <v>0</v>
      </c>
      <c r="BZ346" s="57">
        <v>0</v>
      </c>
      <c r="CA346" s="57">
        <v>0</v>
      </c>
    </row>
    <row r="347" spans="1:79" x14ac:dyDescent="0.3">
      <c r="A347" s="26"/>
      <c r="B347" s="20" t="str">
        <f t="shared" si="110"/>
        <v>13890001</v>
      </c>
      <c r="C347" s="55">
        <v>3</v>
      </c>
      <c r="D347" s="55">
        <v>8</v>
      </c>
      <c r="E347" s="49">
        <v>1</v>
      </c>
      <c r="F347" s="57">
        <v>1</v>
      </c>
      <c r="G347" s="57">
        <v>108</v>
      </c>
      <c r="H347" s="57" t="str">
        <f t="shared" si="111"/>
        <v>Item_Name_13890001</v>
      </c>
      <c r="I347" s="57" t="s">
        <v>833</v>
      </c>
      <c r="J347" s="57">
        <v>10103001</v>
      </c>
      <c r="K347" s="57">
        <v>99</v>
      </c>
      <c r="L347" s="57">
        <v>0</v>
      </c>
      <c r="M347" s="57">
        <v>0</v>
      </c>
      <c r="N347" s="57">
        <v>15</v>
      </c>
      <c r="O347" s="57">
        <v>100</v>
      </c>
      <c r="P347" s="57">
        <v>1</v>
      </c>
      <c r="Q347" s="57" t="s">
        <v>871</v>
      </c>
      <c r="R347" s="57" t="s">
        <v>448</v>
      </c>
      <c r="S347" s="57" t="s">
        <v>328</v>
      </c>
      <c r="T347" s="57" t="s">
        <v>429</v>
      </c>
      <c r="U347" s="57">
        <v>0</v>
      </c>
      <c r="V347" s="57">
        <v>0</v>
      </c>
      <c r="W347" s="57">
        <v>73</v>
      </c>
      <c r="X347" s="57">
        <v>1</v>
      </c>
      <c r="Y347" s="57">
        <v>1202</v>
      </c>
      <c r="Z347" s="57">
        <v>1202</v>
      </c>
      <c r="AA347" s="57">
        <v>1206</v>
      </c>
      <c r="AB347" s="57">
        <v>1206</v>
      </c>
      <c r="AC347" s="57">
        <v>0</v>
      </c>
      <c r="AD347" s="57">
        <v>0</v>
      </c>
      <c r="AE347" s="58">
        <v>10301</v>
      </c>
      <c r="AF347" s="30">
        <v>0</v>
      </c>
      <c r="AG347" s="57">
        <v>0</v>
      </c>
      <c r="AH347" s="57">
        <v>0</v>
      </c>
      <c r="AI347" s="57">
        <v>0</v>
      </c>
      <c r="AJ347" s="57">
        <v>0</v>
      </c>
      <c r="AK347" s="57">
        <v>0</v>
      </c>
      <c r="AL347" s="57">
        <v>0</v>
      </c>
      <c r="AM347" s="57">
        <v>0</v>
      </c>
      <c r="AN347" s="57">
        <v>0</v>
      </c>
      <c r="AO347" s="57">
        <v>0</v>
      </c>
      <c r="AP347" s="57">
        <v>0</v>
      </c>
      <c r="AQ347" s="57">
        <v>0</v>
      </c>
      <c r="AR347" s="57">
        <v>0</v>
      </c>
      <c r="AS347" s="57">
        <v>0</v>
      </c>
      <c r="AT347" s="57">
        <v>0</v>
      </c>
      <c r="AU347" s="57">
        <v>0</v>
      </c>
      <c r="AV347" s="57">
        <v>0</v>
      </c>
      <c r="AW347" s="57">
        <v>0</v>
      </c>
      <c r="AX347" s="57">
        <v>0</v>
      </c>
      <c r="AY347" s="57">
        <v>0</v>
      </c>
      <c r="AZ347" s="57">
        <v>0</v>
      </c>
      <c r="BA347" s="57">
        <v>0</v>
      </c>
      <c r="BB347" s="57">
        <v>0</v>
      </c>
      <c r="BC347" s="57">
        <v>0</v>
      </c>
      <c r="BD347" s="57">
        <v>0</v>
      </c>
      <c r="BE347" s="57">
        <v>0</v>
      </c>
      <c r="BF347" s="57">
        <v>0</v>
      </c>
      <c r="BG347" s="57">
        <v>0</v>
      </c>
      <c r="BH347" s="57">
        <v>0</v>
      </c>
      <c r="BI347" s="57">
        <v>0</v>
      </c>
      <c r="BJ347" s="57">
        <v>0</v>
      </c>
      <c r="BK347" s="57">
        <v>0</v>
      </c>
      <c r="BL347" s="57">
        <v>0</v>
      </c>
      <c r="BM347" s="57">
        <v>0</v>
      </c>
      <c r="BN347" s="57">
        <v>0</v>
      </c>
      <c r="BO347" s="57">
        <v>0</v>
      </c>
      <c r="BP347" s="57">
        <v>0</v>
      </c>
      <c r="BQ347" s="57">
        <v>0</v>
      </c>
      <c r="BR347" s="57">
        <v>0</v>
      </c>
      <c r="BS347" s="57">
        <v>0</v>
      </c>
      <c r="BT347" s="57">
        <v>0</v>
      </c>
      <c r="BU347" s="57">
        <v>0</v>
      </c>
      <c r="BV347" s="57">
        <v>0</v>
      </c>
      <c r="BW347" s="57">
        <v>0</v>
      </c>
      <c r="BX347" s="57">
        <v>0</v>
      </c>
      <c r="BY347" s="57">
        <v>0</v>
      </c>
      <c r="BZ347" s="57">
        <v>0</v>
      </c>
      <c r="CA347" s="57">
        <v>0</v>
      </c>
    </row>
    <row r="348" spans="1:79" x14ac:dyDescent="0.3">
      <c r="A348" s="26"/>
      <c r="B348" s="20" t="str">
        <f t="shared" si="110"/>
        <v>13890002</v>
      </c>
      <c r="C348" s="55">
        <v>3</v>
      </c>
      <c r="D348" s="55">
        <v>8</v>
      </c>
      <c r="E348" s="49">
        <v>2</v>
      </c>
      <c r="F348" s="57">
        <v>1</v>
      </c>
      <c r="G348" s="57">
        <v>108</v>
      </c>
      <c r="H348" s="57" t="str">
        <f t="shared" si="111"/>
        <v>Item_Name_13890002</v>
      </c>
      <c r="I348" s="57" t="s">
        <v>837</v>
      </c>
      <c r="J348" s="57">
        <v>10103001</v>
      </c>
      <c r="K348" s="57">
        <v>99</v>
      </c>
      <c r="L348" s="57">
        <v>0</v>
      </c>
      <c r="M348" s="57">
        <v>0</v>
      </c>
      <c r="N348" s="57">
        <v>15</v>
      </c>
      <c r="O348" s="57">
        <v>100</v>
      </c>
      <c r="P348" s="57">
        <v>1</v>
      </c>
      <c r="Q348" s="57" t="s">
        <v>872</v>
      </c>
      <c r="R348" s="57" t="s">
        <v>448</v>
      </c>
      <c r="S348" s="57" t="s">
        <v>328</v>
      </c>
      <c r="T348" s="57" t="s">
        <v>429</v>
      </c>
      <c r="U348" s="57">
        <v>0</v>
      </c>
      <c r="V348" s="57">
        <v>0</v>
      </c>
      <c r="W348" s="57">
        <v>73</v>
      </c>
      <c r="X348" s="57">
        <v>2</v>
      </c>
      <c r="Y348" s="57">
        <v>1202</v>
      </c>
      <c r="Z348" s="57">
        <v>1202</v>
      </c>
      <c r="AA348" s="57">
        <v>1206</v>
      </c>
      <c r="AB348" s="57">
        <v>1206</v>
      </c>
      <c r="AC348" s="57">
        <v>0</v>
      </c>
      <c r="AD348" s="57">
        <v>0</v>
      </c>
      <c r="AE348" s="58">
        <v>10302</v>
      </c>
      <c r="AF348" s="30">
        <v>0</v>
      </c>
      <c r="AG348" s="57">
        <v>0</v>
      </c>
      <c r="AH348" s="57">
        <v>0</v>
      </c>
      <c r="AI348" s="57">
        <v>0</v>
      </c>
      <c r="AJ348" s="57">
        <v>0</v>
      </c>
      <c r="AK348" s="57">
        <v>0</v>
      </c>
      <c r="AL348" s="57">
        <v>0</v>
      </c>
      <c r="AM348" s="57">
        <v>0</v>
      </c>
      <c r="AN348" s="57">
        <v>0</v>
      </c>
      <c r="AO348" s="57">
        <v>0</v>
      </c>
      <c r="AP348" s="57">
        <v>0</v>
      </c>
      <c r="AQ348" s="57">
        <v>0</v>
      </c>
      <c r="AR348" s="57">
        <v>0</v>
      </c>
      <c r="AS348" s="57">
        <v>0</v>
      </c>
      <c r="AT348" s="57">
        <v>0</v>
      </c>
      <c r="AU348" s="57">
        <v>0</v>
      </c>
      <c r="AV348" s="57">
        <v>0</v>
      </c>
      <c r="AW348" s="57">
        <v>0</v>
      </c>
      <c r="AX348" s="57">
        <v>0</v>
      </c>
      <c r="AY348" s="57">
        <v>0</v>
      </c>
      <c r="AZ348" s="57">
        <v>0</v>
      </c>
      <c r="BA348" s="57">
        <v>0</v>
      </c>
      <c r="BB348" s="57">
        <v>0</v>
      </c>
      <c r="BC348" s="57">
        <v>0</v>
      </c>
      <c r="BD348" s="57">
        <v>0</v>
      </c>
      <c r="BE348" s="57">
        <v>0</v>
      </c>
      <c r="BF348" s="57">
        <v>0</v>
      </c>
      <c r="BG348" s="57">
        <v>0</v>
      </c>
      <c r="BH348" s="57">
        <v>0</v>
      </c>
      <c r="BI348" s="57">
        <v>0</v>
      </c>
      <c r="BJ348" s="57">
        <v>0</v>
      </c>
      <c r="BK348" s="57">
        <v>0</v>
      </c>
      <c r="BL348" s="57">
        <v>0</v>
      </c>
      <c r="BM348" s="57">
        <v>0</v>
      </c>
      <c r="BN348" s="57">
        <v>0</v>
      </c>
      <c r="BO348" s="57">
        <v>0</v>
      </c>
      <c r="BP348" s="57">
        <v>0</v>
      </c>
      <c r="BQ348" s="57">
        <v>0</v>
      </c>
      <c r="BR348" s="57">
        <v>0</v>
      </c>
      <c r="BS348" s="57">
        <v>0</v>
      </c>
      <c r="BT348" s="57">
        <v>0</v>
      </c>
      <c r="BU348" s="57">
        <v>0</v>
      </c>
      <c r="BV348" s="57">
        <v>0</v>
      </c>
      <c r="BW348" s="57">
        <v>0</v>
      </c>
      <c r="BX348" s="57">
        <v>0</v>
      </c>
      <c r="BY348" s="57">
        <v>0</v>
      </c>
      <c r="BZ348" s="57">
        <v>0</v>
      </c>
      <c r="CA348" s="57">
        <v>0</v>
      </c>
    </row>
    <row r="349" spans="1:79" x14ac:dyDescent="0.3">
      <c r="A349" s="26"/>
      <c r="B349" s="20" t="str">
        <f t="shared" si="110"/>
        <v>13890003</v>
      </c>
      <c r="C349" s="55">
        <v>3</v>
      </c>
      <c r="D349" s="55">
        <v>8</v>
      </c>
      <c r="E349" s="49">
        <v>3</v>
      </c>
      <c r="F349" s="57">
        <v>1</v>
      </c>
      <c r="G349" s="57">
        <v>108</v>
      </c>
      <c r="H349" s="57" t="str">
        <f t="shared" si="111"/>
        <v>Item_Name_13890003</v>
      </c>
      <c r="I349" s="57" t="s">
        <v>838</v>
      </c>
      <c r="J349" s="57">
        <v>10103001</v>
      </c>
      <c r="K349" s="57">
        <v>99</v>
      </c>
      <c r="L349" s="57">
        <v>0</v>
      </c>
      <c r="M349" s="57">
        <v>0</v>
      </c>
      <c r="N349" s="57">
        <v>15</v>
      </c>
      <c r="O349" s="57">
        <v>100</v>
      </c>
      <c r="P349" s="57">
        <v>1</v>
      </c>
      <c r="Q349" s="57" t="s">
        <v>873</v>
      </c>
      <c r="R349" s="57" t="s">
        <v>448</v>
      </c>
      <c r="S349" s="57" t="s">
        <v>328</v>
      </c>
      <c r="T349" s="57" t="s">
        <v>429</v>
      </c>
      <c r="U349" s="57">
        <v>0</v>
      </c>
      <c r="V349" s="57">
        <v>0</v>
      </c>
      <c r="W349" s="57">
        <v>73</v>
      </c>
      <c r="X349" s="57">
        <v>3</v>
      </c>
      <c r="Y349" s="57">
        <v>1202</v>
      </c>
      <c r="Z349" s="57">
        <v>1202</v>
      </c>
      <c r="AA349" s="57">
        <v>1206</v>
      </c>
      <c r="AB349" s="57">
        <v>1206</v>
      </c>
      <c r="AC349" s="57">
        <v>0</v>
      </c>
      <c r="AD349" s="57">
        <v>0</v>
      </c>
      <c r="AE349" s="58">
        <v>10303</v>
      </c>
      <c r="AF349" s="30">
        <v>0</v>
      </c>
      <c r="AG349" s="57">
        <v>0</v>
      </c>
      <c r="AH349" s="57">
        <v>0</v>
      </c>
      <c r="AI349" s="57">
        <v>0</v>
      </c>
      <c r="AJ349" s="57">
        <v>0</v>
      </c>
      <c r="AK349" s="57">
        <v>0</v>
      </c>
      <c r="AL349" s="57">
        <v>0</v>
      </c>
      <c r="AM349" s="57">
        <v>0</v>
      </c>
      <c r="AN349" s="57">
        <v>0</v>
      </c>
      <c r="AO349" s="57">
        <v>0</v>
      </c>
      <c r="AP349" s="57">
        <v>0</v>
      </c>
      <c r="AQ349" s="57">
        <v>0</v>
      </c>
      <c r="AR349" s="57">
        <v>0</v>
      </c>
      <c r="AS349" s="57">
        <v>0</v>
      </c>
      <c r="AT349" s="57">
        <v>0</v>
      </c>
      <c r="AU349" s="57">
        <v>0</v>
      </c>
      <c r="AV349" s="57">
        <v>0</v>
      </c>
      <c r="AW349" s="57">
        <v>0</v>
      </c>
      <c r="AX349" s="57">
        <v>0</v>
      </c>
      <c r="AY349" s="57">
        <v>0</v>
      </c>
      <c r="AZ349" s="57">
        <v>0</v>
      </c>
      <c r="BA349" s="57">
        <v>0</v>
      </c>
      <c r="BB349" s="57">
        <v>0</v>
      </c>
      <c r="BC349" s="57">
        <v>0</v>
      </c>
      <c r="BD349" s="57">
        <v>0</v>
      </c>
      <c r="BE349" s="57">
        <v>0</v>
      </c>
      <c r="BF349" s="57">
        <v>0</v>
      </c>
      <c r="BG349" s="57">
        <v>0</v>
      </c>
      <c r="BH349" s="57">
        <v>0</v>
      </c>
      <c r="BI349" s="57">
        <v>0</v>
      </c>
      <c r="BJ349" s="57">
        <v>0</v>
      </c>
      <c r="BK349" s="57">
        <v>0</v>
      </c>
      <c r="BL349" s="57">
        <v>0</v>
      </c>
      <c r="BM349" s="57">
        <v>0</v>
      </c>
      <c r="BN349" s="57">
        <v>0</v>
      </c>
      <c r="BO349" s="57">
        <v>0</v>
      </c>
      <c r="BP349" s="57">
        <v>0</v>
      </c>
      <c r="BQ349" s="57">
        <v>0</v>
      </c>
      <c r="BR349" s="57">
        <v>0</v>
      </c>
      <c r="BS349" s="57">
        <v>0</v>
      </c>
      <c r="BT349" s="57">
        <v>0</v>
      </c>
      <c r="BU349" s="57">
        <v>0</v>
      </c>
      <c r="BV349" s="57">
        <v>0</v>
      </c>
      <c r="BW349" s="57">
        <v>0</v>
      </c>
      <c r="BX349" s="57">
        <v>0</v>
      </c>
      <c r="BY349" s="57">
        <v>0</v>
      </c>
      <c r="BZ349" s="57">
        <v>0</v>
      </c>
      <c r="CA349" s="57">
        <v>0</v>
      </c>
    </row>
    <row r="350" spans="1:79" x14ac:dyDescent="0.3">
      <c r="A350" s="26"/>
      <c r="B350" s="20" t="str">
        <f t="shared" si="110"/>
        <v>14890001</v>
      </c>
      <c r="C350" s="55">
        <v>4</v>
      </c>
      <c r="D350" s="55">
        <v>8</v>
      </c>
      <c r="E350" s="49">
        <v>1</v>
      </c>
      <c r="F350" s="57">
        <v>1</v>
      </c>
      <c r="G350" s="57">
        <v>108</v>
      </c>
      <c r="H350" s="57" t="str">
        <f t="shared" si="111"/>
        <v>Item_Name_14890001</v>
      </c>
      <c r="I350" s="57" t="s">
        <v>834</v>
      </c>
      <c r="J350" s="57">
        <v>10104001</v>
      </c>
      <c r="K350" s="57">
        <v>99</v>
      </c>
      <c r="L350" s="57">
        <v>0</v>
      </c>
      <c r="M350" s="57">
        <v>0</v>
      </c>
      <c r="N350" s="57">
        <v>15</v>
      </c>
      <c r="O350" s="57">
        <v>100</v>
      </c>
      <c r="P350" s="57">
        <v>1</v>
      </c>
      <c r="Q350" s="57" t="s">
        <v>874</v>
      </c>
      <c r="R350" s="57" t="s">
        <v>448</v>
      </c>
      <c r="S350" s="57" t="s">
        <v>328</v>
      </c>
      <c r="T350" s="57" t="s">
        <v>429</v>
      </c>
      <c r="U350" s="57">
        <v>0</v>
      </c>
      <c r="V350" s="57">
        <v>0</v>
      </c>
      <c r="W350" s="57">
        <v>73</v>
      </c>
      <c r="X350" s="57">
        <v>1</v>
      </c>
      <c r="Y350" s="57">
        <v>1202</v>
      </c>
      <c r="Z350" s="57">
        <v>1202</v>
      </c>
      <c r="AA350" s="57">
        <v>1206</v>
      </c>
      <c r="AB350" s="57">
        <v>1206</v>
      </c>
      <c r="AC350" s="57">
        <v>0</v>
      </c>
      <c r="AD350" s="57">
        <v>0</v>
      </c>
      <c r="AE350" s="58">
        <v>10401</v>
      </c>
      <c r="AF350" s="30">
        <v>0</v>
      </c>
      <c r="AG350" s="57">
        <v>0</v>
      </c>
      <c r="AH350" s="57">
        <v>0</v>
      </c>
      <c r="AI350" s="57">
        <v>0</v>
      </c>
      <c r="AJ350" s="57">
        <v>0</v>
      </c>
      <c r="AK350" s="57">
        <v>0</v>
      </c>
      <c r="AL350" s="57">
        <v>0</v>
      </c>
      <c r="AM350" s="57">
        <v>0</v>
      </c>
      <c r="AN350" s="57">
        <v>0</v>
      </c>
      <c r="AO350" s="57">
        <v>0</v>
      </c>
      <c r="AP350" s="57">
        <v>0</v>
      </c>
      <c r="AQ350" s="57">
        <v>0</v>
      </c>
      <c r="AR350" s="57">
        <v>0</v>
      </c>
      <c r="AS350" s="57">
        <v>0</v>
      </c>
      <c r="AT350" s="57">
        <v>0</v>
      </c>
      <c r="AU350" s="57">
        <v>0</v>
      </c>
      <c r="AV350" s="57">
        <v>0</v>
      </c>
      <c r="AW350" s="57">
        <v>0</v>
      </c>
      <c r="AX350" s="57">
        <v>0</v>
      </c>
      <c r="AY350" s="57">
        <v>0</v>
      </c>
      <c r="AZ350" s="57">
        <v>0</v>
      </c>
      <c r="BA350" s="57">
        <v>0</v>
      </c>
      <c r="BB350" s="57">
        <v>0</v>
      </c>
      <c r="BC350" s="57">
        <v>0</v>
      </c>
      <c r="BD350" s="57">
        <v>0</v>
      </c>
      <c r="BE350" s="57">
        <v>0</v>
      </c>
      <c r="BF350" s="57">
        <v>0</v>
      </c>
      <c r="BG350" s="57">
        <v>0</v>
      </c>
      <c r="BH350" s="57">
        <v>0</v>
      </c>
      <c r="BI350" s="57">
        <v>0</v>
      </c>
      <c r="BJ350" s="57">
        <v>0</v>
      </c>
      <c r="BK350" s="57">
        <v>0</v>
      </c>
      <c r="BL350" s="57">
        <v>0</v>
      </c>
      <c r="BM350" s="57">
        <v>0</v>
      </c>
      <c r="BN350" s="57">
        <v>0</v>
      </c>
      <c r="BO350" s="57">
        <v>0</v>
      </c>
      <c r="BP350" s="57">
        <v>0</v>
      </c>
      <c r="BQ350" s="57">
        <v>0</v>
      </c>
      <c r="BR350" s="57">
        <v>0</v>
      </c>
      <c r="BS350" s="57">
        <v>0</v>
      </c>
      <c r="BT350" s="57">
        <v>0</v>
      </c>
      <c r="BU350" s="57">
        <v>0</v>
      </c>
      <c r="BV350" s="57">
        <v>0</v>
      </c>
      <c r="BW350" s="57">
        <v>0</v>
      </c>
      <c r="BX350" s="57">
        <v>0</v>
      </c>
      <c r="BY350" s="57">
        <v>0</v>
      </c>
      <c r="BZ350" s="57">
        <v>0</v>
      </c>
      <c r="CA350" s="57">
        <v>0</v>
      </c>
    </row>
    <row r="351" spans="1:79" x14ac:dyDescent="0.3">
      <c r="A351" s="26"/>
      <c r="B351" s="20" t="str">
        <f t="shared" si="110"/>
        <v>14890002</v>
      </c>
      <c r="C351" s="55">
        <v>4</v>
      </c>
      <c r="D351" s="55">
        <v>8</v>
      </c>
      <c r="E351" s="49">
        <v>2</v>
      </c>
      <c r="F351" s="57">
        <v>1</v>
      </c>
      <c r="G351" s="57">
        <v>108</v>
      </c>
      <c r="H351" s="57" t="str">
        <f t="shared" si="111"/>
        <v>Item_Name_14890002</v>
      </c>
      <c r="I351" s="57" t="s">
        <v>839</v>
      </c>
      <c r="J351" s="57">
        <v>10104001</v>
      </c>
      <c r="K351" s="57">
        <v>99</v>
      </c>
      <c r="L351" s="57">
        <v>0</v>
      </c>
      <c r="M351" s="57">
        <v>0</v>
      </c>
      <c r="N351" s="57">
        <v>15</v>
      </c>
      <c r="O351" s="57">
        <v>100</v>
      </c>
      <c r="P351" s="57">
        <v>1</v>
      </c>
      <c r="Q351" s="57" t="s">
        <v>875</v>
      </c>
      <c r="R351" s="57" t="s">
        <v>448</v>
      </c>
      <c r="S351" s="57" t="s">
        <v>328</v>
      </c>
      <c r="T351" s="57" t="s">
        <v>429</v>
      </c>
      <c r="U351" s="57">
        <v>0</v>
      </c>
      <c r="V351" s="57">
        <v>0</v>
      </c>
      <c r="W351" s="57">
        <v>73</v>
      </c>
      <c r="X351" s="57">
        <v>2</v>
      </c>
      <c r="Y351" s="57">
        <v>1202</v>
      </c>
      <c r="Z351" s="57">
        <v>1202</v>
      </c>
      <c r="AA351" s="57">
        <v>1206</v>
      </c>
      <c r="AB351" s="57">
        <v>1206</v>
      </c>
      <c r="AC351" s="57">
        <v>0</v>
      </c>
      <c r="AD351" s="57">
        <v>0</v>
      </c>
      <c r="AE351" s="58">
        <v>10402</v>
      </c>
      <c r="AF351" s="30">
        <v>0</v>
      </c>
      <c r="AG351" s="57">
        <v>0</v>
      </c>
      <c r="AH351" s="57">
        <v>0</v>
      </c>
      <c r="AI351" s="57">
        <v>0</v>
      </c>
      <c r="AJ351" s="57">
        <v>0</v>
      </c>
      <c r="AK351" s="57">
        <v>0</v>
      </c>
      <c r="AL351" s="57">
        <v>0</v>
      </c>
      <c r="AM351" s="57">
        <v>0</v>
      </c>
      <c r="AN351" s="57">
        <v>0</v>
      </c>
      <c r="AO351" s="57">
        <v>0</v>
      </c>
      <c r="AP351" s="57">
        <v>0</v>
      </c>
      <c r="AQ351" s="57">
        <v>0</v>
      </c>
      <c r="AR351" s="57">
        <v>0</v>
      </c>
      <c r="AS351" s="57">
        <v>0</v>
      </c>
      <c r="AT351" s="57">
        <v>0</v>
      </c>
      <c r="AU351" s="57">
        <v>0</v>
      </c>
      <c r="AV351" s="57">
        <v>0</v>
      </c>
      <c r="AW351" s="57">
        <v>0</v>
      </c>
      <c r="AX351" s="57">
        <v>0</v>
      </c>
      <c r="AY351" s="57">
        <v>0</v>
      </c>
      <c r="AZ351" s="57">
        <v>0</v>
      </c>
      <c r="BA351" s="57">
        <v>0</v>
      </c>
      <c r="BB351" s="57">
        <v>0</v>
      </c>
      <c r="BC351" s="57">
        <v>0</v>
      </c>
      <c r="BD351" s="57">
        <v>0</v>
      </c>
      <c r="BE351" s="57">
        <v>0</v>
      </c>
      <c r="BF351" s="57">
        <v>0</v>
      </c>
      <c r="BG351" s="57">
        <v>0</v>
      </c>
      <c r="BH351" s="57">
        <v>0</v>
      </c>
      <c r="BI351" s="57">
        <v>0</v>
      </c>
      <c r="BJ351" s="57">
        <v>0</v>
      </c>
      <c r="BK351" s="57">
        <v>0</v>
      </c>
      <c r="BL351" s="57">
        <v>0</v>
      </c>
      <c r="BM351" s="57">
        <v>0</v>
      </c>
      <c r="BN351" s="57">
        <v>0</v>
      </c>
      <c r="BO351" s="57">
        <v>0</v>
      </c>
      <c r="BP351" s="57">
        <v>0</v>
      </c>
      <c r="BQ351" s="57">
        <v>0</v>
      </c>
      <c r="BR351" s="57">
        <v>0</v>
      </c>
      <c r="BS351" s="57">
        <v>0</v>
      </c>
      <c r="BT351" s="57">
        <v>0</v>
      </c>
      <c r="BU351" s="57">
        <v>0</v>
      </c>
      <c r="BV351" s="57">
        <v>0</v>
      </c>
      <c r="BW351" s="57">
        <v>0</v>
      </c>
      <c r="BX351" s="57">
        <v>0</v>
      </c>
      <c r="BY351" s="57">
        <v>0</v>
      </c>
      <c r="BZ351" s="57">
        <v>0</v>
      </c>
      <c r="CA351" s="57">
        <v>0</v>
      </c>
    </row>
    <row r="352" spans="1:79" x14ac:dyDescent="0.3">
      <c r="A352" s="26"/>
      <c r="B352" s="20" t="str">
        <f t="shared" si="110"/>
        <v>14890003</v>
      </c>
      <c r="C352" s="55">
        <v>4</v>
      </c>
      <c r="D352" s="55">
        <v>8</v>
      </c>
      <c r="E352" s="49">
        <v>3</v>
      </c>
      <c r="F352" s="57">
        <v>1</v>
      </c>
      <c r="G352" s="57">
        <v>108</v>
      </c>
      <c r="H352" s="57" t="str">
        <f t="shared" si="111"/>
        <v>Item_Name_14890003</v>
      </c>
      <c r="I352" s="57" t="s">
        <v>840</v>
      </c>
      <c r="J352" s="57">
        <v>10104001</v>
      </c>
      <c r="K352" s="57">
        <v>99</v>
      </c>
      <c r="L352" s="57">
        <v>0</v>
      </c>
      <c r="M352" s="57">
        <v>0</v>
      </c>
      <c r="N352" s="57">
        <v>15</v>
      </c>
      <c r="O352" s="57">
        <v>100</v>
      </c>
      <c r="P352" s="57">
        <v>1</v>
      </c>
      <c r="Q352" s="57" t="s">
        <v>876</v>
      </c>
      <c r="R352" s="57" t="s">
        <v>448</v>
      </c>
      <c r="S352" s="57" t="s">
        <v>328</v>
      </c>
      <c r="T352" s="57" t="s">
        <v>429</v>
      </c>
      <c r="U352" s="57">
        <v>0</v>
      </c>
      <c r="V352" s="57">
        <v>0</v>
      </c>
      <c r="W352" s="57">
        <v>73</v>
      </c>
      <c r="X352" s="57">
        <v>3</v>
      </c>
      <c r="Y352" s="57">
        <v>1202</v>
      </c>
      <c r="Z352" s="57">
        <v>1202</v>
      </c>
      <c r="AA352" s="57">
        <v>1206</v>
      </c>
      <c r="AB352" s="57">
        <v>1206</v>
      </c>
      <c r="AC352" s="57">
        <v>0</v>
      </c>
      <c r="AD352" s="57">
        <v>0</v>
      </c>
      <c r="AE352" s="58">
        <v>10403</v>
      </c>
      <c r="AF352" s="30">
        <v>0</v>
      </c>
      <c r="AG352" s="57">
        <v>0</v>
      </c>
      <c r="AH352" s="57">
        <v>0</v>
      </c>
      <c r="AI352" s="57">
        <v>0</v>
      </c>
      <c r="AJ352" s="57">
        <v>0</v>
      </c>
      <c r="AK352" s="57">
        <v>0</v>
      </c>
      <c r="AL352" s="57">
        <v>0</v>
      </c>
      <c r="AM352" s="57">
        <v>0</v>
      </c>
      <c r="AN352" s="57">
        <v>0</v>
      </c>
      <c r="AO352" s="57">
        <v>0</v>
      </c>
      <c r="AP352" s="57">
        <v>0</v>
      </c>
      <c r="AQ352" s="57">
        <v>0</v>
      </c>
      <c r="AR352" s="57">
        <v>0</v>
      </c>
      <c r="AS352" s="57">
        <v>0</v>
      </c>
      <c r="AT352" s="57">
        <v>0</v>
      </c>
      <c r="AU352" s="57">
        <v>0</v>
      </c>
      <c r="AV352" s="57">
        <v>0</v>
      </c>
      <c r="AW352" s="57">
        <v>0</v>
      </c>
      <c r="AX352" s="57">
        <v>0</v>
      </c>
      <c r="AY352" s="57">
        <v>0</v>
      </c>
      <c r="AZ352" s="57">
        <v>0</v>
      </c>
      <c r="BA352" s="57">
        <v>0</v>
      </c>
      <c r="BB352" s="57">
        <v>0</v>
      </c>
      <c r="BC352" s="57">
        <v>0</v>
      </c>
      <c r="BD352" s="57">
        <v>0</v>
      </c>
      <c r="BE352" s="57">
        <v>0</v>
      </c>
      <c r="BF352" s="57">
        <v>0</v>
      </c>
      <c r="BG352" s="57">
        <v>0</v>
      </c>
      <c r="BH352" s="57">
        <v>0</v>
      </c>
      <c r="BI352" s="57">
        <v>0</v>
      </c>
      <c r="BJ352" s="57">
        <v>0</v>
      </c>
      <c r="BK352" s="57">
        <v>0</v>
      </c>
      <c r="BL352" s="57">
        <v>0</v>
      </c>
      <c r="BM352" s="57">
        <v>0</v>
      </c>
      <c r="BN352" s="57">
        <v>0</v>
      </c>
      <c r="BO352" s="57">
        <v>0</v>
      </c>
      <c r="BP352" s="57">
        <v>0</v>
      </c>
      <c r="BQ352" s="57">
        <v>0</v>
      </c>
      <c r="BR352" s="57">
        <v>0</v>
      </c>
      <c r="BS352" s="57">
        <v>0</v>
      </c>
      <c r="BT352" s="57">
        <v>0</v>
      </c>
      <c r="BU352" s="57">
        <v>0</v>
      </c>
      <c r="BV352" s="57">
        <v>0</v>
      </c>
      <c r="BW352" s="57">
        <v>0</v>
      </c>
      <c r="BX352" s="57">
        <v>0</v>
      </c>
      <c r="BY352" s="57">
        <v>0</v>
      </c>
      <c r="BZ352" s="57">
        <v>0</v>
      </c>
      <c r="CA352" s="57">
        <v>0</v>
      </c>
    </row>
  </sheetData>
  <autoFilter ref="A4:CC352" xr:uid="{E52C74AA-26CF-4DE7-BC71-F0713B62CCBE}"/>
  <phoneticPr fontId="1" type="noConversion"/>
  <conditionalFormatting sqref="B1:B1048576">
    <cfRule type="duplicateValues" dxfId="9" priority="1"/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C3D3E-566C-4458-9793-C36C5D39EAEC}">
  <sheetPr codeName="Sheet5">
    <tabColor rgb="FFDAF2D0"/>
  </sheetPr>
  <dimension ref="A1:AG35"/>
  <sheetViews>
    <sheetView workbookViewId="0"/>
  </sheetViews>
  <sheetFormatPr defaultRowHeight="16.5" x14ac:dyDescent="0.3"/>
  <cols>
    <col min="3" max="3" width="9" style="72"/>
    <col min="8" max="8" width="9" style="72"/>
    <col min="11" max="11" width="9" style="72"/>
    <col min="16" max="16" width="9" style="72"/>
    <col min="32" max="32" width="9.5" bestFit="1" customWidth="1"/>
  </cols>
  <sheetData>
    <row r="1" spans="1:33" x14ac:dyDescent="0.3">
      <c r="A1" s="14" t="s">
        <v>956</v>
      </c>
      <c r="B1" s="14" t="s">
        <v>954</v>
      </c>
      <c r="C1" s="72" t="s">
        <v>988</v>
      </c>
      <c r="E1" t="s">
        <v>983</v>
      </c>
      <c r="F1" s="14" t="s">
        <v>200</v>
      </c>
      <c r="G1" t="s">
        <v>978</v>
      </c>
      <c r="H1"/>
      <c r="J1" t="s">
        <v>980</v>
      </c>
      <c r="K1" s="72" t="s">
        <v>978</v>
      </c>
      <c r="M1" t="s">
        <v>984</v>
      </c>
      <c r="N1" s="14" t="s">
        <v>200</v>
      </c>
      <c r="O1" t="s">
        <v>978</v>
      </c>
      <c r="S1" s="7" t="s">
        <v>12</v>
      </c>
      <c r="T1" s="1" t="s">
        <v>21</v>
      </c>
      <c r="U1" s="1" t="s">
        <v>949</v>
      </c>
      <c r="V1" s="1" t="s">
        <v>950</v>
      </c>
      <c r="W1" s="1" t="s">
        <v>951</v>
      </c>
      <c r="X1" s="1" t="s">
        <v>952</v>
      </c>
    </row>
    <row r="2" spans="1:33" x14ac:dyDescent="0.3">
      <c r="A2" s="1" t="s">
        <v>28</v>
      </c>
      <c r="B2" s="1">
        <v>0</v>
      </c>
      <c r="C2" s="72">
        <v>14</v>
      </c>
      <c r="E2" s="7" t="s">
        <v>12</v>
      </c>
      <c r="F2" s="8">
        <v>1</v>
      </c>
      <c r="G2" s="5">
        <v>10</v>
      </c>
      <c r="H2" s="74">
        <v>100</v>
      </c>
      <c r="J2" t="s">
        <v>981</v>
      </c>
      <c r="K2" s="72">
        <v>1</v>
      </c>
      <c r="M2" s="7" t="s">
        <v>12</v>
      </c>
      <c r="N2" s="8">
        <v>1</v>
      </c>
      <c r="O2" s="5">
        <v>1</v>
      </c>
      <c r="P2" s="72">
        <v>1</v>
      </c>
      <c r="R2" s="1" t="s">
        <v>28</v>
      </c>
      <c r="S2">
        <f t="shared" ref="S2:X11" si="0">_xlfn.XLOOKUP($R2, $A:$A, $C:$C)*_xlfn.XLOOKUP(S$1, $E:$E, $G:$G)</f>
        <v>140</v>
      </c>
      <c r="T2">
        <f t="shared" si="0"/>
        <v>140</v>
      </c>
      <c r="U2">
        <f t="shared" si="0"/>
        <v>140</v>
      </c>
      <c r="V2">
        <f t="shared" si="0"/>
        <v>140</v>
      </c>
      <c r="W2">
        <f t="shared" si="0"/>
        <v>140</v>
      </c>
      <c r="X2">
        <f t="shared" si="0"/>
        <v>140</v>
      </c>
      <c r="AF2" t="s">
        <v>28</v>
      </c>
      <c r="AG2">
        <v>20100</v>
      </c>
    </row>
    <row r="3" spans="1:33" x14ac:dyDescent="0.3">
      <c r="A3" s="1" t="s">
        <v>29</v>
      </c>
      <c r="B3" s="1">
        <v>1</v>
      </c>
      <c r="C3" s="72">
        <v>14</v>
      </c>
      <c r="E3" s="1" t="s">
        <v>21</v>
      </c>
      <c r="F3" s="1">
        <v>2</v>
      </c>
      <c r="G3" s="5">
        <v>10</v>
      </c>
      <c r="H3" s="74">
        <v>100</v>
      </c>
      <c r="J3" t="s">
        <v>1385</v>
      </c>
      <c r="K3" s="72">
        <v>1</v>
      </c>
      <c r="M3" s="1" t="s">
        <v>21</v>
      </c>
      <c r="N3" s="1">
        <v>2</v>
      </c>
      <c r="O3" s="5">
        <v>1</v>
      </c>
      <c r="P3" s="72">
        <v>1.5</v>
      </c>
      <c r="R3" s="1" t="s">
        <v>29</v>
      </c>
      <c r="S3">
        <f t="shared" si="0"/>
        <v>140</v>
      </c>
      <c r="T3">
        <f t="shared" si="0"/>
        <v>140</v>
      </c>
      <c r="U3">
        <f t="shared" si="0"/>
        <v>140</v>
      </c>
      <c r="V3">
        <f t="shared" si="0"/>
        <v>140</v>
      </c>
      <c r="W3">
        <f t="shared" si="0"/>
        <v>140</v>
      </c>
      <c r="X3">
        <f t="shared" si="0"/>
        <v>140</v>
      </c>
      <c r="AF3" t="s">
        <v>29</v>
      </c>
      <c r="AG3">
        <v>20200</v>
      </c>
    </row>
    <row r="4" spans="1:33" x14ac:dyDescent="0.3">
      <c r="A4" s="8" t="s">
        <v>19</v>
      </c>
      <c r="B4" s="8">
        <v>2</v>
      </c>
      <c r="C4" s="72">
        <v>6</v>
      </c>
      <c r="D4" t="s">
        <v>1389</v>
      </c>
      <c r="E4" s="1" t="s">
        <v>949</v>
      </c>
      <c r="F4" s="1">
        <v>3</v>
      </c>
      <c r="G4" s="5">
        <v>10</v>
      </c>
      <c r="H4" s="74">
        <v>100</v>
      </c>
      <c r="J4" t="s">
        <v>982</v>
      </c>
      <c r="K4" s="72">
        <v>5</v>
      </c>
      <c r="M4" s="1" t="s">
        <v>949</v>
      </c>
      <c r="N4" s="1">
        <v>3</v>
      </c>
      <c r="O4" s="5">
        <v>1</v>
      </c>
      <c r="P4" s="72">
        <v>2</v>
      </c>
      <c r="R4" s="8" t="s">
        <v>19</v>
      </c>
      <c r="S4">
        <f t="shared" si="0"/>
        <v>60</v>
      </c>
      <c r="T4">
        <f t="shared" si="0"/>
        <v>60</v>
      </c>
      <c r="U4">
        <f t="shared" si="0"/>
        <v>60</v>
      </c>
      <c r="V4">
        <f t="shared" si="0"/>
        <v>60</v>
      </c>
      <c r="W4">
        <f t="shared" si="0"/>
        <v>60</v>
      </c>
      <c r="X4">
        <f t="shared" si="0"/>
        <v>60</v>
      </c>
      <c r="AF4" t="s">
        <v>19</v>
      </c>
      <c r="AG4">
        <v>20300</v>
      </c>
    </row>
    <row r="5" spans="1:33" x14ac:dyDescent="0.3">
      <c r="A5" s="1" t="s">
        <v>22</v>
      </c>
      <c r="B5" s="1">
        <v>3</v>
      </c>
      <c r="C5" s="72">
        <v>10</v>
      </c>
      <c r="D5" t="s">
        <v>1394</v>
      </c>
      <c r="E5" s="1" t="s">
        <v>950</v>
      </c>
      <c r="F5" s="1">
        <v>4</v>
      </c>
      <c r="G5" s="5">
        <v>10</v>
      </c>
      <c r="H5" s="74">
        <v>100</v>
      </c>
      <c r="M5" s="1" t="s">
        <v>950</v>
      </c>
      <c r="N5" s="1">
        <v>4</v>
      </c>
      <c r="O5" s="5">
        <v>1</v>
      </c>
      <c r="P5" s="72">
        <v>2.5</v>
      </c>
      <c r="R5" s="1" t="s">
        <v>22</v>
      </c>
      <c r="S5">
        <f t="shared" si="0"/>
        <v>100</v>
      </c>
      <c r="T5">
        <f t="shared" si="0"/>
        <v>100</v>
      </c>
      <c r="U5">
        <f t="shared" si="0"/>
        <v>100</v>
      </c>
      <c r="V5">
        <f t="shared" si="0"/>
        <v>100</v>
      </c>
      <c r="W5">
        <f t="shared" si="0"/>
        <v>100</v>
      </c>
      <c r="X5">
        <f t="shared" si="0"/>
        <v>100</v>
      </c>
      <c r="AA5">
        <f>12.8/30</f>
        <v>0.42666666666666669</v>
      </c>
      <c r="AF5" t="s">
        <v>22</v>
      </c>
      <c r="AG5">
        <v>20400</v>
      </c>
    </row>
    <row r="6" spans="1:33" x14ac:dyDescent="0.3">
      <c r="A6" s="1" t="s">
        <v>27</v>
      </c>
      <c r="B6" s="1">
        <v>4</v>
      </c>
      <c r="C6" s="72">
        <v>6</v>
      </c>
      <c r="D6" t="s">
        <v>1392</v>
      </c>
      <c r="E6" s="1" t="s">
        <v>951</v>
      </c>
      <c r="F6" s="1">
        <v>5</v>
      </c>
      <c r="G6" s="5">
        <v>10</v>
      </c>
      <c r="H6" s="74">
        <v>100</v>
      </c>
      <c r="M6" s="1" t="s">
        <v>951</v>
      </c>
      <c r="N6" s="1">
        <v>5</v>
      </c>
      <c r="O6" s="5">
        <v>1</v>
      </c>
      <c r="P6" s="72">
        <v>3</v>
      </c>
      <c r="R6" s="1" t="s">
        <v>27</v>
      </c>
      <c r="S6">
        <f t="shared" si="0"/>
        <v>60</v>
      </c>
      <c r="T6">
        <f t="shared" si="0"/>
        <v>60</v>
      </c>
      <c r="U6">
        <f t="shared" si="0"/>
        <v>60</v>
      </c>
      <c r="V6">
        <f t="shared" si="0"/>
        <v>60</v>
      </c>
      <c r="W6">
        <f t="shared" si="0"/>
        <v>60</v>
      </c>
      <c r="X6">
        <f t="shared" si="0"/>
        <v>60</v>
      </c>
      <c r="AF6" t="s">
        <v>24</v>
      </c>
      <c r="AG6">
        <v>20500</v>
      </c>
    </row>
    <row r="7" spans="1:33" x14ac:dyDescent="0.3">
      <c r="A7" s="1" t="s">
        <v>24</v>
      </c>
      <c r="B7" s="1">
        <v>5</v>
      </c>
      <c r="C7" s="72">
        <v>10</v>
      </c>
      <c r="D7" t="s">
        <v>1393</v>
      </c>
      <c r="E7" s="1" t="s">
        <v>952</v>
      </c>
      <c r="F7" s="1">
        <v>6</v>
      </c>
      <c r="G7" s="5">
        <v>10</v>
      </c>
      <c r="H7" s="74">
        <v>100</v>
      </c>
      <c r="M7" s="1" t="s">
        <v>952</v>
      </c>
      <c r="N7" s="1">
        <v>6</v>
      </c>
      <c r="O7" s="5">
        <v>1</v>
      </c>
      <c r="P7" s="72">
        <v>3.5</v>
      </c>
      <c r="R7" s="1" t="s">
        <v>24</v>
      </c>
      <c r="S7">
        <f t="shared" si="0"/>
        <v>100</v>
      </c>
      <c r="T7">
        <f t="shared" si="0"/>
        <v>100</v>
      </c>
      <c r="U7">
        <f t="shared" si="0"/>
        <v>100</v>
      </c>
      <c r="V7">
        <f t="shared" si="0"/>
        <v>100</v>
      </c>
      <c r="W7">
        <f t="shared" si="0"/>
        <v>100</v>
      </c>
      <c r="X7">
        <f t="shared" si="0"/>
        <v>100</v>
      </c>
      <c r="AF7" t="s">
        <v>313</v>
      </c>
      <c r="AG7">
        <v>20600</v>
      </c>
    </row>
    <row r="8" spans="1:33" x14ac:dyDescent="0.3">
      <c r="A8" s="1" t="s">
        <v>25</v>
      </c>
      <c r="B8" s="1">
        <v>6</v>
      </c>
      <c r="C8" s="72">
        <v>4</v>
      </c>
      <c r="D8" t="s">
        <v>1391</v>
      </c>
      <c r="E8" s="1" t="s">
        <v>201</v>
      </c>
      <c r="F8" s="1">
        <v>99</v>
      </c>
      <c r="G8" s="5">
        <v>10</v>
      </c>
      <c r="H8" s="74">
        <v>100</v>
      </c>
      <c r="I8" t="s">
        <v>1384</v>
      </c>
      <c r="M8" s="1" t="s">
        <v>201</v>
      </c>
      <c r="N8" s="1">
        <v>99</v>
      </c>
      <c r="P8" s="74">
        <v>1</v>
      </c>
      <c r="R8" s="1" t="s">
        <v>25</v>
      </c>
      <c r="S8">
        <f t="shared" si="0"/>
        <v>40</v>
      </c>
      <c r="T8">
        <f t="shared" si="0"/>
        <v>40</v>
      </c>
      <c r="U8">
        <f t="shared" si="0"/>
        <v>40</v>
      </c>
      <c r="V8">
        <f t="shared" si="0"/>
        <v>40</v>
      </c>
      <c r="W8">
        <f t="shared" si="0"/>
        <v>40</v>
      </c>
      <c r="X8">
        <f t="shared" si="0"/>
        <v>40</v>
      </c>
      <c r="AF8" t="s">
        <v>27</v>
      </c>
      <c r="AG8">
        <v>20700</v>
      </c>
    </row>
    <row r="9" spans="1:33" x14ac:dyDescent="0.3">
      <c r="A9" s="1" t="s">
        <v>313</v>
      </c>
      <c r="B9" s="1">
        <v>7</v>
      </c>
      <c r="C9" s="72">
        <v>4</v>
      </c>
      <c r="D9" t="s">
        <v>1390</v>
      </c>
      <c r="G9" t="s">
        <v>986</v>
      </c>
      <c r="H9" s="74">
        <v>0.13</v>
      </c>
      <c r="R9" s="1" t="s">
        <v>313</v>
      </c>
      <c r="S9">
        <f t="shared" si="0"/>
        <v>40</v>
      </c>
      <c r="T9">
        <f t="shared" si="0"/>
        <v>40</v>
      </c>
      <c r="U9">
        <f t="shared" si="0"/>
        <v>40</v>
      </c>
      <c r="V9">
        <f t="shared" si="0"/>
        <v>40</v>
      </c>
      <c r="W9">
        <f t="shared" si="0"/>
        <v>40</v>
      </c>
      <c r="X9">
        <f t="shared" si="0"/>
        <v>40</v>
      </c>
      <c r="AF9" t="s">
        <v>25</v>
      </c>
      <c r="AG9">
        <v>20800</v>
      </c>
    </row>
    <row r="10" spans="1:33" x14ac:dyDescent="0.3">
      <c r="A10" s="1" t="s">
        <v>31</v>
      </c>
      <c r="B10" s="1">
        <v>8</v>
      </c>
      <c r="C10" s="72">
        <v>1</v>
      </c>
      <c r="R10" s="1" t="s">
        <v>31</v>
      </c>
      <c r="S10">
        <f t="shared" si="0"/>
        <v>10</v>
      </c>
      <c r="T10">
        <f t="shared" si="0"/>
        <v>10</v>
      </c>
      <c r="U10">
        <f t="shared" si="0"/>
        <v>10</v>
      </c>
      <c r="V10">
        <f t="shared" si="0"/>
        <v>10</v>
      </c>
      <c r="W10">
        <f t="shared" si="0"/>
        <v>10</v>
      </c>
      <c r="X10">
        <f t="shared" si="0"/>
        <v>10</v>
      </c>
      <c r="AF10" t="s">
        <v>314</v>
      </c>
      <c r="AG10">
        <v>20900</v>
      </c>
    </row>
    <row r="11" spans="1:33" x14ac:dyDescent="0.3">
      <c r="A11" s="1" t="s">
        <v>314</v>
      </c>
      <c r="B11" s="1">
        <v>9</v>
      </c>
      <c r="C11" s="72">
        <v>1</v>
      </c>
      <c r="R11" s="1" t="s">
        <v>314</v>
      </c>
      <c r="S11">
        <f t="shared" si="0"/>
        <v>10</v>
      </c>
      <c r="T11">
        <f t="shared" si="0"/>
        <v>10</v>
      </c>
      <c r="U11">
        <f t="shared" si="0"/>
        <v>10</v>
      </c>
      <c r="V11">
        <f t="shared" si="0"/>
        <v>10</v>
      </c>
      <c r="W11">
        <f t="shared" si="0"/>
        <v>10</v>
      </c>
      <c r="X11">
        <f t="shared" si="0"/>
        <v>10</v>
      </c>
      <c r="Z11" t="s">
        <v>1386</v>
      </c>
      <c r="AA11" s="89">
        <v>0.5</v>
      </c>
      <c r="AB11" s="89">
        <v>0.85</v>
      </c>
      <c r="AF11" t="s">
        <v>31</v>
      </c>
      <c r="AG11">
        <v>20900</v>
      </c>
    </row>
    <row r="12" spans="1:33" x14ac:dyDescent="0.3">
      <c r="A12" s="1" t="s">
        <v>1898</v>
      </c>
      <c r="B12" s="1">
        <v>10</v>
      </c>
      <c r="C12" s="72">
        <v>1</v>
      </c>
      <c r="R12" s="17" t="s">
        <v>979</v>
      </c>
      <c r="S12">
        <f>SUM(S2:S11)</f>
        <v>700</v>
      </c>
      <c r="T12">
        <f t="shared" ref="T12:X12" si="1">SUM(T2:T11)</f>
        <v>700</v>
      </c>
      <c r="U12">
        <f t="shared" si="1"/>
        <v>700</v>
      </c>
      <c r="V12">
        <f t="shared" si="1"/>
        <v>700</v>
      </c>
      <c r="W12">
        <f t="shared" si="1"/>
        <v>700</v>
      </c>
      <c r="X12">
        <f t="shared" si="1"/>
        <v>700</v>
      </c>
      <c r="Z12">
        <f>S12+S21</f>
        <v>1910</v>
      </c>
      <c r="AA12">
        <f>3320/2</f>
        <v>1660</v>
      </c>
      <c r="AB12">
        <f>3320*0.85</f>
        <v>2822</v>
      </c>
    </row>
    <row r="13" spans="1:33" x14ac:dyDescent="0.3">
      <c r="A13" s="1" t="s">
        <v>1899</v>
      </c>
      <c r="B13" s="1">
        <v>11</v>
      </c>
      <c r="C13" s="72">
        <v>1</v>
      </c>
      <c r="Z13">
        <f>Z12/3300</f>
        <v>0.57878787878787874</v>
      </c>
    </row>
    <row r="14" spans="1:33" x14ac:dyDescent="0.3">
      <c r="R14" t="s">
        <v>985</v>
      </c>
    </row>
    <row r="15" spans="1:33" x14ac:dyDescent="0.3">
      <c r="Q15" t="s">
        <v>981</v>
      </c>
      <c r="R15" s="73">
        <v>1000</v>
      </c>
      <c r="X15" s="88" t="s">
        <v>1382</v>
      </c>
    </row>
    <row r="16" spans="1:33" x14ac:dyDescent="0.3">
      <c r="Q16" t="s">
        <v>1385</v>
      </c>
      <c r="R16">
        <f>R15/5</f>
        <v>200</v>
      </c>
      <c r="X16" t="s">
        <v>1376</v>
      </c>
      <c r="Y16" t="s">
        <v>1369</v>
      </c>
      <c r="Z16" t="s">
        <v>1374</v>
      </c>
      <c r="AA16" t="s">
        <v>1371</v>
      </c>
    </row>
    <row r="17" spans="17:27" x14ac:dyDescent="0.3">
      <c r="Q17" t="s">
        <v>1387</v>
      </c>
      <c r="R17" s="73">
        <f>INT(R15/1500*4)</f>
        <v>2</v>
      </c>
      <c r="S17" s="7" t="s">
        <v>12</v>
      </c>
      <c r="T17" s="1" t="s">
        <v>21</v>
      </c>
      <c r="U17" s="1" t="s">
        <v>949</v>
      </c>
      <c r="V17" s="1" t="s">
        <v>950</v>
      </c>
      <c r="Y17" s="88">
        <v>1500</v>
      </c>
    </row>
    <row r="18" spans="17:27" x14ac:dyDescent="0.3">
      <c r="R18" t="s">
        <v>981</v>
      </c>
      <c r="S18">
        <f>_xlfn.XLOOKUP($R18,$J:$J,$K:$K)*_xlfn.XLOOKUP(S$17,$M:$M,$O:$O)*$R$15</f>
        <v>1000</v>
      </c>
      <c r="T18">
        <f>_xlfn.XLOOKUP($R18,$J:$J,$K:$K)*_xlfn.XLOOKUP(T$17,$M:$M,$O:$O)*$R$15</f>
        <v>1000</v>
      </c>
      <c r="U18">
        <f>_xlfn.XLOOKUP($R18,$J:$J,$K:$K)*_xlfn.XLOOKUP(U$17,$M:$M,$O:$O)*$R$15</f>
        <v>1000</v>
      </c>
      <c r="V18">
        <f>_xlfn.XLOOKUP($R18,$J:$J,$K:$K)*_xlfn.XLOOKUP(V$17,$M:$M,$O:$O)*$R$15</f>
        <v>1000</v>
      </c>
      <c r="X18" s="88" t="s">
        <v>1377</v>
      </c>
      <c r="Y18" t="s">
        <v>1369</v>
      </c>
      <c r="Z18" t="s">
        <v>1374</v>
      </c>
      <c r="AA18" t="s">
        <v>1371</v>
      </c>
    </row>
    <row r="19" spans="17:27" x14ac:dyDescent="0.3">
      <c r="R19" t="s">
        <v>1385</v>
      </c>
      <c r="S19">
        <f>_xlfn.XLOOKUP($R19,$J:$J,$K:$K)*_xlfn.XLOOKUP(S$17,$M:$M,$O:$O)*$R$16</f>
        <v>200</v>
      </c>
      <c r="T19">
        <f>_xlfn.XLOOKUP($R19,$J:$J,$K:$K)*_xlfn.XLOOKUP(T$17,$M:$M,$O:$O)*$R$16</f>
        <v>200</v>
      </c>
      <c r="U19">
        <f>_xlfn.XLOOKUP($R19,$J:$J,$K:$K)*_xlfn.XLOOKUP(U$17,$M:$M,$O:$O)*$R$16</f>
        <v>200</v>
      </c>
      <c r="V19">
        <f>_xlfn.XLOOKUP($R19,$J:$J,$K:$K)*_xlfn.XLOOKUP(V$17,$M:$M,$O:$O)*$R$16</f>
        <v>200</v>
      </c>
      <c r="X19" t="s">
        <v>1368</v>
      </c>
      <c r="Y19" t="s">
        <v>1370</v>
      </c>
      <c r="Z19" t="s">
        <v>1375</v>
      </c>
      <c r="AA19" t="s">
        <v>1372</v>
      </c>
    </row>
    <row r="20" spans="17:27" x14ac:dyDescent="0.3">
      <c r="R20" t="s">
        <v>982</v>
      </c>
      <c r="S20">
        <f>_xlfn.XLOOKUP($R20,$J:$J,$K:$K)*_xlfn.XLOOKUP(S$17,$M:$M,$O:$O)*$R$17</f>
        <v>10</v>
      </c>
      <c r="T20">
        <f>_xlfn.XLOOKUP($R20,$J:$J,$K:$K)*_xlfn.XLOOKUP(T$17,$M:$M,$O:$O)*$R$17</f>
        <v>10</v>
      </c>
      <c r="U20">
        <f>_xlfn.XLOOKUP($R20,$J:$J,$K:$K)*_xlfn.XLOOKUP(U$17,$M:$M,$O:$O)*$R$17</f>
        <v>10</v>
      </c>
      <c r="V20">
        <f>_xlfn.XLOOKUP($R20,$J:$J,$K:$K)*_xlfn.XLOOKUP(V$17,$M:$M,$O:$O)*$R$17</f>
        <v>10</v>
      </c>
    </row>
    <row r="21" spans="17:27" x14ac:dyDescent="0.3">
      <c r="R21" t="s">
        <v>979</v>
      </c>
      <c r="S21">
        <f>SUM(S18:S20)</f>
        <v>1210</v>
      </c>
      <c r="T21">
        <f>SUM(T18:T20)</f>
        <v>1210</v>
      </c>
      <c r="U21">
        <f>SUM(U18:U20)</f>
        <v>1210</v>
      </c>
      <c r="V21">
        <f>SUM(V18:V20)</f>
        <v>1210</v>
      </c>
      <c r="X21" t="s">
        <v>1378</v>
      </c>
      <c r="Z21" t="s">
        <v>1379</v>
      </c>
    </row>
    <row r="22" spans="17:27" x14ac:dyDescent="0.3">
      <c r="S22" t="s">
        <v>1388</v>
      </c>
      <c r="X22" t="s">
        <v>1381</v>
      </c>
      <c r="Y22" t="s">
        <v>1373</v>
      </c>
    </row>
    <row r="23" spans="17:27" x14ac:dyDescent="0.3">
      <c r="X23" t="s">
        <v>1380</v>
      </c>
    </row>
    <row r="26" spans="17:27" x14ac:dyDescent="0.3">
      <c r="S26" t="s">
        <v>1383</v>
      </c>
    </row>
    <row r="31" spans="17:27" x14ac:dyDescent="0.3">
      <c r="R31" t="s">
        <v>1365</v>
      </c>
    </row>
    <row r="32" spans="17:27" x14ac:dyDescent="0.3">
      <c r="S32" t="s">
        <v>1362</v>
      </c>
      <c r="T32" t="s">
        <v>1364</v>
      </c>
      <c r="U32" t="s">
        <v>1363</v>
      </c>
      <c r="W32" t="s">
        <v>1366</v>
      </c>
    </row>
    <row r="33" spans="18:23" x14ac:dyDescent="0.3">
      <c r="S33">
        <v>300000</v>
      </c>
      <c r="T33">
        <v>540000</v>
      </c>
      <c r="U33">
        <v>600000</v>
      </c>
      <c r="W33">
        <v>100000</v>
      </c>
    </row>
    <row r="34" spans="18:23" x14ac:dyDescent="0.3">
      <c r="W34">
        <v>127000</v>
      </c>
    </row>
    <row r="35" spans="18:23" x14ac:dyDescent="0.3">
      <c r="R35" t="s">
        <v>1367</v>
      </c>
      <c r="S35">
        <f>S33+W33</f>
        <v>400000</v>
      </c>
      <c r="T35">
        <f>T33+W34</f>
        <v>667000</v>
      </c>
      <c r="U35">
        <f>U33+W34</f>
        <v>727000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18391-0935-4A13-8057-7F7D018C4E3E}">
  <sheetPr codeName="Sheet3">
    <tabColor rgb="FFDAF2D0"/>
    <pageSetUpPr fitToPage="1"/>
  </sheetPr>
  <dimension ref="A1:O97"/>
  <sheetViews>
    <sheetView workbookViewId="0"/>
  </sheetViews>
  <sheetFormatPr defaultRowHeight="12" x14ac:dyDescent="0.3"/>
  <cols>
    <col min="1" max="1" width="5.375" style="75" bestFit="1" customWidth="1"/>
    <col min="2" max="2" width="5" style="75" bestFit="1" customWidth="1"/>
    <col min="3" max="3" width="30.375" style="75" bestFit="1" customWidth="1"/>
    <col min="4" max="4" width="25" style="75" bestFit="1" customWidth="1"/>
    <col min="5" max="5" width="6.875" style="75" customWidth="1"/>
    <col min="6" max="6" width="6.625" style="75" customWidth="1"/>
    <col min="7" max="7" width="7.875" style="75" customWidth="1"/>
    <col min="8" max="8" width="34.5" style="86" bestFit="1" customWidth="1"/>
    <col min="9" max="9" width="45" style="86" bestFit="1" customWidth="1"/>
    <col min="10" max="10" width="8.125" style="86" bestFit="1" customWidth="1"/>
    <col min="11" max="11" width="17.375" style="86" bestFit="1" customWidth="1"/>
    <col min="12" max="12" width="24.875" style="86" bestFit="1" customWidth="1"/>
    <col min="13" max="13" width="6" style="87" bestFit="1" customWidth="1"/>
    <col min="14" max="15" width="27.875" style="87" bestFit="1" customWidth="1"/>
    <col min="16" max="16384" width="9" style="75"/>
  </cols>
  <sheetData>
    <row r="1" spans="1:15" x14ac:dyDescent="0.3">
      <c r="B1" s="40"/>
      <c r="C1" s="40"/>
      <c r="D1" s="76" t="s">
        <v>513</v>
      </c>
      <c r="H1" s="77" t="s">
        <v>513</v>
      </c>
      <c r="I1" s="77" t="s">
        <v>513</v>
      </c>
      <c r="J1" s="77" t="s">
        <v>513</v>
      </c>
      <c r="K1" s="77" t="s">
        <v>513</v>
      </c>
      <c r="L1" s="77" t="s">
        <v>513</v>
      </c>
      <c r="M1" s="78" t="s">
        <v>513</v>
      </c>
      <c r="N1" s="78" t="s">
        <v>513</v>
      </c>
      <c r="O1" s="78" t="s">
        <v>513</v>
      </c>
    </row>
    <row r="2" spans="1:15" x14ac:dyDescent="0.3">
      <c r="B2" s="9" t="s">
        <v>3</v>
      </c>
      <c r="C2" s="9" t="s">
        <v>510</v>
      </c>
      <c r="D2" s="79" t="s">
        <v>15</v>
      </c>
      <c r="E2" s="60" t="s">
        <v>360</v>
      </c>
      <c r="F2" s="60" t="s">
        <v>989</v>
      </c>
      <c r="G2" s="60" t="s">
        <v>990</v>
      </c>
      <c r="H2" s="80" t="s">
        <v>991</v>
      </c>
      <c r="I2" s="80" t="s">
        <v>992</v>
      </c>
      <c r="J2" s="80" t="s">
        <v>993</v>
      </c>
      <c r="K2" s="80" t="s">
        <v>994</v>
      </c>
      <c r="L2" s="80" t="s">
        <v>995</v>
      </c>
      <c r="M2" s="81" t="s">
        <v>996</v>
      </c>
      <c r="N2" s="81" t="s">
        <v>997</v>
      </c>
      <c r="O2" s="81" t="s">
        <v>998</v>
      </c>
    </row>
    <row r="3" spans="1:15" x14ac:dyDescent="0.3">
      <c r="A3" s="4" t="s">
        <v>999</v>
      </c>
      <c r="B3" s="9" t="s">
        <v>948</v>
      </c>
      <c r="C3" s="9" t="s">
        <v>474</v>
      </c>
      <c r="D3" s="79" t="s">
        <v>1000</v>
      </c>
      <c r="E3" s="60" t="s">
        <v>474</v>
      </c>
      <c r="F3" s="60" t="s">
        <v>948</v>
      </c>
      <c r="G3" s="60" t="s">
        <v>948</v>
      </c>
      <c r="H3" s="80" t="s">
        <v>1000</v>
      </c>
      <c r="I3" s="80" t="s">
        <v>1000</v>
      </c>
      <c r="J3" s="80" t="s">
        <v>1000</v>
      </c>
      <c r="K3" s="80" t="s">
        <v>1000</v>
      </c>
      <c r="L3" s="80" t="s">
        <v>1001</v>
      </c>
      <c r="M3" s="81"/>
      <c r="N3" s="81"/>
      <c r="O3" s="81"/>
    </row>
    <row r="4" spans="1:15" x14ac:dyDescent="0.3">
      <c r="B4" s="9">
        <v>1</v>
      </c>
      <c r="C4" s="9" t="s">
        <v>1002</v>
      </c>
      <c r="D4" s="79" t="s">
        <v>93</v>
      </c>
      <c r="E4" s="60" t="s">
        <v>165</v>
      </c>
      <c r="F4" s="82">
        <v>1</v>
      </c>
      <c r="G4" s="82">
        <v>999999</v>
      </c>
      <c r="H4" s="80" t="s">
        <v>93</v>
      </c>
      <c r="I4" s="80" t="s">
        <v>1003</v>
      </c>
      <c r="J4" s="80" t="s">
        <v>1004</v>
      </c>
      <c r="K4" s="80" t="s">
        <v>1005</v>
      </c>
      <c r="L4" s="80" t="str">
        <f>SUBSTITUTE(C4, $L$3, $L$2)</f>
        <v>Ability_Strength</v>
      </c>
      <c r="M4" s="81">
        <v>1</v>
      </c>
      <c r="N4" s="83" t="s">
        <v>93</v>
      </c>
      <c r="O4" s="83" t="s">
        <v>1006</v>
      </c>
    </row>
    <row r="5" spans="1:15" x14ac:dyDescent="0.3">
      <c r="B5" s="9">
        <f>B4+1</f>
        <v>2</v>
      </c>
      <c r="C5" s="9" t="s">
        <v>1007</v>
      </c>
      <c r="D5" s="79" t="s">
        <v>94</v>
      </c>
      <c r="E5" s="60" t="s">
        <v>165</v>
      </c>
      <c r="F5" s="82">
        <v>1</v>
      </c>
      <c r="G5" s="82">
        <v>999999</v>
      </c>
      <c r="H5" s="80" t="s">
        <v>94</v>
      </c>
      <c r="I5" s="80" t="s">
        <v>1003</v>
      </c>
      <c r="J5" s="80" t="s">
        <v>1004</v>
      </c>
      <c r="K5" s="80" t="s">
        <v>1008</v>
      </c>
      <c r="L5" s="80" t="str">
        <f t="shared" ref="L5:L73" si="0">SUBSTITUTE(C5, $L$3, $L$2)</f>
        <v>Ability_Wisdom</v>
      </c>
      <c r="M5" s="81">
        <v>2</v>
      </c>
      <c r="N5" s="83" t="s">
        <v>1009</v>
      </c>
      <c r="O5" s="83" t="s">
        <v>1010</v>
      </c>
    </row>
    <row r="6" spans="1:15" x14ac:dyDescent="0.3">
      <c r="B6" s="9">
        <f t="shared" ref="B6:B69" si="1">B5+1</f>
        <v>3</v>
      </c>
      <c r="C6" s="9" t="s">
        <v>1011</v>
      </c>
      <c r="D6" s="79" t="s">
        <v>95</v>
      </c>
      <c r="E6" s="60" t="s">
        <v>165</v>
      </c>
      <c r="F6" s="82">
        <v>1</v>
      </c>
      <c r="G6" s="82">
        <v>999999</v>
      </c>
      <c r="H6" s="80" t="s">
        <v>95</v>
      </c>
      <c r="I6" s="80" t="s">
        <v>1003</v>
      </c>
      <c r="J6" s="80" t="s">
        <v>1004</v>
      </c>
      <c r="K6" s="80" t="s">
        <v>1012</v>
      </c>
      <c r="L6" s="80" t="str">
        <f t="shared" si="0"/>
        <v>Ability_Agile</v>
      </c>
      <c r="M6" s="81">
        <v>3</v>
      </c>
      <c r="N6" s="83" t="s">
        <v>1013</v>
      </c>
      <c r="O6" s="83" t="s">
        <v>1014</v>
      </c>
    </row>
    <row r="7" spans="1:15" x14ac:dyDescent="0.3">
      <c r="B7" s="9">
        <f t="shared" si="1"/>
        <v>4</v>
      </c>
      <c r="C7" s="9" t="s">
        <v>1015</v>
      </c>
      <c r="D7" s="79" t="s">
        <v>96</v>
      </c>
      <c r="E7" s="60" t="s">
        <v>165</v>
      </c>
      <c r="F7" s="82">
        <v>1</v>
      </c>
      <c r="G7" s="82">
        <v>999999</v>
      </c>
      <c r="H7" s="80" t="s">
        <v>96</v>
      </c>
      <c r="I7" s="80" t="s">
        <v>1003</v>
      </c>
      <c r="J7" s="80" t="s">
        <v>1004</v>
      </c>
      <c r="K7" s="80" t="s">
        <v>1016</v>
      </c>
      <c r="L7" s="80" t="str">
        <f t="shared" si="0"/>
        <v>Ability_Constitution</v>
      </c>
      <c r="M7" s="81">
        <v>4</v>
      </c>
      <c r="N7" s="83" t="s">
        <v>1017</v>
      </c>
      <c r="O7" s="83" t="s">
        <v>1018</v>
      </c>
    </row>
    <row r="8" spans="1:15" x14ac:dyDescent="0.3">
      <c r="B8" s="9">
        <f t="shared" si="1"/>
        <v>5</v>
      </c>
      <c r="C8" s="9" t="s">
        <v>1019</v>
      </c>
      <c r="D8" s="79" t="s">
        <v>97</v>
      </c>
      <c r="E8" s="60" t="s">
        <v>165</v>
      </c>
      <c r="F8" s="82">
        <v>1</v>
      </c>
      <c r="G8" s="82">
        <v>999999</v>
      </c>
      <c r="H8" s="80" t="s">
        <v>97</v>
      </c>
      <c r="I8" s="80" t="s">
        <v>1003</v>
      </c>
      <c r="J8" s="80" t="s">
        <v>1004</v>
      </c>
      <c r="K8" s="80" t="s">
        <v>1020</v>
      </c>
      <c r="L8" s="80" t="str">
        <f t="shared" si="0"/>
        <v>Ability_Direction</v>
      </c>
      <c r="M8" s="81">
        <v>5</v>
      </c>
      <c r="N8" s="83" t="s">
        <v>1021</v>
      </c>
      <c r="O8" s="83" t="s">
        <v>1022</v>
      </c>
    </row>
    <row r="9" spans="1:15" x14ac:dyDescent="0.3">
      <c r="B9" s="9">
        <f t="shared" si="1"/>
        <v>6</v>
      </c>
      <c r="C9" s="9" t="s">
        <v>1023</v>
      </c>
      <c r="D9" s="79" t="s">
        <v>115</v>
      </c>
      <c r="E9" s="60" t="s">
        <v>165</v>
      </c>
      <c r="F9" s="82">
        <v>1</v>
      </c>
      <c r="G9" s="82">
        <v>999999</v>
      </c>
      <c r="H9" s="80" t="s">
        <v>1024</v>
      </c>
      <c r="I9" s="80" t="s">
        <v>1003</v>
      </c>
      <c r="J9" s="80" t="s">
        <v>1025</v>
      </c>
      <c r="K9" s="80" t="s">
        <v>1026</v>
      </c>
      <c r="L9" s="80" t="str">
        <f t="shared" si="0"/>
        <v>Ability_Hp</v>
      </c>
      <c r="M9" s="81">
        <v>23</v>
      </c>
      <c r="N9" s="83" t="s">
        <v>115</v>
      </c>
      <c r="O9" s="83" t="s">
        <v>1027</v>
      </c>
    </row>
    <row r="10" spans="1:15" x14ac:dyDescent="0.3">
      <c r="B10" s="9">
        <f t="shared" si="1"/>
        <v>7</v>
      </c>
      <c r="C10" s="9" t="s">
        <v>1028</v>
      </c>
      <c r="D10" s="79" t="s">
        <v>1029</v>
      </c>
      <c r="E10" s="60" t="s">
        <v>165</v>
      </c>
      <c r="F10" s="82">
        <v>1</v>
      </c>
      <c r="G10" s="82">
        <v>999999</v>
      </c>
      <c r="H10" s="80" t="s">
        <v>1029</v>
      </c>
      <c r="I10" s="80" t="s">
        <v>1003</v>
      </c>
      <c r="J10" s="80" t="s">
        <v>1025</v>
      </c>
      <c r="K10" s="80" t="s">
        <v>1030</v>
      </c>
      <c r="L10" s="80" t="str">
        <f t="shared" si="0"/>
        <v>Ability_Stamina</v>
      </c>
      <c r="M10" s="81">
        <v>24</v>
      </c>
      <c r="N10" s="83" t="s">
        <v>116</v>
      </c>
      <c r="O10" s="83" t="s">
        <v>1031</v>
      </c>
    </row>
    <row r="11" spans="1:15" x14ac:dyDescent="0.3">
      <c r="B11" s="9">
        <f t="shared" si="1"/>
        <v>8</v>
      </c>
      <c r="C11" s="9" t="s">
        <v>1032</v>
      </c>
      <c r="D11" s="79" t="s">
        <v>117</v>
      </c>
      <c r="E11" s="60" t="s">
        <v>165</v>
      </c>
      <c r="F11" s="82">
        <v>1</v>
      </c>
      <c r="G11" s="82">
        <v>999999</v>
      </c>
      <c r="H11" s="80" t="s">
        <v>117</v>
      </c>
      <c r="I11" s="80" t="s">
        <v>1003</v>
      </c>
      <c r="J11" s="80" t="s">
        <v>1025</v>
      </c>
      <c r="K11" s="80" t="s">
        <v>1033</v>
      </c>
      <c r="L11" s="80" t="str">
        <f t="shared" si="0"/>
        <v>Ability_Electric</v>
      </c>
      <c r="M11" s="81">
        <v>25</v>
      </c>
      <c r="N11" s="83" t="s">
        <v>1034</v>
      </c>
      <c r="O11" s="83" t="s">
        <v>1035</v>
      </c>
    </row>
    <row r="12" spans="1:15" x14ac:dyDescent="0.3">
      <c r="B12" s="9">
        <f t="shared" si="1"/>
        <v>9</v>
      </c>
      <c r="C12" s="9" t="s">
        <v>1036</v>
      </c>
      <c r="D12" s="79" t="s">
        <v>118</v>
      </c>
      <c r="E12" s="60" t="s">
        <v>165</v>
      </c>
      <c r="F12" s="82">
        <v>1</v>
      </c>
      <c r="G12" s="82">
        <v>999999</v>
      </c>
      <c r="H12" s="80" t="s">
        <v>118</v>
      </c>
      <c r="I12" s="80" t="s">
        <v>1003</v>
      </c>
      <c r="J12" s="80" t="s">
        <v>1025</v>
      </c>
      <c r="K12" s="80" t="s">
        <v>1037</v>
      </c>
      <c r="L12" s="80" t="str">
        <f t="shared" si="0"/>
        <v>Ability_Mana</v>
      </c>
      <c r="M12" s="81">
        <v>26</v>
      </c>
      <c r="N12" s="83" t="s">
        <v>1038</v>
      </c>
      <c r="O12" s="83" t="s">
        <v>1039</v>
      </c>
    </row>
    <row r="13" spans="1:15" x14ac:dyDescent="0.3">
      <c r="B13" s="9">
        <f t="shared" si="1"/>
        <v>10</v>
      </c>
      <c r="C13" s="9" t="s">
        <v>1040</v>
      </c>
      <c r="D13" s="79" t="s">
        <v>1396</v>
      </c>
      <c r="E13" s="60" t="s">
        <v>167</v>
      </c>
      <c r="F13" s="3">
        <v>0</v>
      </c>
      <c r="G13" s="3">
        <v>10000</v>
      </c>
      <c r="H13" s="84" t="s">
        <v>1041</v>
      </c>
      <c r="I13" s="80" t="s">
        <v>1003</v>
      </c>
      <c r="J13" s="80" t="s">
        <v>1025</v>
      </c>
      <c r="K13" s="84" t="s">
        <v>1042</v>
      </c>
      <c r="L13" s="80" t="str">
        <f t="shared" si="0"/>
        <v>Ability_Recover_Hp</v>
      </c>
      <c r="M13" s="81">
        <v>27</v>
      </c>
      <c r="N13" s="83" t="s">
        <v>1043</v>
      </c>
      <c r="O13" s="83" t="s">
        <v>1044</v>
      </c>
    </row>
    <row r="14" spans="1:15" x14ac:dyDescent="0.3">
      <c r="B14" s="9">
        <f t="shared" si="1"/>
        <v>11</v>
      </c>
      <c r="C14" s="9" t="s">
        <v>1045</v>
      </c>
      <c r="D14" s="79" t="s">
        <v>1397</v>
      </c>
      <c r="E14" s="60" t="s">
        <v>167</v>
      </c>
      <c r="F14" s="3">
        <v>0</v>
      </c>
      <c r="G14" s="3">
        <v>10000</v>
      </c>
      <c r="H14" s="84" t="s">
        <v>1046</v>
      </c>
      <c r="I14" s="80" t="s">
        <v>1003</v>
      </c>
      <c r="J14" s="80" t="s">
        <v>1025</v>
      </c>
      <c r="K14" s="84" t="s">
        <v>1047</v>
      </c>
      <c r="L14" s="80" t="str">
        <f t="shared" si="0"/>
        <v>Ability_Recover_Stamina</v>
      </c>
      <c r="M14" s="81">
        <v>28</v>
      </c>
      <c r="N14" s="83" t="s">
        <v>1048</v>
      </c>
      <c r="O14" s="83" t="s">
        <v>1049</v>
      </c>
    </row>
    <row r="15" spans="1:15" x14ac:dyDescent="0.3">
      <c r="B15" s="9">
        <f t="shared" si="1"/>
        <v>12</v>
      </c>
      <c r="C15" s="9" t="s">
        <v>1050</v>
      </c>
      <c r="D15" s="79" t="s">
        <v>1398</v>
      </c>
      <c r="E15" s="60" t="s">
        <v>167</v>
      </c>
      <c r="F15" s="3">
        <v>0</v>
      </c>
      <c r="G15" s="3">
        <v>10000</v>
      </c>
      <c r="H15" s="84" t="s">
        <v>1051</v>
      </c>
      <c r="I15" s="80" t="s">
        <v>1003</v>
      </c>
      <c r="J15" s="80" t="s">
        <v>1025</v>
      </c>
      <c r="K15" s="84" t="s">
        <v>1052</v>
      </c>
      <c r="L15" s="80" t="str">
        <f t="shared" si="0"/>
        <v>Ability_Recover_Electic</v>
      </c>
      <c r="M15" s="81">
        <v>29</v>
      </c>
      <c r="N15" s="83" t="s">
        <v>1053</v>
      </c>
      <c r="O15" s="83" t="s">
        <v>1054</v>
      </c>
    </row>
    <row r="16" spans="1:15" x14ac:dyDescent="0.3">
      <c r="B16" s="9">
        <f t="shared" si="1"/>
        <v>13</v>
      </c>
      <c r="C16" s="9" t="s">
        <v>1055</v>
      </c>
      <c r="D16" s="79" t="s">
        <v>1399</v>
      </c>
      <c r="E16" s="60" t="s">
        <v>167</v>
      </c>
      <c r="F16" s="3">
        <v>0</v>
      </c>
      <c r="G16" s="3">
        <v>10000</v>
      </c>
      <c r="H16" s="84" t="s">
        <v>1056</v>
      </c>
      <c r="I16" s="80" t="s">
        <v>1003</v>
      </c>
      <c r="J16" s="80" t="s">
        <v>1025</v>
      </c>
      <c r="K16" s="84" t="s">
        <v>1057</v>
      </c>
      <c r="L16" s="80" t="str">
        <f t="shared" si="0"/>
        <v>Ability_Recover_Mana</v>
      </c>
      <c r="M16" s="81">
        <v>30</v>
      </c>
      <c r="N16" s="83" t="s">
        <v>1058</v>
      </c>
      <c r="O16" s="83" t="s">
        <v>1059</v>
      </c>
    </row>
    <row r="17" spans="2:15" x14ac:dyDescent="0.3">
      <c r="B17" s="9">
        <f t="shared" si="1"/>
        <v>14</v>
      </c>
      <c r="C17" s="9" t="s">
        <v>1060</v>
      </c>
      <c r="D17" s="79" t="s">
        <v>1400</v>
      </c>
      <c r="E17" s="60" t="s">
        <v>167</v>
      </c>
      <c r="F17" s="3">
        <v>-99999</v>
      </c>
      <c r="G17" s="3">
        <v>10000</v>
      </c>
      <c r="H17" s="84" t="s">
        <v>1061</v>
      </c>
      <c r="I17" s="80" t="s">
        <v>1062</v>
      </c>
      <c r="J17" s="80" t="s">
        <v>1025</v>
      </c>
      <c r="K17" s="84" t="s">
        <v>1063</v>
      </c>
      <c r="L17" s="80" t="str">
        <f t="shared" si="0"/>
        <v>Ability_Skill_Stamina</v>
      </c>
      <c r="M17" s="81" t="e">
        <v>#N/A</v>
      </c>
      <c r="N17" s="83" t="s">
        <v>1064</v>
      </c>
      <c r="O17" s="83" t="e">
        <v>#N/A</v>
      </c>
    </row>
    <row r="18" spans="2:15" x14ac:dyDescent="0.3">
      <c r="B18" s="9">
        <f t="shared" si="1"/>
        <v>15</v>
      </c>
      <c r="C18" s="9" t="s">
        <v>1065</v>
      </c>
      <c r="D18" s="79" t="s">
        <v>1401</v>
      </c>
      <c r="E18" s="60" t="s">
        <v>167</v>
      </c>
      <c r="F18" s="3">
        <v>-99999</v>
      </c>
      <c r="G18" s="3">
        <v>10000</v>
      </c>
      <c r="H18" s="84" t="s">
        <v>1066</v>
      </c>
      <c r="I18" s="80" t="s">
        <v>1062</v>
      </c>
      <c r="J18" s="80" t="s">
        <v>1025</v>
      </c>
      <c r="K18" s="84" t="s">
        <v>1067</v>
      </c>
      <c r="L18" s="80" t="str">
        <f t="shared" si="0"/>
        <v>Ability_Skill_Electic</v>
      </c>
      <c r="M18" s="81" t="e">
        <v>#N/A</v>
      </c>
      <c r="N18" s="83" t="s">
        <v>1064</v>
      </c>
      <c r="O18" s="83" t="e">
        <v>#N/A</v>
      </c>
    </row>
    <row r="19" spans="2:15" x14ac:dyDescent="0.3">
      <c r="B19" s="9">
        <f t="shared" si="1"/>
        <v>16</v>
      </c>
      <c r="C19" s="9" t="s">
        <v>1068</v>
      </c>
      <c r="D19" s="79" t="s">
        <v>1402</v>
      </c>
      <c r="E19" s="60" t="s">
        <v>167</v>
      </c>
      <c r="F19" s="3">
        <v>-99999</v>
      </c>
      <c r="G19" s="3">
        <v>10000</v>
      </c>
      <c r="H19" s="84" t="s">
        <v>1069</v>
      </c>
      <c r="I19" s="80" t="s">
        <v>1062</v>
      </c>
      <c r="J19" s="80" t="s">
        <v>1025</v>
      </c>
      <c r="K19" s="84" t="s">
        <v>1070</v>
      </c>
      <c r="L19" s="80" t="str">
        <f t="shared" si="0"/>
        <v>Ability_Skill_Mana</v>
      </c>
      <c r="M19" s="81" t="e">
        <v>#N/A</v>
      </c>
      <c r="N19" s="83" t="s">
        <v>1064</v>
      </c>
      <c r="O19" s="83" t="e">
        <v>#N/A</v>
      </c>
    </row>
    <row r="20" spans="2:15" x14ac:dyDescent="0.3">
      <c r="B20" s="9">
        <f t="shared" si="1"/>
        <v>17</v>
      </c>
      <c r="C20" s="9" t="s">
        <v>1071</v>
      </c>
      <c r="D20" s="79" t="s">
        <v>1072</v>
      </c>
      <c r="E20" s="60" t="s">
        <v>166</v>
      </c>
      <c r="F20" s="82">
        <v>1</v>
      </c>
      <c r="G20" s="82">
        <v>999999</v>
      </c>
      <c r="H20" s="80" t="s">
        <v>1072</v>
      </c>
      <c r="I20" s="80" t="s">
        <v>1003</v>
      </c>
      <c r="J20" s="80" t="s">
        <v>1073</v>
      </c>
      <c r="K20" s="80" t="s">
        <v>1074</v>
      </c>
      <c r="L20" s="80" t="str">
        <f t="shared" si="0"/>
        <v>Ability_Damage_Min_P</v>
      </c>
      <c r="M20" s="81">
        <v>9</v>
      </c>
      <c r="N20" s="83" t="s">
        <v>1075</v>
      </c>
      <c r="O20" s="83" t="s">
        <v>1071</v>
      </c>
    </row>
    <row r="21" spans="2:15" x14ac:dyDescent="0.3">
      <c r="B21" s="9">
        <f t="shared" si="1"/>
        <v>18</v>
      </c>
      <c r="C21" s="9" t="s">
        <v>1076</v>
      </c>
      <c r="D21" s="79" t="s">
        <v>1077</v>
      </c>
      <c r="E21" s="60" t="s">
        <v>166</v>
      </c>
      <c r="F21" s="82">
        <v>1</v>
      </c>
      <c r="G21" s="82">
        <v>999999</v>
      </c>
      <c r="H21" s="80" t="s">
        <v>1077</v>
      </c>
      <c r="I21" s="80" t="s">
        <v>1003</v>
      </c>
      <c r="J21" s="80" t="s">
        <v>1073</v>
      </c>
      <c r="K21" s="80" t="s">
        <v>1078</v>
      </c>
      <c r="L21" s="80" t="str">
        <f t="shared" si="0"/>
        <v>Ability_Damage_Max_P</v>
      </c>
      <c r="M21" s="81">
        <v>12</v>
      </c>
      <c r="N21" s="83" t="s">
        <v>104</v>
      </c>
      <c r="O21" s="83" t="s">
        <v>1076</v>
      </c>
    </row>
    <row r="22" spans="2:15" x14ac:dyDescent="0.3">
      <c r="B22" s="9">
        <f t="shared" si="1"/>
        <v>19</v>
      </c>
      <c r="C22" s="9" t="s">
        <v>1079</v>
      </c>
      <c r="D22" s="79" t="s">
        <v>1080</v>
      </c>
      <c r="E22" s="60" t="s">
        <v>166</v>
      </c>
      <c r="F22" s="82">
        <v>1</v>
      </c>
      <c r="G22" s="82">
        <v>999999</v>
      </c>
      <c r="H22" s="80" t="s">
        <v>1080</v>
      </c>
      <c r="I22" s="80" t="s">
        <v>1003</v>
      </c>
      <c r="J22" s="80" t="s">
        <v>1073</v>
      </c>
      <c r="K22" s="80" t="s">
        <v>1081</v>
      </c>
      <c r="L22" s="80" t="str">
        <f t="shared" si="0"/>
        <v>Ability_Damage_Min_M</v>
      </c>
      <c r="M22" s="81">
        <v>10</v>
      </c>
      <c r="N22" s="83" t="s">
        <v>1082</v>
      </c>
      <c r="O22" s="83" t="s">
        <v>1079</v>
      </c>
    </row>
    <row r="23" spans="2:15" x14ac:dyDescent="0.3">
      <c r="B23" s="9">
        <f t="shared" si="1"/>
        <v>20</v>
      </c>
      <c r="C23" s="9" t="s">
        <v>1083</v>
      </c>
      <c r="D23" s="79" t="s">
        <v>1084</v>
      </c>
      <c r="E23" s="60" t="s">
        <v>166</v>
      </c>
      <c r="F23" s="82">
        <v>1</v>
      </c>
      <c r="G23" s="82">
        <v>999999</v>
      </c>
      <c r="H23" s="80" t="s">
        <v>1084</v>
      </c>
      <c r="I23" s="80" t="s">
        <v>1003</v>
      </c>
      <c r="J23" s="80" t="s">
        <v>1073</v>
      </c>
      <c r="K23" s="80" t="s">
        <v>1085</v>
      </c>
      <c r="L23" s="80" t="str">
        <f t="shared" si="0"/>
        <v>Ability_Damage_Max_M</v>
      </c>
      <c r="M23" s="81">
        <v>13</v>
      </c>
      <c r="N23" s="83" t="s">
        <v>105</v>
      </c>
      <c r="O23" s="83" t="s">
        <v>1083</v>
      </c>
    </row>
    <row r="24" spans="2:15" x14ac:dyDescent="0.3">
      <c r="B24" s="9">
        <f t="shared" si="1"/>
        <v>21</v>
      </c>
      <c r="C24" s="9" t="s">
        <v>1086</v>
      </c>
      <c r="D24" s="79" t="s">
        <v>1087</v>
      </c>
      <c r="E24" s="60" t="s">
        <v>165</v>
      </c>
      <c r="F24" s="82">
        <v>1</v>
      </c>
      <c r="G24" s="82">
        <v>999999</v>
      </c>
      <c r="H24" s="80" t="s">
        <v>1088</v>
      </c>
      <c r="I24" s="80" t="s">
        <v>1003</v>
      </c>
      <c r="J24" s="80" t="s">
        <v>1073</v>
      </c>
      <c r="K24" s="80" t="s">
        <v>1089</v>
      </c>
      <c r="L24" s="80" t="str">
        <f t="shared" si="0"/>
        <v>Ability_Damage_Reduce_P</v>
      </c>
      <c r="M24" s="81">
        <v>18</v>
      </c>
      <c r="N24" s="83" t="s">
        <v>1090</v>
      </c>
      <c r="O24" s="83" t="s">
        <v>1091</v>
      </c>
    </row>
    <row r="25" spans="2:15" x14ac:dyDescent="0.3">
      <c r="B25" s="9">
        <f t="shared" si="1"/>
        <v>22</v>
      </c>
      <c r="C25" s="9" t="s">
        <v>1092</v>
      </c>
      <c r="D25" s="79" t="s">
        <v>1093</v>
      </c>
      <c r="E25" s="60" t="s">
        <v>165</v>
      </c>
      <c r="F25" s="82">
        <v>1</v>
      </c>
      <c r="G25" s="82">
        <v>999999</v>
      </c>
      <c r="H25" s="80" t="s">
        <v>1094</v>
      </c>
      <c r="I25" s="80" t="s">
        <v>1003</v>
      </c>
      <c r="J25" s="80" t="s">
        <v>1073</v>
      </c>
      <c r="K25" s="80" t="s">
        <v>1095</v>
      </c>
      <c r="L25" s="80" t="str">
        <f t="shared" si="0"/>
        <v>Ability_Damage_Reduce_M</v>
      </c>
      <c r="M25" s="81">
        <v>19</v>
      </c>
      <c r="N25" s="83" t="s">
        <v>1096</v>
      </c>
      <c r="O25" s="83" t="s">
        <v>1097</v>
      </c>
    </row>
    <row r="26" spans="2:15" x14ac:dyDescent="0.3">
      <c r="B26" s="9">
        <f t="shared" si="1"/>
        <v>23</v>
      </c>
      <c r="C26" s="9" t="s">
        <v>1098</v>
      </c>
      <c r="D26" s="2" t="s">
        <v>108</v>
      </c>
      <c r="E26" s="60" t="s">
        <v>167</v>
      </c>
      <c r="F26" s="82">
        <v>0</v>
      </c>
      <c r="G26" s="82">
        <v>10000</v>
      </c>
      <c r="H26" s="85" t="s">
        <v>108</v>
      </c>
      <c r="I26" s="80" t="s">
        <v>1003</v>
      </c>
      <c r="J26" s="80" t="s">
        <v>1073</v>
      </c>
      <c r="K26" s="80" t="s">
        <v>1099</v>
      </c>
      <c r="L26" s="80" t="str">
        <f t="shared" si="0"/>
        <v>Ability_Critical</v>
      </c>
      <c r="M26" s="81">
        <v>16</v>
      </c>
      <c r="N26" s="83" t="s">
        <v>1100</v>
      </c>
      <c r="O26" s="83" t="s">
        <v>1101</v>
      </c>
    </row>
    <row r="27" spans="2:15" x14ac:dyDescent="0.3">
      <c r="B27" s="9">
        <f t="shared" si="1"/>
        <v>24</v>
      </c>
      <c r="C27" s="9" t="s">
        <v>1102</v>
      </c>
      <c r="D27" s="79" t="s">
        <v>107</v>
      </c>
      <c r="E27" s="60" t="s">
        <v>167</v>
      </c>
      <c r="F27" s="82">
        <v>1</v>
      </c>
      <c r="G27" s="82">
        <v>999999</v>
      </c>
      <c r="H27" s="80" t="s">
        <v>107</v>
      </c>
      <c r="I27" s="80" t="s">
        <v>1103</v>
      </c>
      <c r="J27" s="80" t="s">
        <v>1073</v>
      </c>
      <c r="K27" s="80" t="s">
        <v>1104</v>
      </c>
      <c r="L27" s="80" t="str">
        <f t="shared" si="0"/>
        <v>Ability_Critical_Damage</v>
      </c>
      <c r="M27" s="81">
        <v>15</v>
      </c>
      <c r="N27" s="83" t="s">
        <v>1105</v>
      </c>
      <c r="O27" s="83" t="s">
        <v>1106</v>
      </c>
    </row>
    <row r="28" spans="2:15" x14ac:dyDescent="0.3">
      <c r="B28" s="9">
        <f t="shared" si="1"/>
        <v>25</v>
      </c>
      <c r="C28" s="9" t="s">
        <v>1107</v>
      </c>
      <c r="D28" s="79" t="s">
        <v>1108</v>
      </c>
      <c r="E28" s="60" t="s">
        <v>167</v>
      </c>
      <c r="F28" s="82">
        <v>0</v>
      </c>
      <c r="G28" s="82">
        <v>10000</v>
      </c>
      <c r="H28" s="80" t="s">
        <v>1109</v>
      </c>
      <c r="I28" s="80" t="s">
        <v>1110</v>
      </c>
      <c r="J28" s="80" t="s">
        <v>1073</v>
      </c>
      <c r="K28" s="80" t="s">
        <v>1111</v>
      </c>
      <c r="L28" s="80" t="str">
        <f>SUBSTITUTE(C28, $L$3, $L$2)</f>
        <v>Ability_Penetrate_P</v>
      </c>
      <c r="M28" s="81" t="e">
        <v>#N/A</v>
      </c>
      <c r="N28" s="83" t="s">
        <v>1064</v>
      </c>
      <c r="O28" s="83" t="e">
        <v>#N/A</v>
      </c>
    </row>
    <row r="29" spans="2:15" x14ac:dyDescent="0.3">
      <c r="B29" s="9">
        <f t="shared" si="1"/>
        <v>26</v>
      </c>
      <c r="C29" s="9" t="s">
        <v>1112</v>
      </c>
      <c r="D29" s="79" t="s">
        <v>1113</v>
      </c>
      <c r="E29" s="60" t="s">
        <v>167</v>
      </c>
      <c r="F29" s="82">
        <v>0</v>
      </c>
      <c r="G29" s="82">
        <v>10000</v>
      </c>
      <c r="H29" s="80" t="s">
        <v>1114</v>
      </c>
      <c r="I29" s="80" t="s">
        <v>1115</v>
      </c>
      <c r="J29" s="80" t="s">
        <v>1073</v>
      </c>
      <c r="K29" s="80" t="s">
        <v>1116</v>
      </c>
      <c r="L29" s="80" t="str">
        <f>SUBSTITUTE(C29, $L$3, $L$2)</f>
        <v>Ability_Penetrate_M</v>
      </c>
      <c r="M29" s="81" t="e">
        <v>#N/A</v>
      </c>
      <c r="N29" s="83" t="s">
        <v>1064</v>
      </c>
      <c r="O29" s="83" t="e">
        <v>#N/A</v>
      </c>
    </row>
    <row r="30" spans="2:15" x14ac:dyDescent="0.3">
      <c r="B30" s="9">
        <f t="shared" si="1"/>
        <v>27</v>
      </c>
      <c r="C30" s="9" t="s">
        <v>1117</v>
      </c>
      <c r="D30" s="79" t="s">
        <v>1118</v>
      </c>
      <c r="E30" s="60" t="s">
        <v>167</v>
      </c>
      <c r="F30" s="82">
        <v>0</v>
      </c>
      <c r="G30" s="82">
        <v>10000</v>
      </c>
      <c r="H30" s="80" t="s">
        <v>1119</v>
      </c>
      <c r="I30" s="80" t="s">
        <v>1120</v>
      </c>
      <c r="J30" s="80" t="s">
        <v>1073</v>
      </c>
      <c r="K30" s="80" t="s">
        <v>1121</v>
      </c>
      <c r="L30" s="80" t="str">
        <f>SUBSTITUTE(C30, $L$3, $L$2)</f>
        <v>Ability_Block_P</v>
      </c>
      <c r="M30" s="81" t="e">
        <v>#N/A</v>
      </c>
      <c r="N30" s="83" t="s">
        <v>1064</v>
      </c>
      <c r="O30" s="83" t="e">
        <v>#N/A</v>
      </c>
    </row>
    <row r="31" spans="2:15" x14ac:dyDescent="0.3">
      <c r="B31" s="9">
        <f t="shared" si="1"/>
        <v>28</v>
      </c>
      <c r="C31" s="9" t="s">
        <v>1122</v>
      </c>
      <c r="D31" s="79" t="s">
        <v>1123</v>
      </c>
      <c r="E31" s="60" t="s">
        <v>167</v>
      </c>
      <c r="F31" s="82">
        <v>0</v>
      </c>
      <c r="G31" s="82">
        <v>10000</v>
      </c>
      <c r="H31" s="80" t="s">
        <v>1124</v>
      </c>
      <c r="I31" s="80" t="s">
        <v>1125</v>
      </c>
      <c r="J31" s="80" t="s">
        <v>1073</v>
      </c>
      <c r="K31" s="80" t="s">
        <v>1126</v>
      </c>
      <c r="L31" s="80" t="str">
        <f>SUBSTITUTE(C31, $L$3, $L$2)</f>
        <v>Ability_Block_M</v>
      </c>
      <c r="M31" s="81" t="e">
        <v>#N/A</v>
      </c>
      <c r="N31" s="83" t="s">
        <v>1064</v>
      </c>
      <c r="O31" s="83" t="e">
        <v>#N/A</v>
      </c>
    </row>
    <row r="32" spans="2:15" x14ac:dyDescent="0.3">
      <c r="B32" s="9">
        <f t="shared" si="1"/>
        <v>29</v>
      </c>
      <c r="C32" s="9" t="s">
        <v>1127</v>
      </c>
      <c r="D32" s="79" t="s">
        <v>114</v>
      </c>
      <c r="E32" s="60" t="s">
        <v>167</v>
      </c>
      <c r="F32" s="82">
        <v>0</v>
      </c>
      <c r="G32" s="82">
        <v>10000</v>
      </c>
      <c r="H32" s="80" t="s">
        <v>114</v>
      </c>
      <c r="I32" s="80" t="s">
        <v>1128</v>
      </c>
      <c r="J32" s="80" t="s">
        <v>1073</v>
      </c>
      <c r="K32" s="80" t="s">
        <v>1129</v>
      </c>
      <c r="L32" s="80" t="str">
        <f t="shared" si="0"/>
        <v>Ability_Accuracy</v>
      </c>
      <c r="M32" s="81">
        <v>22</v>
      </c>
      <c r="N32" s="83" t="s">
        <v>1130</v>
      </c>
      <c r="O32" s="83" t="s">
        <v>1131</v>
      </c>
    </row>
    <row r="33" spans="2:15" x14ac:dyDescent="0.3">
      <c r="B33" s="9">
        <f t="shared" si="1"/>
        <v>30</v>
      </c>
      <c r="C33" s="9" t="s">
        <v>1132</v>
      </c>
      <c r="D33" s="79" t="s">
        <v>1133</v>
      </c>
      <c r="E33" s="60" t="s">
        <v>167</v>
      </c>
      <c r="F33" s="82">
        <v>0</v>
      </c>
      <c r="G33" s="82">
        <v>10000</v>
      </c>
      <c r="H33" s="80" t="s">
        <v>1133</v>
      </c>
      <c r="I33" s="80" t="s">
        <v>1128</v>
      </c>
      <c r="J33" s="80" t="s">
        <v>1073</v>
      </c>
      <c r="K33" s="80" t="s">
        <v>1134</v>
      </c>
      <c r="L33" s="80" t="str">
        <f t="shared" si="0"/>
        <v>Ability_Evasion</v>
      </c>
      <c r="M33" s="81" t="e">
        <v>#N/A</v>
      </c>
      <c r="N33" s="83" t="s">
        <v>1064</v>
      </c>
      <c r="O33" s="83" t="e">
        <v>#N/A</v>
      </c>
    </row>
    <row r="34" spans="2:15" x14ac:dyDescent="0.3">
      <c r="B34" s="9">
        <f t="shared" si="1"/>
        <v>31</v>
      </c>
      <c r="C34" s="9" t="s">
        <v>1135</v>
      </c>
      <c r="D34" s="79" t="s">
        <v>123</v>
      </c>
      <c r="E34" s="60" t="s">
        <v>1136</v>
      </c>
      <c r="F34" s="82">
        <v>1</v>
      </c>
      <c r="G34" s="82">
        <v>999999</v>
      </c>
      <c r="H34" s="80" t="s">
        <v>1137</v>
      </c>
      <c r="I34" s="80" t="s">
        <v>1138</v>
      </c>
      <c r="J34" s="80" t="s">
        <v>1073</v>
      </c>
      <c r="K34" s="80" t="s">
        <v>1139</v>
      </c>
      <c r="L34" s="80" t="str">
        <f t="shared" si="0"/>
        <v>Ability_Speed_Attack</v>
      </c>
      <c r="M34" s="81">
        <v>31</v>
      </c>
      <c r="N34" s="83" t="s">
        <v>1140</v>
      </c>
      <c r="O34" s="83" t="s">
        <v>1141</v>
      </c>
    </row>
    <row r="35" spans="2:15" x14ac:dyDescent="0.3">
      <c r="B35" s="9">
        <f t="shared" si="1"/>
        <v>32</v>
      </c>
      <c r="C35" s="9" t="s">
        <v>1142</v>
      </c>
      <c r="D35" s="79" t="s">
        <v>1143</v>
      </c>
      <c r="E35" s="60" t="s">
        <v>1136</v>
      </c>
      <c r="F35" s="82">
        <v>1</v>
      </c>
      <c r="G35" s="82">
        <v>999999</v>
      </c>
      <c r="H35" s="80" t="s">
        <v>1144</v>
      </c>
      <c r="I35" s="80" t="s">
        <v>1145</v>
      </c>
      <c r="J35" s="80" t="s">
        <v>1073</v>
      </c>
      <c r="K35" s="80" t="s">
        <v>1146</v>
      </c>
      <c r="L35" s="80" t="str">
        <f t="shared" si="0"/>
        <v>Ability_Speed_Casting</v>
      </c>
      <c r="M35" s="81">
        <v>32</v>
      </c>
      <c r="N35" s="83" t="s">
        <v>1147</v>
      </c>
      <c r="O35" s="83" t="s">
        <v>1148</v>
      </c>
    </row>
    <row r="36" spans="2:15" x14ac:dyDescent="0.3">
      <c r="B36" s="9">
        <f t="shared" si="1"/>
        <v>33</v>
      </c>
      <c r="C36" s="9" t="s">
        <v>1149</v>
      </c>
      <c r="D36" s="79" t="s">
        <v>125</v>
      </c>
      <c r="E36" s="60" t="s">
        <v>1136</v>
      </c>
      <c r="F36" s="82">
        <v>1</v>
      </c>
      <c r="G36" s="82">
        <v>999999</v>
      </c>
      <c r="H36" s="80" t="s">
        <v>1150</v>
      </c>
      <c r="I36" s="80" t="s">
        <v>1138</v>
      </c>
      <c r="J36" s="80" t="s">
        <v>1073</v>
      </c>
      <c r="K36" s="80" t="s">
        <v>1151</v>
      </c>
      <c r="L36" s="80" t="str">
        <f t="shared" si="0"/>
        <v>Ability_Speed_Move</v>
      </c>
      <c r="M36" s="81">
        <v>33</v>
      </c>
      <c r="N36" s="83" t="s">
        <v>1152</v>
      </c>
      <c r="O36" s="83" t="s">
        <v>1153</v>
      </c>
    </row>
    <row r="37" spans="2:15" x14ac:dyDescent="0.3">
      <c r="B37" s="9">
        <f t="shared" si="1"/>
        <v>34</v>
      </c>
      <c r="C37" s="9" t="s">
        <v>1154</v>
      </c>
      <c r="D37" s="79" t="s">
        <v>126</v>
      </c>
      <c r="E37" s="60" t="s">
        <v>1136</v>
      </c>
      <c r="F37" s="82">
        <v>1</v>
      </c>
      <c r="G37" s="82">
        <v>999999</v>
      </c>
      <c r="H37" s="80" t="s">
        <v>1155</v>
      </c>
      <c r="I37" s="80" t="s">
        <v>1138</v>
      </c>
      <c r="J37" s="80" t="s">
        <v>1073</v>
      </c>
      <c r="K37" s="80" t="s">
        <v>1156</v>
      </c>
      <c r="L37" s="80" t="str">
        <f t="shared" si="0"/>
        <v>Ability_Speed_Mining</v>
      </c>
      <c r="M37" s="81">
        <v>34</v>
      </c>
      <c r="N37" s="83" t="s">
        <v>1157</v>
      </c>
      <c r="O37" s="83" t="s">
        <v>1158</v>
      </c>
    </row>
    <row r="38" spans="2:15" x14ac:dyDescent="0.3">
      <c r="B38" s="9">
        <f t="shared" si="1"/>
        <v>35</v>
      </c>
      <c r="C38" s="9" t="s">
        <v>1159</v>
      </c>
      <c r="D38" s="79" t="s">
        <v>1160</v>
      </c>
      <c r="E38" s="60" t="s">
        <v>165</v>
      </c>
      <c r="F38" s="82">
        <v>1</v>
      </c>
      <c r="G38" s="82">
        <v>999999</v>
      </c>
      <c r="H38" s="80" t="s">
        <v>1161</v>
      </c>
      <c r="I38" s="80" t="s">
        <v>1003</v>
      </c>
      <c r="J38" s="80" t="s">
        <v>1162</v>
      </c>
      <c r="K38" s="80" t="s">
        <v>1163</v>
      </c>
      <c r="L38" s="80" t="str">
        <f t="shared" si="0"/>
        <v>Ability_Vs_Human</v>
      </c>
      <c r="M38" s="81">
        <v>35</v>
      </c>
      <c r="N38" s="83" t="s">
        <v>1164</v>
      </c>
      <c r="O38" s="83" t="s">
        <v>1165</v>
      </c>
    </row>
    <row r="39" spans="2:15" x14ac:dyDescent="0.3">
      <c r="B39" s="9">
        <f t="shared" si="1"/>
        <v>36</v>
      </c>
      <c r="C39" s="9" t="s">
        <v>1166</v>
      </c>
      <c r="D39" s="79" t="s">
        <v>1167</v>
      </c>
      <c r="E39" s="60" t="s">
        <v>165</v>
      </c>
      <c r="F39" s="82">
        <v>1</v>
      </c>
      <c r="G39" s="82">
        <v>999999</v>
      </c>
      <c r="H39" s="80" t="s">
        <v>1168</v>
      </c>
      <c r="I39" s="80" t="s">
        <v>1003</v>
      </c>
      <c r="J39" s="80" t="s">
        <v>1162</v>
      </c>
      <c r="K39" s="80" t="s">
        <v>1169</v>
      </c>
      <c r="L39" s="80" t="str">
        <f t="shared" si="0"/>
        <v>Ability_Vs_Demon</v>
      </c>
      <c r="M39" s="81">
        <v>36</v>
      </c>
      <c r="N39" s="83" t="s">
        <v>128</v>
      </c>
      <c r="O39" s="83" t="s">
        <v>1170</v>
      </c>
    </row>
    <row r="40" spans="2:15" x14ac:dyDescent="0.3">
      <c r="B40" s="9">
        <f t="shared" si="1"/>
        <v>37</v>
      </c>
      <c r="C40" s="9" t="s">
        <v>1171</v>
      </c>
      <c r="D40" s="79" t="s">
        <v>1172</v>
      </c>
      <c r="E40" s="60" t="s">
        <v>165</v>
      </c>
      <c r="F40" s="82">
        <v>1</v>
      </c>
      <c r="G40" s="82">
        <v>999999</v>
      </c>
      <c r="H40" s="80" t="s">
        <v>1173</v>
      </c>
      <c r="I40" s="80" t="s">
        <v>1003</v>
      </c>
      <c r="J40" s="80" t="s">
        <v>1162</v>
      </c>
      <c r="K40" s="80" t="s">
        <v>1174</v>
      </c>
      <c r="L40" s="80" t="str">
        <f t="shared" si="0"/>
        <v>Ability_Vs_Mech</v>
      </c>
      <c r="M40" s="81">
        <v>37</v>
      </c>
      <c r="N40" s="83" t="s">
        <v>129</v>
      </c>
      <c r="O40" s="83" t="s">
        <v>1175</v>
      </c>
    </row>
    <row r="41" spans="2:15" x14ac:dyDescent="0.3">
      <c r="B41" s="9">
        <f t="shared" si="1"/>
        <v>38</v>
      </c>
      <c r="C41" s="9" t="s">
        <v>1176</v>
      </c>
      <c r="D41" s="79" t="s">
        <v>1177</v>
      </c>
      <c r="E41" s="60" t="s">
        <v>165</v>
      </c>
      <c r="F41" s="82">
        <v>1</v>
      </c>
      <c r="G41" s="82">
        <v>999999</v>
      </c>
      <c r="H41" s="80" t="s">
        <v>1178</v>
      </c>
      <c r="I41" s="80" t="s">
        <v>1003</v>
      </c>
      <c r="J41" s="80" t="s">
        <v>1162</v>
      </c>
      <c r="K41" s="80" t="s">
        <v>1179</v>
      </c>
      <c r="L41" s="80" t="str">
        <f t="shared" si="0"/>
        <v>Ability_Vs_Undead</v>
      </c>
      <c r="M41" s="81">
        <v>38</v>
      </c>
      <c r="N41" s="83" t="s">
        <v>130</v>
      </c>
      <c r="O41" s="83" t="s">
        <v>1180</v>
      </c>
    </row>
    <row r="42" spans="2:15" x14ac:dyDescent="0.3">
      <c r="B42" s="9">
        <f t="shared" si="1"/>
        <v>39</v>
      </c>
      <c r="C42" s="9" t="s">
        <v>1181</v>
      </c>
      <c r="D42" s="79" t="s">
        <v>1182</v>
      </c>
      <c r="E42" s="60" t="s">
        <v>165</v>
      </c>
      <c r="F42" s="82">
        <v>1</v>
      </c>
      <c r="G42" s="82">
        <v>999999</v>
      </c>
      <c r="H42" s="80" t="s">
        <v>1183</v>
      </c>
      <c r="I42" s="80" t="s">
        <v>1003</v>
      </c>
      <c r="J42" s="80" t="s">
        <v>1162</v>
      </c>
      <c r="K42" s="80" t="s">
        <v>1184</v>
      </c>
      <c r="L42" s="80" t="str">
        <f t="shared" si="0"/>
        <v>Ability_Vs_Beast</v>
      </c>
      <c r="M42" s="81">
        <v>39</v>
      </c>
      <c r="N42" s="83" t="s">
        <v>131</v>
      </c>
      <c r="O42" s="83" t="s">
        <v>1185</v>
      </c>
    </row>
    <row r="43" spans="2:15" x14ac:dyDescent="0.3">
      <c r="B43" s="9">
        <f t="shared" si="1"/>
        <v>40</v>
      </c>
      <c r="C43" s="9" t="s">
        <v>1186</v>
      </c>
      <c r="D43" s="79" t="s">
        <v>1187</v>
      </c>
      <c r="E43" s="60" t="s">
        <v>167</v>
      </c>
      <c r="F43" s="82">
        <v>0</v>
      </c>
      <c r="G43" s="82">
        <v>10000</v>
      </c>
      <c r="H43" s="80" t="s">
        <v>1188</v>
      </c>
      <c r="I43" s="80" t="s">
        <v>1189</v>
      </c>
      <c r="J43" s="80" t="s">
        <v>1162</v>
      </c>
      <c r="K43" s="80" t="s">
        <v>1190</v>
      </c>
      <c r="L43" s="80" t="str">
        <f t="shared" si="0"/>
        <v>Ability_Reduce_Human</v>
      </c>
      <c r="M43" s="81" t="e">
        <v>#N/A</v>
      </c>
      <c r="N43" s="83" t="s">
        <v>1064</v>
      </c>
      <c r="O43" s="83" t="e">
        <v>#N/A</v>
      </c>
    </row>
    <row r="44" spans="2:15" x14ac:dyDescent="0.3">
      <c r="B44" s="9">
        <f t="shared" si="1"/>
        <v>41</v>
      </c>
      <c r="C44" s="9" t="s">
        <v>1191</v>
      </c>
      <c r="D44" s="79" t="s">
        <v>1192</v>
      </c>
      <c r="E44" s="60" t="s">
        <v>167</v>
      </c>
      <c r="F44" s="82">
        <v>0</v>
      </c>
      <c r="G44" s="82">
        <v>10000</v>
      </c>
      <c r="H44" s="80" t="s">
        <v>1193</v>
      </c>
      <c r="I44" s="80" t="s">
        <v>1189</v>
      </c>
      <c r="J44" s="80" t="s">
        <v>1162</v>
      </c>
      <c r="K44" s="80" t="s">
        <v>1194</v>
      </c>
      <c r="L44" s="80" t="str">
        <f t="shared" si="0"/>
        <v>Ability_Reduce_Demon</v>
      </c>
      <c r="M44" s="81" t="e">
        <v>#N/A</v>
      </c>
      <c r="N44" s="83" t="s">
        <v>1064</v>
      </c>
      <c r="O44" s="83" t="e">
        <v>#N/A</v>
      </c>
    </row>
    <row r="45" spans="2:15" x14ac:dyDescent="0.3">
      <c r="B45" s="9">
        <f t="shared" si="1"/>
        <v>42</v>
      </c>
      <c r="C45" s="9" t="s">
        <v>1195</v>
      </c>
      <c r="D45" s="79" t="s">
        <v>1196</v>
      </c>
      <c r="E45" s="60" t="s">
        <v>167</v>
      </c>
      <c r="F45" s="82">
        <v>0</v>
      </c>
      <c r="G45" s="82">
        <v>10000</v>
      </c>
      <c r="H45" s="80" t="s">
        <v>1197</v>
      </c>
      <c r="I45" s="80" t="s">
        <v>1198</v>
      </c>
      <c r="J45" s="80" t="s">
        <v>1162</v>
      </c>
      <c r="K45" s="80" t="s">
        <v>1199</v>
      </c>
      <c r="L45" s="80" t="str">
        <f t="shared" si="0"/>
        <v>Ability_Reduce_Mech</v>
      </c>
      <c r="M45" s="81" t="e">
        <v>#N/A</v>
      </c>
      <c r="N45" s="83" t="s">
        <v>1064</v>
      </c>
      <c r="O45" s="83" t="e">
        <v>#N/A</v>
      </c>
    </row>
    <row r="46" spans="2:15" x14ac:dyDescent="0.3">
      <c r="B46" s="9">
        <f t="shared" si="1"/>
        <v>43</v>
      </c>
      <c r="C46" s="9" t="s">
        <v>1200</v>
      </c>
      <c r="D46" s="79" t="s">
        <v>1201</v>
      </c>
      <c r="E46" s="60" t="s">
        <v>167</v>
      </c>
      <c r="F46" s="82">
        <v>0</v>
      </c>
      <c r="G46" s="82">
        <v>10000</v>
      </c>
      <c r="H46" s="80" t="s">
        <v>1202</v>
      </c>
      <c r="I46" s="80" t="s">
        <v>1198</v>
      </c>
      <c r="J46" s="80" t="s">
        <v>1162</v>
      </c>
      <c r="K46" s="80" t="s">
        <v>1203</v>
      </c>
      <c r="L46" s="80" t="str">
        <f t="shared" si="0"/>
        <v>Ability_Reduce_Undead</v>
      </c>
      <c r="M46" s="81" t="e">
        <v>#N/A</v>
      </c>
      <c r="N46" s="83" t="s">
        <v>1064</v>
      </c>
      <c r="O46" s="83" t="e">
        <v>#N/A</v>
      </c>
    </row>
    <row r="47" spans="2:15" x14ac:dyDescent="0.3">
      <c r="B47" s="9">
        <f t="shared" si="1"/>
        <v>44</v>
      </c>
      <c r="C47" s="9" t="s">
        <v>1204</v>
      </c>
      <c r="D47" s="79" t="s">
        <v>1205</v>
      </c>
      <c r="E47" s="60" t="s">
        <v>167</v>
      </c>
      <c r="F47" s="82">
        <v>0</v>
      </c>
      <c r="G47" s="82">
        <v>10000</v>
      </c>
      <c r="H47" s="80" t="s">
        <v>1206</v>
      </c>
      <c r="I47" s="80" t="s">
        <v>1198</v>
      </c>
      <c r="J47" s="80" t="s">
        <v>1162</v>
      </c>
      <c r="K47" s="80" t="s">
        <v>1207</v>
      </c>
      <c r="L47" s="80" t="str">
        <f t="shared" si="0"/>
        <v>Ability_Reduce_Beast</v>
      </c>
      <c r="M47" s="81" t="e">
        <v>#N/A</v>
      </c>
      <c r="N47" s="83" t="s">
        <v>1064</v>
      </c>
      <c r="O47" s="83" t="e">
        <v>#N/A</v>
      </c>
    </row>
    <row r="48" spans="2:15" x14ac:dyDescent="0.3">
      <c r="B48" s="9">
        <f t="shared" si="1"/>
        <v>45</v>
      </c>
      <c r="C48" s="9" t="s">
        <v>1208</v>
      </c>
      <c r="D48" s="79" t="s">
        <v>1209</v>
      </c>
      <c r="E48" s="60" t="s">
        <v>166</v>
      </c>
      <c r="F48" s="82">
        <v>0</v>
      </c>
      <c r="G48" s="82">
        <v>99999</v>
      </c>
      <c r="H48" s="80" t="s">
        <v>132</v>
      </c>
      <c r="I48" s="80" t="s">
        <v>1003</v>
      </c>
      <c r="J48" s="80" t="s">
        <v>1162</v>
      </c>
      <c r="K48" s="80" t="s">
        <v>1210</v>
      </c>
      <c r="L48" s="80" t="str">
        <f t="shared" si="0"/>
        <v>Ability_Attribute_Fire</v>
      </c>
      <c r="M48" s="81">
        <v>40</v>
      </c>
      <c r="N48" s="83" t="s">
        <v>132</v>
      </c>
      <c r="O48" s="83" t="s">
        <v>1208</v>
      </c>
    </row>
    <row r="49" spans="2:15" x14ac:dyDescent="0.3">
      <c r="B49" s="9">
        <f t="shared" si="1"/>
        <v>46</v>
      </c>
      <c r="C49" s="9" t="s">
        <v>1211</v>
      </c>
      <c r="D49" s="79" t="s">
        <v>1212</v>
      </c>
      <c r="E49" s="60" t="s">
        <v>166</v>
      </c>
      <c r="F49" s="82">
        <v>0</v>
      </c>
      <c r="G49" s="82">
        <v>99999</v>
      </c>
      <c r="H49" s="80" t="s">
        <v>133</v>
      </c>
      <c r="I49" s="80" t="s">
        <v>1003</v>
      </c>
      <c r="J49" s="80" t="s">
        <v>1162</v>
      </c>
      <c r="K49" s="80" t="s">
        <v>1213</v>
      </c>
      <c r="L49" s="80" t="str">
        <f t="shared" si="0"/>
        <v>Ability_Attribute_Ice</v>
      </c>
      <c r="M49" s="81">
        <v>41</v>
      </c>
      <c r="N49" s="83" t="s">
        <v>133</v>
      </c>
      <c r="O49" s="83" t="s">
        <v>1211</v>
      </c>
    </row>
    <row r="50" spans="2:15" x14ac:dyDescent="0.3">
      <c r="B50" s="9">
        <f t="shared" si="1"/>
        <v>47</v>
      </c>
      <c r="C50" s="9" t="s">
        <v>1214</v>
      </c>
      <c r="D50" s="79" t="s">
        <v>1215</v>
      </c>
      <c r="E50" s="60" t="s">
        <v>166</v>
      </c>
      <c r="F50" s="82">
        <v>0</v>
      </c>
      <c r="G50" s="82">
        <v>99999</v>
      </c>
      <c r="H50" s="80" t="s">
        <v>134</v>
      </c>
      <c r="I50" s="80" t="s">
        <v>1003</v>
      </c>
      <c r="J50" s="80" t="s">
        <v>1162</v>
      </c>
      <c r="K50" s="80" t="s">
        <v>1216</v>
      </c>
      <c r="L50" s="80" t="str">
        <f t="shared" si="0"/>
        <v>Ability_Attribute_Wind</v>
      </c>
      <c r="M50" s="81">
        <v>42</v>
      </c>
      <c r="N50" s="83" t="s">
        <v>134</v>
      </c>
      <c r="O50" s="83" t="s">
        <v>1214</v>
      </c>
    </row>
    <row r="51" spans="2:15" x14ac:dyDescent="0.3">
      <c r="B51" s="9">
        <f t="shared" si="1"/>
        <v>48</v>
      </c>
      <c r="C51" s="9" t="s">
        <v>1217</v>
      </c>
      <c r="D51" s="79" t="s">
        <v>1218</v>
      </c>
      <c r="E51" s="60" t="s">
        <v>166</v>
      </c>
      <c r="F51" s="82">
        <v>0</v>
      </c>
      <c r="G51" s="82">
        <v>99999</v>
      </c>
      <c r="H51" s="80" t="s">
        <v>135</v>
      </c>
      <c r="I51" s="80" t="s">
        <v>1003</v>
      </c>
      <c r="J51" s="80" t="s">
        <v>1162</v>
      </c>
      <c r="K51" s="80" t="s">
        <v>1219</v>
      </c>
      <c r="L51" s="80" t="str">
        <f t="shared" si="0"/>
        <v>Ability_Attribute_Stone</v>
      </c>
      <c r="M51" s="81">
        <v>43</v>
      </c>
      <c r="N51" s="83" t="s">
        <v>135</v>
      </c>
      <c r="O51" s="83" t="s">
        <v>1220</v>
      </c>
    </row>
    <row r="52" spans="2:15" x14ac:dyDescent="0.3">
      <c r="B52" s="9">
        <f t="shared" si="1"/>
        <v>49</v>
      </c>
      <c r="C52" s="9" t="s">
        <v>1221</v>
      </c>
      <c r="D52" s="79" t="s">
        <v>1222</v>
      </c>
      <c r="E52" s="60" t="s">
        <v>167</v>
      </c>
      <c r="F52" s="82">
        <v>0</v>
      </c>
      <c r="G52" s="82">
        <v>10000</v>
      </c>
      <c r="H52" s="80" t="s">
        <v>138</v>
      </c>
      <c r="I52" s="80" t="s">
        <v>1223</v>
      </c>
      <c r="J52" s="80" t="s">
        <v>1162</v>
      </c>
      <c r="K52" s="80" t="s">
        <v>1224</v>
      </c>
      <c r="L52" s="80" t="str">
        <f t="shared" si="0"/>
        <v>Ability_Reduce_Fire</v>
      </c>
      <c r="M52" s="81">
        <v>46</v>
      </c>
      <c r="N52" s="83" t="s">
        <v>138</v>
      </c>
      <c r="O52" s="83" t="s">
        <v>1225</v>
      </c>
    </row>
    <row r="53" spans="2:15" x14ac:dyDescent="0.3">
      <c r="B53" s="9">
        <f t="shared" si="1"/>
        <v>50</v>
      </c>
      <c r="C53" s="9" t="s">
        <v>1226</v>
      </c>
      <c r="D53" s="79" t="s">
        <v>1227</v>
      </c>
      <c r="E53" s="60" t="s">
        <v>167</v>
      </c>
      <c r="F53" s="82">
        <v>0</v>
      </c>
      <c r="G53" s="82">
        <v>10000</v>
      </c>
      <c r="H53" s="80" t="s">
        <v>139</v>
      </c>
      <c r="I53" s="80" t="s">
        <v>1223</v>
      </c>
      <c r="J53" s="80" t="s">
        <v>1162</v>
      </c>
      <c r="K53" s="80" t="s">
        <v>1228</v>
      </c>
      <c r="L53" s="80" t="str">
        <f t="shared" si="0"/>
        <v>Ability_Reduce_Ice</v>
      </c>
      <c r="M53" s="81">
        <v>47</v>
      </c>
      <c r="N53" s="83" t="s">
        <v>139</v>
      </c>
      <c r="O53" s="83" t="s">
        <v>1229</v>
      </c>
    </row>
    <row r="54" spans="2:15" x14ac:dyDescent="0.3">
      <c r="B54" s="9">
        <f t="shared" si="1"/>
        <v>51</v>
      </c>
      <c r="C54" s="9" t="s">
        <v>1230</v>
      </c>
      <c r="D54" s="79" t="s">
        <v>1231</v>
      </c>
      <c r="E54" s="60" t="s">
        <v>167</v>
      </c>
      <c r="F54" s="82">
        <v>0</v>
      </c>
      <c r="G54" s="82">
        <v>10000</v>
      </c>
      <c r="H54" s="80" t="s">
        <v>140</v>
      </c>
      <c r="I54" s="80" t="s">
        <v>1232</v>
      </c>
      <c r="J54" s="80" t="s">
        <v>1162</v>
      </c>
      <c r="K54" s="80" t="s">
        <v>1233</v>
      </c>
      <c r="L54" s="80" t="str">
        <f t="shared" si="0"/>
        <v>Ability_Reduce_Wind</v>
      </c>
      <c r="M54" s="81">
        <v>48</v>
      </c>
      <c r="N54" s="83" t="s">
        <v>140</v>
      </c>
      <c r="O54" s="83" t="s">
        <v>1234</v>
      </c>
    </row>
    <row r="55" spans="2:15" x14ac:dyDescent="0.3">
      <c r="B55" s="9">
        <f t="shared" si="1"/>
        <v>52</v>
      </c>
      <c r="C55" s="9" t="s">
        <v>1235</v>
      </c>
      <c r="D55" s="79" t="s">
        <v>1236</v>
      </c>
      <c r="E55" s="60" t="s">
        <v>167</v>
      </c>
      <c r="F55" s="82">
        <v>0</v>
      </c>
      <c r="G55" s="82">
        <v>10000</v>
      </c>
      <c r="H55" s="80" t="s">
        <v>141</v>
      </c>
      <c r="I55" s="80" t="s">
        <v>1232</v>
      </c>
      <c r="J55" s="80" t="s">
        <v>1162</v>
      </c>
      <c r="K55" s="80" t="s">
        <v>1237</v>
      </c>
      <c r="L55" s="80" t="str">
        <f t="shared" si="0"/>
        <v>Ability_Reduce_Stone</v>
      </c>
      <c r="M55" s="81">
        <v>49</v>
      </c>
      <c r="N55" s="83" t="s">
        <v>141</v>
      </c>
      <c r="O55" s="83" t="s">
        <v>1238</v>
      </c>
    </row>
    <row r="56" spans="2:15" x14ac:dyDescent="0.3">
      <c r="B56" s="9">
        <f t="shared" si="1"/>
        <v>53</v>
      </c>
      <c r="C56" s="9" t="s">
        <v>1239</v>
      </c>
      <c r="D56" s="79" t="s">
        <v>1240</v>
      </c>
      <c r="E56" s="60" t="s">
        <v>167</v>
      </c>
      <c r="F56" s="82">
        <v>0</v>
      </c>
      <c r="G56" s="82">
        <v>10000</v>
      </c>
      <c r="H56" s="80" t="s">
        <v>1241</v>
      </c>
      <c r="I56" s="80" t="s">
        <v>1242</v>
      </c>
      <c r="J56" s="80" t="s">
        <v>1243</v>
      </c>
      <c r="K56" s="80" t="s">
        <v>1244</v>
      </c>
      <c r="L56" s="80" t="str">
        <f t="shared" si="0"/>
        <v>Ability_Resist_Stun</v>
      </c>
      <c r="M56" s="81">
        <v>52</v>
      </c>
      <c r="N56" s="83" t="s">
        <v>144</v>
      </c>
      <c r="O56" s="83" t="s">
        <v>1245</v>
      </c>
    </row>
    <row r="57" spans="2:15" x14ac:dyDescent="0.3">
      <c r="B57" s="9">
        <f t="shared" si="1"/>
        <v>54</v>
      </c>
      <c r="C57" s="9" t="s">
        <v>1246</v>
      </c>
      <c r="D57" s="79" t="s">
        <v>1247</v>
      </c>
      <c r="E57" s="60" t="s">
        <v>167</v>
      </c>
      <c r="F57" s="82">
        <v>0</v>
      </c>
      <c r="G57" s="82">
        <v>10000</v>
      </c>
      <c r="H57" s="80" t="s">
        <v>1248</v>
      </c>
      <c r="I57" s="80" t="s">
        <v>1242</v>
      </c>
      <c r="J57" s="80" t="s">
        <v>1243</v>
      </c>
      <c r="K57" s="80" t="s">
        <v>1249</v>
      </c>
      <c r="L57" s="80" t="str">
        <f t="shared" si="0"/>
        <v>Ability_Resist_Fear</v>
      </c>
      <c r="M57" s="81">
        <v>53</v>
      </c>
      <c r="N57" s="83" t="s">
        <v>145</v>
      </c>
      <c r="O57" s="83" t="s">
        <v>1250</v>
      </c>
    </row>
    <row r="58" spans="2:15" x14ac:dyDescent="0.3">
      <c r="B58" s="9">
        <f t="shared" si="1"/>
        <v>55</v>
      </c>
      <c r="C58" s="9" t="s">
        <v>1251</v>
      </c>
      <c r="D58" s="79" t="s">
        <v>1252</v>
      </c>
      <c r="E58" s="60" t="s">
        <v>167</v>
      </c>
      <c r="F58" s="82">
        <v>0</v>
      </c>
      <c r="G58" s="82">
        <v>10000</v>
      </c>
      <c r="H58" s="80" t="s">
        <v>1253</v>
      </c>
      <c r="I58" s="80" t="s">
        <v>1242</v>
      </c>
      <c r="J58" s="80" t="s">
        <v>1243</v>
      </c>
      <c r="K58" s="80" t="s">
        <v>1254</v>
      </c>
      <c r="L58" s="80" t="str">
        <f t="shared" si="0"/>
        <v>Ability_Resist_Chaos</v>
      </c>
      <c r="M58" s="81">
        <v>54</v>
      </c>
      <c r="N58" s="83" t="s">
        <v>146</v>
      </c>
      <c r="O58" s="83" t="s">
        <v>1255</v>
      </c>
    </row>
    <row r="59" spans="2:15" x14ac:dyDescent="0.3">
      <c r="B59" s="9">
        <f t="shared" si="1"/>
        <v>56</v>
      </c>
      <c r="C59" s="9" t="s">
        <v>1256</v>
      </c>
      <c r="D59" s="79" t="s">
        <v>1257</v>
      </c>
      <c r="E59" s="60" t="s">
        <v>167</v>
      </c>
      <c r="F59" s="82">
        <v>0</v>
      </c>
      <c r="G59" s="82">
        <v>10000</v>
      </c>
      <c r="H59" s="80" t="s">
        <v>1258</v>
      </c>
      <c r="I59" s="80" t="s">
        <v>1242</v>
      </c>
      <c r="J59" s="80" t="s">
        <v>1243</v>
      </c>
      <c r="K59" s="80" t="s">
        <v>1259</v>
      </c>
      <c r="L59" s="80" t="str">
        <f t="shared" si="0"/>
        <v>Ability_Resist_Poison</v>
      </c>
      <c r="M59" s="81" t="e">
        <v>#N/A</v>
      </c>
      <c r="N59" s="83" t="s">
        <v>1064</v>
      </c>
      <c r="O59" s="83" t="e">
        <v>#N/A</v>
      </c>
    </row>
    <row r="60" spans="2:15" x14ac:dyDescent="0.3">
      <c r="B60" s="9">
        <f t="shared" si="1"/>
        <v>57</v>
      </c>
      <c r="C60" s="9" t="s">
        <v>1260</v>
      </c>
      <c r="D60" s="79" t="s">
        <v>1261</v>
      </c>
      <c r="E60" s="60" t="s">
        <v>167</v>
      </c>
      <c r="F60" s="82">
        <v>0</v>
      </c>
      <c r="G60" s="82">
        <v>10000</v>
      </c>
      <c r="H60" s="80" t="s">
        <v>1262</v>
      </c>
      <c r="I60" s="80" t="s">
        <v>1242</v>
      </c>
      <c r="J60" s="80" t="s">
        <v>1243</v>
      </c>
      <c r="K60" s="80" t="s">
        <v>1263</v>
      </c>
      <c r="L60" s="80" t="str">
        <f t="shared" si="0"/>
        <v>Ability_Resist_Silence</v>
      </c>
      <c r="M60" s="81">
        <v>56</v>
      </c>
      <c r="N60" s="83" t="s">
        <v>148</v>
      </c>
      <c r="O60" s="83" t="s">
        <v>1264</v>
      </c>
    </row>
    <row r="61" spans="2:15" x14ac:dyDescent="0.3">
      <c r="B61" s="9">
        <f t="shared" si="1"/>
        <v>58</v>
      </c>
      <c r="C61" s="9" t="s">
        <v>1265</v>
      </c>
      <c r="D61" s="79" t="s">
        <v>1266</v>
      </c>
      <c r="E61" s="60" t="s">
        <v>167</v>
      </c>
      <c r="F61" s="82">
        <v>0</v>
      </c>
      <c r="G61" s="82">
        <v>10000</v>
      </c>
      <c r="H61" s="80" t="s">
        <v>1267</v>
      </c>
      <c r="I61" s="80" t="s">
        <v>1242</v>
      </c>
      <c r="J61" s="80" t="s">
        <v>1243</v>
      </c>
      <c r="K61" s="80" t="s">
        <v>1268</v>
      </c>
      <c r="L61" s="80" t="str">
        <f t="shared" si="0"/>
        <v>Ability_Resist_Slow</v>
      </c>
      <c r="M61" s="81">
        <v>57</v>
      </c>
      <c r="N61" s="83" t="s">
        <v>149</v>
      </c>
      <c r="O61" s="83" t="s">
        <v>1269</v>
      </c>
    </row>
    <row r="62" spans="2:15" x14ac:dyDescent="0.3">
      <c r="B62" s="9">
        <f t="shared" si="1"/>
        <v>59</v>
      </c>
      <c r="C62" s="9" t="s">
        <v>1270</v>
      </c>
      <c r="D62" s="79" t="s">
        <v>1271</v>
      </c>
      <c r="E62" s="60" t="s">
        <v>167</v>
      </c>
      <c r="F62" s="82">
        <v>0</v>
      </c>
      <c r="G62" s="82">
        <v>10000</v>
      </c>
      <c r="H62" s="80" t="s">
        <v>1272</v>
      </c>
      <c r="I62" s="80" t="s">
        <v>1242</v>
      </c>
      <c r="J62" s="80" t="s">
        <v>1243</v>
      </c>
      <c r="K62" s="80" t="s">
        <v>1273</v>
      </c>
      <c r="L62" s="80" t="str">
        <f t="shared" si="0"/>
        <v>Ability_Resist_Bleed</v>
      </c>
      <c r="M62" s="81">
        <v>58</v>
      </c>
      <c r="N62" s="83" t="s">
        <v>150</v>
      </c>
      <c r="O62" s="83" t="s">
        <v>1274</v>
      </c>
    </row>
    <row r="63" spans="2:15" x14ac:dyDescent="0.3">
      <c r="B63" s="9">
        <f t="shared" si="1"/>
        <v>60</v>
      </c>
      <c r="C63" s="9" t="s">
        <v>1275</v>
      </c>
      <c r="D63" s="79" t="s">
        <v>1276</v>
      </c>
      <c r="E63" s="60" t="s">
        <v>1136</v>
      </c>
      <c r="F63" s="82">
        <v>0</v>
      </c>
      <c r="G63" s="82">
        <v>10000</v>
      </c>
      <c r="H63" s="80" t="s">
        <v>1277</v>
      </c>
      <c r="I63" s="80" t="s">
        <v>1242</v>
      </c>
      <c r="J63" s="80" t="s">
        <v>1243</v>
      </c>
      <c r="K63" s="80" t="s">
        <v>1278</v>
      </c>
      <c r="L63" s="80" t="s">
        <v>1279</v>
      </c>
      <c r="M63" s="81" t="e">
        <v>#N/A</v>
      </c>
      <c r="N63" s="83" t="s">
        <v>1064</v>
      </c>
      <c r="O63" s="83" t="e">
        <v>#N/A</v>
      </c>
    </row>
    <row r="64" spans="2:15" x14ac:dyDescent="0.3">
      <c r="B64" s="9">
        <f t="shared" si="1"/>
        <v>61</v>
      </c>
      <c r="C64" s="9" t="s">
        <v>1280</v>
      </c>
      <c r="D64" s="79" t="s">
        <v>1281</v>
      </c>
      <c r="E64" s="60" t="s">
        <v>167</v>
      </c>
      <c r="F64" s="61">
        <v>0</v>
      </c>
      <c r="G64" s="61">
        <v>99999</v>
      </c>
      <c r="H64" s="80" t="s">
        <v>1282</v>
      </c>
      <c r="I64" s="80" t="s">
        <v>1283</v>
      </c>
      <c r="J64" s="80" t="s">
        <v>1284</v>
      </c>
      <c r="K64" s="80" t="s">
        <v>1285</v>
      </c>
      <c r="L64" s="80" t="str">
        <f t="shared" si="0"/>
        <v>Ability_Spirit_Gauge_Rate</v>
      </c>
      <c r="M64" s="81">
        <v>73</v>
      </c>
      <c r="N64" s="83" t="s">
        <v>1286</v>
      </c>
      <c r="O64" s="83" t="s">
        <v>1287</v>
      </c>
    </row>
    <row r="65" spans="1:15" x14ac:dyDescent="0.3">
      <c r="B65" s="9">
        <f t="shared" si="1"/>
        <v>62</v>
      </c>
      <c r="C65" s="9" t="s">
        <v>1288</v>
      </c>
      <c r="D65" s="79" t="s">
        <v>1289</v>
      </c>
      <c r="E65" s="60" t="s">
        <v>167</v>
      </c>
      <c r="F65" s="61">
        <v>0</v>
      </c>
      <c r="G65" s="61">
        <v>99999</v>
      </c>
      <c r="H65" s="80" t="s">
        <v>1290</v>
      </c>
      <c r="I65" s="80" t="s">
        <v>1291</v>
      </c>
      <c r="J65" s="80" t="s">
        <v>1284</v>
      </c>
      <c r="K65" s="80" t="s">
        <v>1292</v>
      </c>
      <c r="L65" s="80" t="str">
        <f t="shared" si="0"/>
        <v>Ability_Spirit_Time_Rate</v>
      </c>
      <c r="M65" s="81">
        <v>73</v>
      </c>
      <c r="N65" s="83" t="s">
        <v>1286</v>
      </c>
      <c r="O65" s="83" t="s">
        <v>1287</v>
      </c>
    </row>
    <row r="66" spans="1:15" x14ac:dyDescent="0.3">
      <c r="B66" s="9">
        <f t="shared" si="1"/>
        <v>63</v>
      </c>
      <c r="C66" s="9" t="s">
        <v>1293</v>
      </c>
      <c r="D66" s="79" t="s">
        <v>1294</v>
      </c>
      <c r="E66" s="60" t="s">
        <v>167</v>
      </c>
      <c r="F66" s="61">
        <v>0</v>
      </c>
      <c r="G66" s="61">
        <v>99999</v>
      </c>
      <c r="H66" s="80" t="s">
        <v>1295</v>
      </c>
      <c r="I66" s="80" t="s">
        <v>1296</v>
      </c>
      <c r="J66" s="80" t="s">
        <v>1284</v>
      </c>
      <c r="K66" s="80" t="s">
        <v>1297</v>
      </c>
      <c r="L66" s="80" t="str">
        <f t="shared" si="0"/>
        <v>Ability_Spirit_Orb_Prob</v>
      </c>
      <c r="M66" s="81">
        <v>71</v>
      </c>
      <c r="N66" s="83" t="s">
        <v>1298</v>
      </c>
      <c r="O66" s="83" t="s">
        <v>1299</v>
      </c>
    </row>
    <row r="67" spans="1:15" x14ac:dyDescent="0.3">
      <c r="B67" s="9">
        <f t="shared" si="1"/>
        <v>64</v>
      </c>
      <c r="C67" s="9" t="s">
        <v>1300</v>
      </c>
      <c r="D67" s="79" t="s">
        <v>1301</v>
      </c>
      <c r="E67" s="60" t="s">
        <v>167</v>
      </c>
      <c r="F67" s="61">
        <v>0</v>
      </c>
      <c r="G67" s="61">
        <v>99999</v>
      </c>
      <c r="H67" s="80" t="s">
        <v>1302</v>
      </c>
      <c r="I67" s="80" t="s">
        <v>1303</v>
      </c>
      <c r="J67" s="80" t="s">
        <v>1284</v>
      </c>
      <c r="K67" s="80" t="s">
        <v>1304</v>
      </c>
      <c r="L67" s="80" t="str">
        <f t="shared" si="0"/>
        <v>Ability_Spirit_Orb_Bonus</v>
      </c>
      <c r="M67" s="81">
        <v>71</v>
      </c>
      <c r="N67" s="83" t="s">
        <v>1298</v>
      </c>
      <c r="O67" s="83" t="s">
        <v>1299</v>
      </c>
    </row>
    <row r="68" spans="1:15" x14ac:dyDescent="0.3">
      <c r="B68" s="9">
        <f t="shared" si="1"/>
        <v>65</v>
      </c>
      <c r="C68" s="9" t="s">
        <v>1305</v>
      </c>
      <c r="D68" s="79" t="s">
        <v>1306</v>
      </c>
      <c r="E68" s="60" t="s">
        <v>167</v>
      </c>
      <c r="F68" s="61">
        <v>0</v>
      </c>
      <c r="G68" s="61">
        <v>99999</v>
      </c>
      <c r="H68" s="80" t="s">
        <v>1307</v>
      </c>
      <c r="I68" s="80" t="s">
        <v>1308</v>
      </c>
      <c r="J68" s="80" t="s">
        <v>1309</v>
      </c>
      <c r="K68" s="80" t="s">
        <v>1310</v>
      </c>
      <c r="L68" s="80" t="str">
        <f t="shared" si="0"/>
        <v>Ability_Result_Exp_Rate</v>
      </c>
      <c r="M68" s="81">
        <v>66</v>
      </c>
      <c r="N68" s="83" t="s">
        <v>1311</v>
      </c>
      <c r="O68" s="83" t="s">
        <v>1312</v>
      </c>
    </row>
    <row r="69" spans="1:15" x14ac:dyDescent="0.3">
      <c r="B69" s="9">
        <f t="shared" si="1"/>
        <v>66</v>
      </c>
      <c r="C69" s="9" t="s">
        <v>1313</v>
      </c>
      <c r="D69" s="79" t="s">
        <v>1314</v>
      </c>
      <c r="E69" s="60" t="s">
        <v>167</v>
      </c>
      <c r="F69" s="61">
        <v>0</v>
      </c>
      <c r="G69" s="61">
        <v>99999</v>
      </c>
      <c r="H69" s="80" t="s">
        <v>1315</v>
      </c>
      <c r="I69" s="80" t="s">
        <v>1316</v>
      </c>
      <c r="J69" s="80" t="s">
        <v>1309</v>
      </c>
      <c r="K69" s="80" t="s">
        <v>1317</v>
      </c>
      <c r="L69" s="80" t="str">
        <f t="shared" si="0"/>
        <v>Ability_Result_Gold_Rate</v>
      </c>
      <c r="M69" s="81">
        <v>67</v>
      </c>
      <c r="N69" s="83" t="s">
        <v>159</v>
      </c>
      <c r="O69" s="83" t="s">
        <v>1318</v>
      </c>
    </row>
    <row r="70" spans="1:15" x14ac:dyDescent="0.3">
      <c r="B70" s="9">
        <f t="shared" ref="B70:B75" si="2">B69+1</f>
        <v>67</v>
      </c>
      <c r="C70" s="9" t="s">
        <v>1319</v>
      </c>
      <c r="D70" s="79" t="s">
        <v>1320</v>
      </c>
      <c r="E70" s="60" t="s">
        <v>167</v>
      </c>
      <c r="F70" s="61">
        <v>0</v>
      </c>
      <c r="G70" s="61">
        <v>99999</v>
      </c>
      <c r="H70" s="80" t="s">
        <v>1321</v>
      </c>
      <c r="I70" s="80" t="s">
        <v>1322</v>
      </c>
      <c r="J70" s="80" t="s">
        <v>1309</v>
      </c>
      <c r="K70" s="80" t="s">
        <v>1323</v>
      </c>
      <c r="L70" s="80" t="str">
        <f t="shared" si="0"/>
        <v>Ability_Result_Item_Prob</v>
      </c>
      <c r="M70" s="81">
        <v>68</v>
      </c>
      <c r="N70" s="83" t="s">
        <v>1324</v>
      </c>
      <c r="O70" s="83" t="s">
        <v>1325</v>
      </c>
    </row>
    <row r="71" spans="1:15" x14ac:dyDescent="0.3">
      <c r="B71" s="9">
        <f t="shared" si="2"/>
        <v>68</v>
      </c>
      <c r="C71" s="9" t="s">
        <v>1326</v>
      </c>
      <c r="D71" s="79" t="s">
        <v>1327</v>
      </c>
      <c r="E71" s="60" t="s">
        <v>167</v>
      </c>
      <c r="F71" s="61">
        <v>0</v>
      </c>
      <c r="G71" s="61">
        <v>10000</v>
      </c>
      <c r="H71" s="80" t="s">
        <v>1328</v>
      </c>
      <c r="I71" s="80" t="s">
        <v>1003</v>
      </c>
      <c r="J71" s="80" t="s">
        <v>1309</v>
      </c>
      <c r="K71" s="80" t="s">
        <v>1329</v>
      </c>
      <c r="L71" s="80" t="str">
        <f t="shared" si="0"/>
        <v>Ability_Result_Extra_Mining_Prob</v>
      </c>
      <c r="M71" s="81">
        <v>65</v>
      </c>
      <c r="N71" s="83" t="s">
        <v>1330</v>
      </c>
      <c r="O71" s="83" t="s">
        <v>1331</v>
      </c>
    </row>
    <row r="72" spans="1:15" x14ac:dyDescent="0.3">
      <c r="A72" s="75" t="s">
        <v>1403</v>
      </c>
      <c r="B72" s="9">
        <f t="shared" si="2"/>
        <v>69</v>
      </c>
      <c r="C72" s="9" t="s">
        <v>1404</v>
      </c>
      <c r="D72" s="79" t="s">
        <v>1405</v>
      </c>
      <c r="E72" s="60" t="s">
        <v>166</v>
      </c>
      <c r="F72" s="82">
        <v>1</v>
      </c>
      <c r="G72" s="82">
        <v>999999</v>
      </c>
      <c r="H72" s="80" t="s">
        <v>1406</v>
      </c>
      <c r="I72" s="80" t="s">
        <v>1332</v>
      </c>
      <c r="J72" s="80" t="s">
        <v>1333</v>
      </c>
      <c r="K72" s="80" t="s">
        <v>1407</v>
      </c>
      <c r="L72" s="80" t="str">
        <f t="shared" si="0"/>
        <v>Ability_Damage_Min_P_PvP</v>
      </c>
      <c r="M72" s="81" t="e">
        <v>#N/A</v>
      </c>
      <c r="N72" s="83" t="s">
        <v>1064</v>
      </c>
      <c r="O72" s="83" t="e">
        <v>#N/A</v>
      </c>
    </row>
    <row r="73" spans="1:15" x14ac:dyDescent="0.3">
      <c r="A73" s="75" t="s">
        <v>1403</v>
      </c>
      <c r="B73" s="9">
        <f t="shared" si="2"/>
        <v>70</v>
      </c>
      <c r="C73" s="9" t="s">
        <v>1408</v>
      </c>
      <c r="D73" s="79" t="s">
        <v>1409</v>
      </c>
      <c r="E73" s="60" t="s">
        <v>166</v>
      </c>
      <c r="F73" s="82">
        <v>1</v>
      </c>
      <c r="G73" s="82">
        <v>999999</v>
      </c>
      <c r="H73" s="80" t="s">
        <v>1410</v>
      </c>
      <c r="I73" s="80" t="s">
        <v>1332</v>
      </c>
      <c r="J73" s="80" t="s">
        <v>1333</v>
      </c>
      <c r="K73" s="80" t="s">
        <v>1411</v>
      </c>
      <c r="L73" s="80" t="str">
        <f t="shared" si="0"/>
        <v>Ability_Damage_Max_P_PvP</v>
      </c>
      <c r="M73" s="81" t="e">
        <v>#N/A</v>
      </c>
      <c r="N73" s="83" t="s">
        <v>1064</v>
      </c>
      <c r="O73" s="83" t="e">
        <v>#N/A</v>
      </c>
    </row>
    <row r="74" spans="1:15" x14ac:dyDescent="0.3">
      <c r="A74" s="75" t="s">
        <v>1403</v>
      </c>
      <c r="B74" s="9">
        <f t="shared" si="2"/>
        <v>71</v>
      </c>
      <c r="C74" s="9" t="s">
        <v>1412</v>
      </c>
      <c r="D74" s="79" t="s">
        <v>1413</v>
      </c>
      <c r="E74" s="60" t="s">
        <v>166</v>
      </c>
      <c r="F74" s="82">
        <v>1</v>
      </c>
      <c r="G74" s="82">
        <v>999999</v>
      </c>
      <c r="H74" s="80" t="s">
        <v>1414</v>
      </c>
      <c r="I74" s="80" t="s">
        <v>1332</v>
      </c>
      <c r="J74" s="80" t="s">
        <v>1333</v>
      </c>
      <c r="K74" s="80" t="s">
        <v>1415</v>
      </c>
      <c r="L74" s="80" t="str">
        <f t="shared" ref="L74:L97" si="3">SUBSTITUTE(C74, $L$3, $L$2)</f>
        <v>Ability_Damage_Min_M_PvP</v>
      </c>
      <c r="M74" s="81" t="e">
        <v>#N/A</v>
      </c>
      <c r="N74" s="83" t="s">
        <v>1064</v>
      </c>
      <c r="O74" s="83" t="e">
        <v>#N/A</v>
      </c>
    </row>
    <row r="75" spans="1:15" x14ac:dyDescent="0.3">
      <c r="A75" s="75" t="s">
        <v>1403</v>
      </c>
      <c r="B75" s="9">
        <f t="shared" si="2"/>
        <v>72</v>
      </c>
      <c r="C75" s="9" t="s">
        <v>1416</v>
      </c>
      <c r="D75" s="79" t="s">
        <v>1417</v>
      </c>
      <c r="E75" s="60" t="s">
        <v>166</v>
      </c>
      <c r="F75" s="82">
        <v>1</v>
      </c>
      <c r="G75" s="82">
        <v>999999</v>
      </c>
      <c r="H75" s="80" t="s">
        <v>1418</v>
      </c>
      <c r="I75" s="80" t="s">
        <v>1332</v>
      </c>
      <c r="J75" s="80" t="s">
        <v>1333</v>
      </c>
      <c r="K75" s="80" t="s">
        <v>1419</v>
      </c>
      <c r="L75" s="80" t="str">
        <f t="shared" si="3"/>
        <v>Ability_Damage_Max_M_PvP</v>
      </c>
      <c r="M75" s="81" t="e">
        <v>#N/A</v>
      </c>
      <c r="N75" s="83" t="s">
        <v>1064</v>
      </c>
      <c r="O75" s="83" t="e">
        <v>#N/A</v>
      </c>
    </row>
    <row r="76" spans="1:15" x14ac:dyDescent="0.3">
      <c r="A76" s="75" t="s">
        <v>1403</v>
      </c>
      <c r="B76" s="9">
        <f>B75+1</f>
        <v>73</v>
      </c>
      <c r="C76" s="9" t="s">
        <v>1420</v>
      </c>
      <c r="D76" s="79" t="s">
        <v>1421</v>
      </c>
      <c r="E76" s="60" t="s">
        <v>165</v>
      </c>
      <c r="F76" s="82">
        <v>1</v>
      </c>
      <c r="G76" s="82">
        <v>999999</v>
      </c>
      <c r="H76" s="80" t="s">
        <v>1334</v>
      </c>
      <c r="I76" s="80" t="s">
        <v>1332</v>
      </c>
      <c r="J76" s="80" t="s">
        <v>1333</v>
      </c>
      <c r="K76" s="80" t="s">
        <v>1335</v>
      </c>
      <c r="L76" s="80" t="str">
        <f t="shared" si="3"/>
        <v>Ability_Damage_Reduce_P_PvP</v>
      </c>
      <c r="M76" s="81" t="e">
        <v>#N/A</v>
      </c>
      <c r="N76" s="83" t="s">
        <v>1064</v>
      </c>
      <c r="O76" s="83" t="e">
        <v>#N/A</v>
      </c>
    </row>
    <row r="77" spans="1:15" x14ac:dyDescent="0.3">
      <c r="A77" s="75" t="s">
        <v>1403</v>
      </c>
      <c r="B77" s="9">
        <f>B76+1</f>
        <v>74</v>
      </c>
      <c r="C77" s="9" t="s">
        <v>1422</v>
      </c>
      <c r="D77" s="79" t="s">
        <v>1423</v>
      </c>
      <c r="E77" s="60" t="s">
        <v>165</v>
      </c>
      <c r="F77" s="82">
        <v>1</v>
      </c>
      <c r="G77" s="82">
        <v>999999</v>
      </c>
      <c r="H77" s="80" t="s">
        <v>1336</v>
      </c>
      <c r="I77" s="80" t="s">
        <v>1332</v>
      </c>
      <c r="J77" s="80" t="s">
        <v>1333</v>
      </c>
      <c r="K77" s="80" t="s">
        <v>1337</v>
      </c>
      <c r="L77" s="80" t="str">
        <f t="shared" si="3"/>
        <v>Ability_Damage_Reduce_M_PvP</v>
      </c>
      <c r="M77" s="81" t="e">
        <v>#N/A</v>
      </c>
      <c r="N77" s="83" t="s">
        <v>1064</v>
      </c>
      <c r="O77" s="83" t="e">
        <v>#N/A</v>
      </c>
    </row>
    <row r="78" spans="1:15" x14ac:dyDescent="0.3">
      <c r="A78" s="75" t="s">
        <v>1403</v>
      </c>
      <c r="B78" s="9">
        <f t="shared" ref="B78:B96" si="4">B77+1</f>
        <v>75</v>
      </c>
      <c r="C78" s="9" t="s">
        <v>1424</v>
      </c>
      <c r="D78" s="79" t="s">
        <v>1425</v>
      </c>
      <c r="E78" s="60" t="s">
        <v>167</v>
      </c>
      <c r="F78" s="82">
        <v>0</v>
      </c>
      <c r="G78" s="82">
        <v>10000</v>
      </c>
      <c r="H78" s="80" t="s">
        <v>1338</v>
      </c>
      <c r="I78" s="80" t="s">
        <v>1332</v>
      </c>
      <c r="J78" s="80" t="s">
        <v>1333</v>
      </c>
      <c r="K78" s="80" t="s">
        <v>1426</v>
      </c>
      <c r="L78" s="80" t="str">
        <f>SUBSTITUTE(C78, $L$3, $L$2)</f>
        <v>Ability_Accuracy_PvP</v>
      </c>
      <c r="M78" s="81" t="e">
        <v>#N/A</v>
      </c>
      <c r="N78" s="83" t="s">
        <v>1064</v>
      </c>
      <c r="O78" s="83" t="e">
        <v>#N/A</v>
      </c>
    </row>
    <row r="79" spans="1:15" x14ac:dyDescent="0.3">
      <c r="A79" s="75" t="s">
        <v>1403</v>
      </c>
      <c r="B79" s="9">
        <f t="shared" si="4"/>
        <v>76</v>
      </c>
      <c r="C79" s="9" t="s">
        <v>1427</v>
      </c>
      <c r="D79" s="79" t="s">
        <v>1428</v>
      </c>
      <c r="E79" s="60" t="s">
        <v>167</v>
      </c>
      <c r="F79" s="82">
        <v>0</v>
      </c>
      <c r="G79" s="82">
        <v>10000</v>
      </c>
      <c r="H79" s="80" t="s">
        <v>1339</v>
      </c>
      <c r="I79" s="80" t="s">
        <v>1332</v>
      </c>
      <c r="J79" s="80" t="s">
        <v>1333</v>
      </c>
      <c r="K79" s="80" t="s">
        <v>1429</v>
      </c>
      <c r="L79" s="80" t="str">
        <f>SUBSTITUTE(C79, $L$3, $L$2)</f>
        <v>Ability_Evasion_PvP</v>
      </c>
      <c r="M79" s="81" t="e">
        <v>#N/A</v>
      </c>
      <c r="N79" s="83" t="s">
        <v>1064</v>
      </c>
      <c r="O79" s="83" t="e">
        <v>#N/A</v>
      </c>
    </row>
    <row r="80" spans="1:15" x14ac:dyDescent="0.3">
      <c r="A80" s="75" t="s">
        <v>513</v>
      </c>
      <c r="B80" s="9">
        <f t="shared" si="4"/>
        <v>77</v>
      </c>
      <c r="C80" s="9" t="s">
        <v>1340</v>
      </c>
      <c r="D80" s="79" t="s">
        <v>1341</v>
      </c>
      <c r="E80" s="60" t="s">
        <v>167</v>
      </c>
      <c r="F80" s="61">
        <v>0</v>
      </c>
      <c r="G80" s="61">
        <v>10000</v>
      </c>
      <c r="H80" s="80" t="s">
        <v>1342</v>
      </c>
      <c r="I80" s="80" t="s">
        <v>1332</v>
      </c>
      <c r="J80" s="80" t="s">
        <v>1333</v>
      </c>
      <c r="K80" s="80" t="s">
        <v>1343</v>
      </c>
      <c r="L80" s="80" t="str">
        <f t="shared" si="3"/>
        <v>Ability_Item_Lost_PvP</v>
      </c>
      <c r="M80" s="81">
        <v>69</v>
      </c>
      <c r="N80" s="83" t="s">
        <v>1344</v>
      </c>
      <c r="O80" s="83" t="s">
        <v>1345</v>
      </c>
    </row>
    <row r="81" spans="1:15" x14ac:dyDescent="0.3">
      <c r="B81" s="9">
        <f t="shared" si="4"/>
        <v>78</v>
      </c>
      <c r="C81" s="9" t="s">
        <v>1346</v>
      </c>
      <c r="D81" s="79" t="s">
        <v>1347</v>
      </c>
      <c r="E81" s="60" t="s">
        <v>166</v>
      </c>
      <c r="F81" s="82">
        <v>1</v>
      </c>
      <c r="G81" s="82">
        <v>999999</v>
      </c>
      <c r="H81" s="80" t="s">
        <v>1348</v>
      </c>
      <c r="I81" s="80" t="s">
        <v>1349</v>
      </c>
      <c r="J81" s="80" t="s">
        <v>1309</v>
      </c>
      <c r="K81" s="80" t="s">
        <v>1350</v>
      </c>
      <c r="L81" s="80" t="str">
        <f t="shared" si="3"/>
        <v>Ability_Inventory_Weight</v>
      </c>
      <c r="M81" s="81" t="e">
        <v>#N/A</v>
      </c>
      <c r="N81" s="83" t="s">
        <v>1064</v>
      </c>
      <c r="O81" s="83" t="e">
        <v>#N/A</v>
      </c>
    </row>
    <row r="82" spans="1:15" x14ac:dyDescent="0.3">
      <c r="B82" s="9">
        <f t="shared" si="4"/>
        <v>79</v>
      </c>
      <c r="C82" s="9" t="s">
        <v>1351</v>
      </c>
      <c r="D82" s="79" t="s">
        <v>1352</v>
      </c>
      <c r="E82" s="60" t="s">
        <v>167</v>
      </c>
      <c r="F82" s="3">
        <v>-99999</v>
      </c>
      <c r="G82" s="3">
        <v>10000</v>
      </c>
      <c r="H82" s="80" t="s">
        <v>1353</v>
      </c>
      <c r="I82" s="80" t="s">
        <v>1354</v>
      </c>
      <c r="J82" s="80" t="s">
        <v>1355</v>
      </c>
      <c r="K82" s="80" t="s">
        <v>1356</v>
      </c>
      <c r="L82" s="80" t="str">
        <f t="shared" si="3"/>
        <v>Ability_Condition_Time_Rate</v>
      </c>
      <c r="M82" s="81" t="e">
        <v>#N/A</v>
      </c>
      <c r="N82" s="83" t="s">
        <v>1064</v>
      </c>
      <c r="O82" s="83" t="e">
        <v>#N/A</v>
      </c>
    </row>
    <row r="83" spans="1:15" x14ac:dyDescent="0.3">
      <c r="B83" s="9">
        <f t="shared" si="4"/>
        <v>80</v>
      </c>
      <c r="C83" s="9" t="s">
        <v>1430</v>
      </c>
      <c r="D83" s="79" t="s">
        <v>1431</v>
      </c>
      <c r="E83" s="60" t="s">
        <v>165</v>
      </c>
      <c r="F83" s="3">
        <v>1</v>
      </c>
      <c r="G83" s="3">
        <v>999999</v>
      </c>
      <c r="H83" s="80" t="s">
        <v>1432</v>
      </c>
      <c r="I83" s="80" t="s">
        <v>1433</v>
      </c>
      <c r="J83" s="80" t="s">
        <v>1025</v>
      </c>
      <c r="K83" s="80" t="s">
        <v>1434</v>
      </c>
      <c r="L83" s="80" t="s">
        <v>1435</v>
      </c>
      <c r="M83" s="81" t="e">
        <v>#N/A</v>
      </c>
      <c r="N83" s="83" t="s">
        <v>1064</v>
      </c>
      <c r="O83" s="83" t="e">
        <v>#N/A</v>
      </c>
    </row>
    <row r="84" spans="1:15" x14ac:dyDescent="0.3">
      <c r="B84" s="9">
        <f t="shared" si="4"/>
        <v>81</v>
      </c>
      <c r="C84" s="9" t="s">
        <v>1436</v>
      </c>
      <c r="D84" s="79" t="s">
        <v>1437</v>
      </c>
      <c r="E84" s="60" t="s">
        <v>167</v>
      </c>
      <c r="F84" s="82">
        <v>0</v>
      </c>
      <c r="G84" s="82">
        <v>10000</v>
      </c>
      <c r="H84" s="80" t="s">
        <v>1438</v>
      </c>
      <c r="I84" s="80" t="s">
        <v>1433</v>
      </c>
      <c r="J84" s="80" t="s">
        <v>1025</v>
      </c>
      <c r="K84" s="80" t="s">
        <v>1439</v>
      </c>
      <c r="L84" s="80" t="s">
        <v>1440</v>
      </c>
      <c r="M84" s="81" t="e">
        <v>#N/A</v>
      </c>
      <c r="N84" s="83" t="s">
        <v>1064</v>
      </c>
      <c r="O84" s="83" t="e">
        <v>#N/A</v>
      </c>
    </row>
    <row r="85" spans="1:15" x14ac:dyDescent="0.3">
      <c r="B85" s="9">
        <f t="shared" si="4"/>
        <v>82</v>
      </c>
      <c r="C85" s="9" t="s">
        <v>1441</v>
      </c>
      <c r="D85" s="79" t="s">
        <v>1442</v>
      </c>
      <c r="E85" s="60" t="s">
        <v>167</v>
      </c>
      <c r="F85" s="3">
        <v>-99999</v>
      </c>
      <c r="G85" s="3">
        <v>10000</v>
      </c>
      <c r="H85" s="84" t="s">
        <v>1061</v>
      </c>
      <c r="I85" s="80" t="s">
        <v>1062</v>
      </c>
      <c r="J85" s="80" t="s">
        <v>1025</v>
      </c>
      <c r="K85" s="80" t="s">
        <v>1443</v>
      </c>
      <c r="L85" s="80" t="s">
        <v>1444</v>
      </c>
      <c r="M85" s="81" t="e">
        <v>#N/A</v>
      </c>
      <c r="N85" s="83" t="s">
        <v>1064</v>
      </c>
      <c r="O85" s="83" t="e">
        <v>#N/A</v>
      </c>
    </row>
    <row r="86" spans="1:15" x14ac:dyDescent="0.3">
      <c r="A86" s="75" t="s">
        <v>1445</v>
      </c>
      <c r="B86" s="9">
        <f t="shared" si="4"/>
        <v>83</v>
      </c>
      <c r="C86" s="9" t="s">
        <v>1446</v>
      </c>
      <c r="D86" s="79" t="s">
        <v>1447</v>
      </c>
      <c r="E86" s="60" t="s">
        <v>166</v>
      </c>
      <c r="F86" s="61">
        <v>0</v>
      </c>
      <c r="G86" s="61">
        <v>10000</v>
      </c>
      <c r="H86" s="80" t="s">
        <v>1448</v>
      </c>
      <c r="I86" s="80" t="s">
        <v>1003</v>
      </c>
      <c r="J86" s="80" t="s">
        <v>1309</v>
      </c>
      <c r="K86" s="80" t="s">
        <v>1449</v>
      </c>
      <c r="L86" s="80" t="str">
        <f t="shared" si="3"/>
        <v>Ability_Hp_Potion_Benefit</v>
      </c>
      <c r="M86" s="81" t="e">
        <v>#N/A</v>
      </c>
      <c r="N86" s="83"/>
      <c r="O86" s="83" t="e">
        <v>#N/A</v>
      </c>
    </row>
    <row r="87" spans="1:15" x14ac:dyDescent="0.3">
      <c r="A87" s="75" t="s">
        <v>1445</v>
      </c>
      <c r="B87" s="9">
        <f t="shared" si="4"/>
        <v>84</v>
      </c>
      <c r="C87" s="9" t="s">
        <v>1450</v>
      </c>
      <c r="D87" s="79" t="s">
        <v>1451</v>
      </c>
      <c r="E87" s="60" t="s">
        <v>166</v>
      </c>
      <c r="F87" s="61">
        <v>0</v>
      </c>
      <c r="G87" s="61">
        <v>10000</v>
      </c>
      <c r="H87" s="80" t="s">
        <v>1452</v>
      </c>
      <c r="I87" s="80" t="s">
        <v>1003</v>
      </c>
      <c r="J87" s="80" t="s">
        <v>1309</v>
      </c>
      <c r="K87" s="80" t="s">
        <v>1453</v>
      </c>
      <c r="L87" s="80" t="str">
        <f t="shared" si="3"/>
        <v>Ability_Mp_Potion_Benefit</v>
      </c>
      <c r="M87" s="81" t="e">
        <v>#N/A</v>
      </c>
      <c r="N87" s="83"/>
      <c r="O87" s="83" t="e">
        <v>#N/A</v>
      </c>
    </row>
    <row r="88" spans="1:15" x14ac:dyDescent="0.3">
      <c r="A88" s="75" t="s">
        <v>1445</v>
      </c>
      <c r="B88" s="9">
        <f t="shared" si="4"/>
        <v>85</v>
      </c>
      <c r="C88" s="9" t="s">
        <v>1454</v>
      </c>
      <c r="D88" s="79" t="s">
        <v>1455</v>
      </c>
      <c r="E88" s="60" t="s">
        <v>167</v>
      </c>
      <c r="F88" s="61">
        <v>0</v>
      </c>
      <c r="G88" s="61">
        <v>10000</v>
      </c>
      <c r="H88" s="80" t="s">
        <v>1456</v>
      </c>
      <c r="I88" s="80" t="s">
        <v>1457</v>
      </c>
      <c r="J88" s="80" t="s">
        <v>1309</v>
      </c>
      <c r="K88" s="80" t="s">
        <v>1458</v>
      </c>
      <c r="L88" s="80" t="str">
        <f t="shared" si="3"/>
        <v>Ability_Critical_Reduce</v>
      </c>
      <c r="M88" s="81" t="e">
        <v>#N/A</v>
      </c>
      <c r="N88" s="83"/>
      <c r="O88" s="83" t="e">
        <v>#N/A</v>
      </c>
    </row>
    <row r="89" spans="1:15" x14ac:dyDescent="0.3">
      <c r="A89" s="75" t="s">
        <v>1445</v>
      </c>
      <c r="B89" s="9">
        <f t="shared" si="4"/>
        <v>86</v>
      </c>
      <c r="C89" s="9" t="s">
        <v>1459</v>
      </c>
      <c r="D89" s="79" t="s">
        <v>1460</v>
      </c>
      <c r="E89" s="60" t="s">
        <v>166</v>
      </c>
      <c r="F89" s="82">
        <v>1</v>
      </c>
      <c r="G89" s="82">
        <v>999999</v>
      </c>
      <c r="H89" s="80" t="s">
        <v>1406</v>
      </c>
      <c r="I89" s="80" t="s">
        <v>1332</v>
      </c>
      <c r="J89" s="80" t="s">
        <v>1461</v>
      </c>
      <c r="K89" s="80" t="s">
        <v>1462</v>
      </c>
      <c r="L89" s="80" t="str">
        <f t="shared" si="3"/>
        <v>Ability_Damage_Min_P_Boss</v>
      </c>
      <c r="M89" s="81" t="e">
        <v>#N/A</v>
      </c>
      <c r="N89" s="83" t="s">
        <v>1064</v>
      </c>
      <c r="O89" s="83" t="e">
        <v>#N/A</v>
      </c>
    </row>
    <row r="90" spans="1:15" x14ac:dyDescent="0.3">
      <c r="A90" s="75" t="s">
        <v>1445</v>
      </c>
      <c r="B90" s="9">
        <f t="shared" si="4"/>
        <v>87</v>
      </c>
      <c r="C90" s="9" t="s">
        <v>1463</v>
      </c>
      <c r="D90" s="79" t="s">
        <v>1464</v>
      </c>
      <c r="E90" s="60" t="s">
        <v>166</v>
      </c>
      <c r="F90" s="82">
        <v>1</v>
      </c>
      <c r="G90" s="82">
        <v>999999</v>
      </c>
      <c r="H90" s="80" t="s">
        <v>1410</v>
      </c>
      <c r="I90" s="80" t="s">
        <v>1332</v>
      </c>
      <c r="J90" s="80" t="s">
        <v>1461</v>
      </c>
      <c r="K90" s="80" t="s">
        <v>1465</v>
      </c>
      <c r="L90" s="80" t="str">
        <f t="shared" si="3"/>
        <v>Ability_Damage_Max_P_Boss</v>
      </c>
      <c r="M90" s="81" t="e">
        <v>#N/A</v>
      </c>
      <c r="N90" s="83" t="s">
        <v>1064</v>
      </c>
      <c r="O90" s="83" t="e">
        <v>#N/A</v>
      </c>
    </row>
    <row r="91" spans="1:15" x14ac:dyDescent="0.3">
      <c r="A91" s="75" t="s">
        <v>1445</v>
      </c>
      <c r="B91" s="9">
        <f t="shared" si="4"/>
        <v>88</v>
      </c>
      <c r="C91" s="9" t="s">
        <v>1466</v>
      </c>
      <c r="D91" s="79" t="s">
        <v>1467</v>
      </c>
      <c r="E91" s="60" t="s">
        <v>166</v>
      </c>
      <c r="F91" s="82">
        <v>1</v>
      </c>
      <c r="G91" s="82">
        <v>999999</v>
      </c>
      <c r="H91" s="80" t="s">
        <v>1414</v>
      </c>
      <c r="I91" s="80" t="s">
        <v>1332</v>
      </c>
      <c r="J91" s="80" t="s">
        <v>1461</v>
      </c>
      <c r="K91" s="80" t="s">
        <v>1468</v>
      </c>
      <c r="L91" s="80" t="str">
        <f t="shared" si="3"/>
        <v>Ability_Damage_Min_M_Boss</v>
      </c>
      <c r="M91" s="81" t="e">
        <v>#N/A</v>
      </c>
      <c r="N91" s="83" t="s">
        <v>1064</v>
      </c>
      <c r="O91" s="83" t="e">
        <v>#N/A</v>
      </c>
    </row>
    <row r="92" spans="1:15" x14ac:dyDescent="0.3">
      <c r="A92" s="75" t="s">
        <v>1445</v>
      </c>
      <c r="B92" s="9">
        <f t="shared" si="4"/>
        <v>89</v>
      </c>
      <c r="C92" s="9" t="s">
        <v>1469</v>
      </c>
      <c r="D92" s="79" t="s">
        <v>1470</v>
      </c>
      <c r="E92" s="60" t="s">
        <v>166</v>
      </c>
      <c r="F92" s="82">
        <v>1</v>
      </c>
      <c r="G92" s="82">
        <v>999999</v>
      </c>
      <c r="H92" s="80" t="s">
        <v>1418</v>
      </c>
      <c r="I92" s="80" t="s">
        <v>1332</v>
      </c>
      <c r="J92" s="80" t="s">
        <v>1461</v>
      </c>
      <c r="K92" s="80" t="s">
        <v>1471</v>
      </c>
      <c r="L92" s="80" t="str">
        <f t="shared" si="3"/>
        <v>Ability_Damage_Max_M_Boss</v>
      </c>
      <c r="M92" s="81" t="e">
        <v>#N/A</v>
      </c>
      <c r="N92" s="83" t="s">
        <v>1064</v>
      </c>
      <c r="O92" s="83" t="e">
        <v>#N/A</v>
      </c>
    </row>
    <row r="93" spans="1:15" x14ac:dyDescent="0.3">
      <c r="A93" s="75" t="s">
        <v>1445</v>
      </c>
      <c r="B93" s="9">
        <f t="shared" si="4"/>
        <v>90</v>
      </c>
      <c r="C93" s="9" t="s">
        <v>1472</v>
      </c>
      <c r="D93" s="79" t="s">
        <v>1473</v>
      </c>
      <c r="E93" s="60" t="s">
        <v>165</v>
      </c>
      <c r="F93" s="82">
        <v>1</v>
      </c>
      <c r="G93" s="82">
        <v>999999</v>
      </c>
      <c r="H93" s="80" t="s">
        <v>1334</v>
      </c>
      <c r="I93" s="80" t="s">
        <v>1332</v>
      </c>
      <c r="J93" s="80" t="s">
        <v>1461</v>
      </c>
      <c r="K93" s="80" t="s">
        <v>1474</v>
      </c>
      <c r="L93" s="80" t="str">
        <f t="shared" si="3"/>
        <v>Ability_Damage_Reduce_P_Boss</v>
      </c>
      <c r="M93" s="81" t="e">
        <v>#N/A</v>
      </c>
      <c r="N93" s="83" t="s">
        <v>1064</v>
      </c>
      <c r="O93" s="83" t="e">
        <v>#N/A</v>
      </c>
    </row>
    <row r="94" spans="1:15" x14ac:dyDescent="0.3">
      <c r="A94" s="75" t="s">
        <v>1445</v>
      </c>
      <c r="B94" s="9">
        <f t="shared" si="4"/>
        <v>91</v>
      </c>
      <c r="C94" s="9" t="s">
        <v>1475</v>
      </c>
      <c r="D94" s="79" t="s">
        <v>1476</v>
      </c>
      <c r="E94" s="60" t="s">
        <v>165</v>
      </c>
      <c r="F94" s="82">
        <v>1</v>
      </c>
      <c r="G94" s="82">
        <v>999999</v>
      </c>
      <c r="H94" s="80" t="s">
        <v>1336</v>
      </c>
      <c r="I94" s="80" t="s">
        <v>1332</v>
      </c>
      <c r="J94" s="80" t="s">
        <v>1461</v>
      </c>
      <c r="K94" s="80" t="s">
        <v>1477</v>
      </c>
      <c r="L94" s="80" t="str">
        <f t="shared" si="3"/>
        <v>Ability_Damage_Reduce_M_Boss</v>
      </c>
      <c r="M94" s="81" t="e">
        <v>#N/A</v>
      </c>
      <c r="N94" s="83" t="s">
        <v>1064</v>
      </c>
      <c r="O94" s="83" t="e">
        <v>#N/A</v>
      </c>
    </row>
    <row r="95" spans="1:15" x14ac:dyDescent="0.3">
      <c r="A95" s="75" t="s">
        <v>1445</v>
      </c>
      <c r="B95" s="9">
        <f t="shared" si="4"/>
        <v>92</v>
      </c>
      <c r="C95" s="9" t="s">
        <v>1478</v>
      </c>
      <c r="D95" s="79" t="s">
        <v>1479</v>
      </c>
      <c r="E95" s="60" t="s">
        <v>167</v>
      </c>
      <c r="F95" s="82">
        <v>0</v>
      </c>
      <c r="G95" s="82">
        <v>10000</v>
      </c>
      <c r="H95" s="80" t="s">
        <v>1338</v>
      </c>
      <c r="I95" s="80" t="s">
        <v>1332</v>
      </c>
      <c r="J95" s="80" t="s">
        <v>1461</v>
      </c>
      <c r="K95" s="80" t="s">
        <v>1480</v>
      </c>
      <c r="L95" s="80" t="str">
        <f>SUBSTITUTE(C95, $L$3, $L$2)</f>
        <v>Ability_Accuracy_Boss</v>
      </c>
      <c r="M95" s="81" t="e">
        <v>#N/A</v>
      </c>
      <c r="N95" s="83" t="s">
        <v>1064</v>
      </c>
      <c r="O95" s="83" t="e">
        <v>#N/A</v>
      </c>
    </row>
    <row r="96" spans="1:15" x14ac:dyDescent="0.3">
      <c r="A96" s="75" t="s">
        <v>1445</v>
      </c>
      <c r="B96" s="9">
        <f t="shared" si="4"/>
        <v>93</v>
      </c>
      <c r="C96" s="9" t="s">
        <v>1481</v>
      </c>
      <c r="D96" s="79" t="s">
        <v>1482</v>
      </c>
      <c r="E96" s="60" t="s">
        <v>167</v>
      </c>
      <c r="F96" s="82">
        <v>0</v>
      </c>
      <c r="G96" s="82">
        <v>10000</v>
      </c>
      <c r="H96" s="80" t="s">
        <v>1339</v>
      </c>
      <c r="I96" s="80" t="s">
        <v>1332</v>
      </c>
      <c r="J96" s="80" t="s">
        <v>1461</v>
      </c>
      <c r="K96" s="80" t="s">
        <v>1483</v>
      </c>
      <c r="L96" s="80" t="str">
        <f>SUBSTITUTE(C96, $L$3, $L$2)</f>
        <v>Ability_Evasion_Boss</v>
      </c>
      <c r="M96" s="81" t="e">
        <v>#N/A</v>
      </c>
      <c r="N96" s="83" t="s">
        <v>1064</v>
      </c>
      <c r="O96" s="83" t="e">
        <v>#N/A</v>
      </c>
    </row>
    <row r="97" spans="2:15" x14ac:dyDescent="0.3">
      <c r="B97" s="9">
        <v>1001</v>
      </c>
      <c r="C97" s="9" t="s">
        <v>1357</v>
      </c>
      <c r="D97" s="79" t="s">
        <v>1358</v>
      </c>
      <c r="E97" s="60" t="s">
        <v>166</v>
      </c>
      <c r="F97" s="61">
        <v>1</v>
      </c>
      <c r="G97" s="61">
        <v>1</v>
      </c>
      <c r="H97" s="80" t="s">
        <v>1358</v>
      </c>
      <c r="I97" s="80"/>
      <c r="J97" s="80" t="s">
        <v>1309</v>
      </c>
      <c r="K97" s="80" t="s">
        <v>1359</v>
      </c>
      <c r="L97" s="80" t="str">
        <f t="shared" si="3"/>
        <v>Ability_Summon_Aidia</v>
      </c>
      <c r="M97" s="81">
        <v>1001</v>
      </c>
      <c r="N97" s="83" t="s">
        <v>1360</v>
      </c>
      <c r="O97" s="83" t="s">
        <v>1361</v>
      </c>
    </row>
  </sheetData>
  <autoFilter ref="A3:N3" xr:uid="{00000000-0001-0000-0100-000000000000}"/>
  <phoneticPr fontId="1" type="noConversion"/>
  <conditionalFormatting sqref="A98:G1048576">
    <cfRule type="expression" dxfId="8" priority="11">
      <formula>$A98="#"</formula>
    </cfRule>
  </conditionalFormatting>
  <conditionalFormatting sqref="B1:B97">
    <cfRule type="duplicateValues" dxfId="7" priority="5"/>
  </conditionalFormatting>
  <conditionalFormatting sqref="B98:B1048576">
    <cfRule type="duplicateValues" dxfId="6" priority="12"/>
  </conditionalFormatting>
  <conditionalFormatting sqref="B1:O97">
    <cfRule type="expression" dxfId="5" priority="1">
      <formula>$A1=".."</formula>
    </cfRule>
    <cfRule type="expression" dxfId="4" priority="2">
      <formula>$A1="."</formula>
    </cfRule>
    <cfRule type="expression" dxfId="3" priority="3">
      <formula>$A1="#"</formula>
    </cfRule>
  </conditionalFormatting>
  <conditionalFormatting sqref="C1:C97">
    <cfRule type="duplicateValues" dxfId="2" priority="4"/>
  </conditionalFormatting>
  <conditionalFormatting sqref="K1:K97">
    <cfRule type="duplicateValues" dxfId="1" priority="6"/>
  </conditionalFormatting>
  <conditionalFormatting sqref="L1:L97">
    <cfRule type="duplicateValues" dxfId="0" priority="7"/>
  </conditionalFormatting>
  <pageMargins left="0.25" right="0.25" top="0.75" bottom="0.75" header="0.3" footer="0.3"/>
  <pageSetup paperSize="9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6DE50-33B5-4F49-96CA-6023D4A416DD}">
  <sheetPr codeName="Sheet7">
    <tabColor rgb="FF053343"/>
  </sheetPr>
  <dimension ref="A1:G57"/>
  <sheetViews>
    <sheetView workbookViewId="0"/>
  </sheetViews>
  <sheetFormatPr defaultRowHeight="13.5" x14ac:dyDescent="0.3"/>
  <cols>
    <col min="1" max="3" width="9" style="91"/>
    <col min="4" max="4" width="11.75" style="91" bestFit="1" customWidth="1"/>
    <col min="5" max="6" width="12.75" style="91" bestFit="1" customWidth="1"/>
    <col min="7" max="16384" width="9" style="91"/>
  </cols>
  <sheetData>
    <row r="1" spans="1:7" x14ac:dyDescent="0.3">
      <c r="B1" s="94"/>
      <c r="C1" s="94"/>
      <c r="D1" s="94"/>
      <c r="E1" s="94"/>
      <c r="F1" s="94"/>
    </row>
    <row r="2" spans="1:7" x14ac:dyDescent="0.3">
      <c r="A2" s="92"/>
      <c r="B2" s="96" t="s">
        <v>1837</v>
      </c>
      <c r="C2" s="96" t="s">
        <v>1838</v>
      </c>
      <c r="D2" s="96" t="s">
        <v>1839</v>
      </c>
      <c r="E2" s="97" t="s">
        <v>1840</v>
      </c>
      <c r="F2" s="97" t="s">
        <v>1841</v>
      </c>
      <c r="G2" s="93"/>
    </row>
    <row r="3" spans="1:7" x14ac:dyDescent="0.3">
      <c r="A3" s="92"/>
      <c r="B3" s="96">
        <v>1</v>
      </c>
      <c r="C3" s="97">
        <v>0</v>
      </c>
      <c r="D3" s="97" t="str">
        <f>B3&amp;C3</f>
        <v>10</v>
      </c>
      <c r="E3" s="98">
        <v>5001</v>
      </c>
      <c r="F3" s="97">
        <v>6000</v>
      </c>
      <c r="G3" s="93"/>
    </row>
    <row r="4" spans="1:7" x14ac:dyDescent="0.3">
      <c r="A4" s="92"/>
      <c r="B4" s="96">
        <v>2</v>
      </c>
      <c r="C4" s="97">
        <v>0</v>
      </c>
      <c r="D4" s="97" t="str">
        <f t="shared" ref="D4:D56" si="0">B4&amp;C4</f>
        <v>20</v>
      </c>
      <c r="E4" s="98">
        <v>5000</v>
      </c>
      <c r="F4" s="97">
        <v>6001</v>
      </c>
      <c r="G4" s="93"/>
    </row>
    <row r="5" spans="1:7" x14ac:dyDescent="0.3">
      <c r="A5" s="92"/>
      <c r="B5" s="96">
        <v>3</v>
      </c>
      <c r="C5" s="97">
        <v>0</v>
      </c>
      <c r="D5" s="97" t="str">
        <f t="shared" si="0"/>
        <v>30</v>
      </c>
      <c r="E5" s="98">
        <v>5001</v>
      </c>
      <c r="F5" s="97">
        <v>6000</v>
      </c>
      <c r="G5" s="93"/>
    </row>
    <row r="6" spans="1:7" x14ac:dyDescent="0.3">
      <c r="A6" s="92"/>
      <c r="B6" s="96">
        <v>4</v>
      </c>
      <c r="C6" s="97">
        <v>0</v>
      </c>
      <c r="D6" s="97" t="str">
        <f t="shared" si="0"/>
        <v>40</v>
      </c>
      <c r="E6" s="98">
        <v>5000</v>
      </c>
      <c r="F6" s="97">
        <v>6001</v>
      </c>
      <c r="G6" s="93"/>
    </row>
    <row r="7" spans="1:7" x14ac:dyDescent="0.3">
      <c r="A7" s="92"/>
      <c r="B7" s="96">
        <v>5</v>
      </c>
      <c r="C7" s="97">
        <v>0</v>
      </c>
      <c r="D7" s="97" t="str">
        <f t="shared" si="0"/>
        <v>50</v>
      </c>
      <c r="E7" s="98">
        <v>5001</v>
      </c>
      <c r="F7" s="97">
        <v>6000</v>
      </c>
      <c r="G7" s="93"/>
    </row>
    <row r="8" spans="1:7" x14ac:dyDescent="0.3">
      <c r="A8" s="92"/>
      <c r="B8" s="96">
        <v>6</v>
      </c>
      <c r="C8" s="97">
        <v>0</v>
      </c>
      <c r="D8" s="97" t="str">
        <f t="shared" si="0"/>
        <v>60</v>
      </c>
      <c r="E8" s="98">
        <v>5000</v>
      </c>
      <c r="F8" s="97">
        <v>6001</v>
      </c>
      <c r="G8" s="93"/>
    </row>
    <row r="9" spans="1:7" x14ac:dyDescent="0.3">
      <c r="A9" s="92"/>
      <c r="B9" s="96">
        <v>1</v>
      </c>
      <c r="C9" s="97">
        <v>1</v>
      </c>
      <c r="D9" s="97" t="str">
        <f t="shared" si="0"/>
        <v>11</v>
      </c>
      <c r="E9" s="98">
        <v>5001</v>
      </c>
      <c r="F9" s="97">
        <v>6000</v>
      </c>
      <c r="G9" s="93"/>
    </row>
    <row r="10" spans="1:7" x14ac:dyDescent="0.3">
      <c r="A10" s="92"/>
      <c r="B10" s="96">
        <v>2</v>
      </c>
      <c r="C10" s="97">
        <v>1</v>
      </c>
      <c r="D10" s="97" t="str">
        <f t="shared" si="0"/>
        <v>21</v>
      </c>
      <c r="E10" s="98">
        <v>5000</v>
      </c>
      <c r="F10" s="97">
        <v>6001</v>
      </c>
      <c r="G10" s="93"/>
    </row>
    <row r="11" spans="1:7" x14ac:dyDescent="0.3">
      <c r="A11" s="92"/>
      <c r="B11" s="96">
        <v>3</v>
      </c>
      <c r="C11" s="97">
        <v>1</v>
      </c>
      <c r="D11" s="97" t="str">
        <f t="shared" si="0"/>
        <v>31</v>
      </c>
      <c r="E11" s="98">
        <v>5001</v>
      </c>
      <c r="F11" s="97">
        <v>6000</v>
      </c>
      <c r="G11" s="93"/>
    </row>
    <row r="12" spans="1:7" x14ac:dyDescent="0.3">
      <c r="A12" s="92"/>
      <c r="B12" s="96">
        <v>4</v>
      </c>
      <c r="C12" s="97">
        <v>1</v>
      </c>
      <c r="D12" s="97" t="str">
        <f t="shared" si="0"/>
        <v>41</v>
      </c>
      <c r="E12" s="98">
        <v>5000</v>
      </c>
      <c r="F12" s="97">
        <v>6001</v>
      </c>
      <c r="G12" s="93"/>
    </row>
    <row r="13" spans="1:7" x14ac:dyDescent="0.3">
      <c r="A13" s="92"/>
      <c r="B13" s="96">
        <v>5</v>
      </c>
      <c r="C13" s="97">
        <v>1</v>
      </c>
      <c r="D13" s="97" t="str">
        <f t="shared" si="0"/>
        <v>51</v>
      </c>
      <c r="E13" s="98">
        <v>5001</v>
      </c>
      <c r="F13" s="97">
        <v>6000</v>
      </c>
      <c r="G13" s="93"/>
    </row>
    <row r="14" spans="1:7" x14ac:dyDescent="0.3">
      <c r="A14" s="92"/>
      <c r="B14" s="96">
        <v>6</v>
      </c>
      <c r="C14" s="97">
        <v>1</v>
      </c>
      <c r="D14" s="97" t="str">
        <f t="shared" si="0"/>
        <v>61</v>
      </c>
      <c r="E14" s="98">
        <v>5000</v>
      </c>
      <c r="F14" s="97">
        <v>6001</v>
      </c>
      <c r="G14" s="93"/>
    </row>
    <row r="15" spans="1:7" x14ac:dyDescent="0.3">
      <c r="A15" s="92"/>
      <c r="B15" s="96">
        <v>1</v>
      </c>
      <c r="C15" s="97">
        <v>2</v>
      </c>
      <c r="D15" s="97" t="str">
        <f t="shared" si="0"/>
        <v>12</v>
      </c>
      <c r="E15" s="98">
        <v>5001</v>
      </c>
      <c r="F15" s="97">
        <v>6000</v>
      </c>
      <c r="G15" s="93"/>
    </row>
    <row r="16" spans="1:7" x14ac:dyDescent="0.3">
      <c r="A16" s="92"/>
      <c r="B16" s="96">
        <v>2</v>
      </c>
      <c r="C16" s="97">
        <v>2</v>
      </c>
      <c r="D16" s="97" t="str">
        <f t="shared" si="0"/>
        <v>22</v>
      </c>
      <c r="E16" s="98">
        <v>5000</v>
      </c>
      <c r="F16" s="97">
        <v>6001</v>
      </c>
      <c r="G16" s="93"/>
    </row>
    <row r="17" spans="1:7" x14ac:dyDescent="0.3">
      <c r="A17" s="92"/>
      <c r="B17" s="96">
        <v>3</v>
      </c>
      <c r="C17" s="97">
        <v>2</v>
      </c>
      <c r="D17" s="97" t="str">
        <f t="shared" si="0"/>
        <v>32</v>
      </c>
      <c r="E17" s="98">
        <v>5001</v>
      </c>
      <c r="F17" s="97">
        <v>6000</v>
      </c>
      <c r="G17" s="93"/>
    </row>
    <row r="18" spans="1:7" x14ac:dyDescent="0.3">
      <c r="A18" s="92"/>
      <c r="B18" s="96">
        <v>4</v>
      </c>
      <c r="C18" s="97">
        <v>2</v>
      </c>
      <c r="D18" s="97" t="str">
        <f t="shared" si="0"/>
        <v>42</v>
      </c>
      <c r="E18" s="98">
        <v>5000</v>
      </c>
      <c r="F18" s="97">
        <v>6001</v>
      </c>
      <c r="G18" s="93"/>
    </row>
    <row r="19" spans="1:7" x14ac:dyDescent="0.3">
      <c r="A19" s="92"/>
      <c r="B19" s="96">
        <v>5</v>
      </c>
      <c r="C19" s="97">
        <v>2</v>
      </c>
      <c r="D19" s="97" t="str">
        <f t="shared" si="0"/>
        <v>52</v>
      </c>
      <c r="E19" s="98">
        <v>5001</v>
      </c>
      <c r="F19" s="97">
        <v>6000</v>
      </c>
      <c r="G19" s="93"/>
    </row>
    <row r="20" spans="1:7" x14ac:dyDescent="0.3">
      <c r="A20" s="92"/>
      <c r="B20" s="96">
        <v>6</v>
      </c>
      <c r="C20" s="97">
        <v>2</v>
      </c>
      <c r="D20" s="97" t="str">
        <f t="shared" si="0"/>
        <v>62</v>
      </c>
      <c r="E20" s="98">
        <v>5000</v>
      </c>
      <c r="F20" s="97">
        <v>6001</v>
      </c>
      <c r="G20" s="93"/>
    </row>
    <row r="21" spans="1:7" x14ac:dyDescent="0.3">
      <c r="A21" s="92"/>
      <c r="B21" s="96">
        <v>1</v>
      </c>
      <c r="C21" s="97">
        <v>3</v>
      </c>
      <c r="D21" s="97" t="str">
        <f t="shared" si="0"/>
        <v>13</v>
      </c>
      <c r="E21" s="98">
        <v>5001</v>
      </c>
      <c r="F21" s="97">
        <v>6000</v>
      </c>
      <c r="G21" s="93"/>
    </row>
    <row r="22" spans="1:7" x14ac:dyDescent="0.3">
      <c r="A22" s="92"/>
      <c r="B22" s="96">
        <v>2</v>
      </c>
      <c r="C22" s="97">
        <v>3</v>
      </c>
      <c r="D22" s="97" t="str">
        <f t="shared" si="0"/>
        <v>23</v>
      </c>
      <c r="E22" s="98">
        <v>5000</v>
      </c>
      <c r="F22" s="97">
        <v>6001</v>
      </c>
      <c r="G22" s="93"/>
    </row>
    <row r="23" spans="1:7" x14ac:dyDescent="0.3">
      <c r="A23" s="92"/>
      <c r="B23" s="96">
        <v>3</v>
      </c>
      <c r="C23" s="97">
        <v>3</v>
      </c>
      <c r="D23" s="97" t="str">
        <f t="shared" si="0"/>
        <v>33</v>
      </c>
      <c r="E23" s="98">
        <v>5001</v>
      </c>
      <c r="F23" s="97">
        <v>6000</v>
      </c>
      <c r="G23" s="93"/>
    </row>
    <row r="24" spans="1:7" x14ac:dyDescent="0.3">
      <c r="A24" s="92"/>
      <c r="B24" s="96">
        <v>4</v>
      </c>
      <c r="C24" s="97">
        <v>3</v>
      </c>
      <c r="D24" s="97" t="str">
        <f t="shared" si="0"/>
        <v>43</v>
      </c>
      <c r="E24" s="98">
        <v>5000</v>
      </c>
      <c r="F24" s="97">
        <v>6001</v>
      </c>
      <c r="G24" s="93"/>
    </row>
    <row r="25" spans="1:7" x14ac:dyDescent="0.3">
      <c r="A25" s="92"/>
      <c r="B25" s="96">
        <v>5</v>
      </c>
      <c r="C25" s="97">
        <v>3</v>
      </c>
      <c r="D25" s="97" t="str">
        <f t="shared" si="0"/>
        <v>53</v>
      </c>
      <c r="E25" s="98">
        <v>5001</v>
      </c>
      <c r="F25" s="97">
        <v>6000</v>
      </c>
      <c r="G25" s="93"/>
    </row>
    <row r="26" spans="1:7" x14ac:dyDescent="0.3">
      <c r="A26" s="92"/>
      <c r="B26" s="96">
        <v>6</v>
      </c>
      <c r="C26" s="97">
        <v>3</v>
      </c>
      <c r="D26" s="97" t="str">
        <f t="shared" si="0"/>
        <v>63</v>
      </c>
      <c r="E26" s="98">
        <v>5000</v>
      </c>
      <c r="F26" s="97">
        <v>6001</v>
      </c>
      <c r="G26" s="93"/>
    </row>
    <row r="27" spans="1:7" x14ac:dyDescent="0.3">
      <c r="A27" s="92"/>
      <c r="B27" s="96">
        <v>1</v>
      </c>
      <c r="C27" s="97">
        <v>4</v>
      </c>
      <c r="D27" s="97" t="str">
        <f t="shared" si="0"/>
        <v>14</v>
      </c>
      <c r="E27" s="98">
        <v>5001</v>
      </c>
      <c r="F27" s="97">
        <v>6000</v>
      </c>
      <c r="G27" s="93"/>
    </row>
    <row r="28" spans="1:7" x14ac:dyDescent="0.3">
      <c r="A28" s="92"/>
      <c r="B28" s="96">
        <v>2</v>
      </c>
      <c r="C28" s="97">
        <v>4</v>
      </c>
      <c r="D28" s="97" t="str">
        <f t="shared" si="0"/>
        <v>24</v>
      </c>
      <c r="E28" s="98">
        <v>5000</v>
      </c>
      <c r="F28" s="97">
        <v>6001</v>
      </c>
      <c r="G28" s="93"/>
    </row>
    <row r="29" spans="1:7" x14ac:dyDescent="0.3">
      <c r="A29" s="92"/>
      <c r="B29" s="96">
        <v>3</v>
      </c>
      <c r="C29" s="97">
        <v>4</v>
      </c>
      <c r="D29" s="97" t="str">
        <f t="shared" si="0"/>
        <v>34</v>
      </c>
      <c r="E29" s="98">
        <v>5001</v>
      </c>
      <c r="F29" s="97">
        <v>6000</v>
      </c>
      <c r="G29" s="93"/>
    </row>
    <row r="30" spans="1:7" x14ac:dyDescent="0.3">
      <c r="A30" s="92"/>
      <c r="B30" s="96">
        <v>4</v>
      </c>
      <c r="C30" s="97">
        <v>4</v>
      </c>
      <c r="D30" s="97" t="str">
        <f t="shared" si="0"/>
        <v>44</v>
      </c>
      <c r="E30" s="98">
        <v>5000</v>
      </c>
      <c r="F30" s="97">
        <v>6001</v>
      </c>
      <c r="G30" s="93"/>
    </row>
    <row r="31" spans="1:7" x14ac:dyDescent="0.3">
      <c r="A31" s="92"/>
      <c r="B31" s="96">
        <v>5</v>
      </c>
      <c r="C31" s="97">
        <v>4</v>
      </c>
      <c r="D31" s="97" t="str">
        <f t="shared" si="0"/>
        <v>54</v>
      </c>
      <c r="E31" s="98">
        <v>5001</v>
      </c>
      <c r="F31" s="97">
        <v>6000</v>
      </c>
      <c r="G31" s="93"/>
    </row>
    <row r="32" spans="1:7" x14ac:dyDescent="0.3">
      <c r="A32" s="92"/>
      <c r="B32" s="96">
        <v>6</v>
      </c>
      <c r="C32" s="97">
        <v>4</v>
      </c>
      <c r="D32" s="97" t="str">
        <f t="shared" si="0"/>
        <v>64</v>
      </c>
      <c r="E32" s="98">
        <v>5000</v>
      </c>
      <c r="F32" s="97">
        <v>6001</v>
      </c>
      <c r="G32" s="93"/>
    </row>
    <row r="33" spans="1:7" x14ac:dyDescent="0.3">
      <c r="A33" s="92"/>
      <c r="B33" s="96">
        <v>1</v>
      </c>
      <c r="C33" s="97">
        <v>5</v>
      </c>
      <c r="D33" s="97" t="str">
        <f t="shared" si="0"/>
        <v>15</v>
      </c>
      <c r="E33" s="98">
        <v>5001</v>
      </c>
      <c r="F33" s="97">
        <v>6000</v>
      </c>
      <c r="G33" s="93"/>
    </row>
    <row r="34" spans="1:7" x14ac:dyDescent="0.3">
      <c r="A34" s="92"/>
      <c r="B34" s="96">
        <v>2</v>
      </c>
      <c r="C34" s="97">
        <v>5</v>
      </c>
      <c r="D34" s="97" t="str">
        <f t="shared" si="0"/>
        <v>25</v>
      </c>
      <c r="E34" s="98">
        <v>5000</v>
      </c>
      <c r="F34" s="97">
        <v>6001</v>
      </c>
      <c r="G34" s="93"/>
    </row>
    <row r="35" spans="1:7" x14ac:dyDescent="0.3">
      <c r="A35" s="92"/>
      <c r="B35" s="96">
        <v>3</v>
      </c>
      <c r="C35" s="97">
        <v>5</v>
      </c>
      <c r="D35" s="97" t="str">
        <f t="shared" si="0"/>
        <v>35</v>
      </c>
      <c r="E35" s="98">
        <v>5001</v>
      </c>
      <c r="F35" s="97">
        <v>6000</v>
      </c>
      <c r="G35" s="93"/>
    </row>
    <row r="36" spans="1:7" x14ac:dyDescent="0.3">
      <c r="A36" s="92"/>
      <c r="B36" s="96">
        <v>4</v>
      </c>
      <c r="C36" s="97">
        <v>5</v>
      </c>
      <c r="D36" s="97" t="str">
        <f t="shared" si="0"/>
        <v>45</v>
      </c>
      <c r="E36" s="98">
        <v>5000</v>
      </c>
      <c r="F36" s="97">
        <v>6001</v>
      </c>
      <c r="G36" s="93"/>
    </row>
    <row r="37" spans="1:7" x14ac:dyDescent="0.3">
      <c r="A37" s="92"/>
      <c r="B37" s="96">
        <v>5</v>
      </c>
      <c r="C37" s="97">
        <v>5</v>
      </c>
      <c r="D37" s="97" t="str">
        <f t="shared" si="0"/>
        <v>55</v>
      </c>
      <c r="E37" s="98">
        <v>5001</v>
      </c>
      <c r="F37" s="97">
        <v>6000</v>
      </c>
      <c r="G37" s="93"/>
    </row>
    <row r="38" spans="1:7" x14ac:dyDescent="0.3">
      <c r="A38" s="92"/>
      <c r="B38" s="96">
        <v>6</v>
      </c>
      <c r="C38" s="97">
        <v>5</v>
      </c>
      <c r="D38" s="97" t="str">
        <f t="shared" si="0"/>
        <v>65</v>
      </c>
      <c r="E38" s="98">
        <v>5000</v>
      </c>
      <c r="F38" s="97">
        <v>6001</v>
      </c>
      <c r="G38" s="93"/>
    </row>
    <row r="39" spans="1:7" x14ac:dyDescent="0.3">
      <c r="A39" s="92"/>
      <c r="B39" s="96">
        <v>1</v>
      </c>
      <c r="C39" s="97">
        <v>6</v>
      </c>
      <c r="D39" s="97" t="str">
        <f t="shared" si="0"/>
        <v>16</v>
      </c>
      <c r="E39" s="98">
        <v>5001</v>
      </c>
      <c r="F39" s="97">
        <v>6000</v>
      </c>
      <c r="G39" s="93"/>
    </row>
    <row r="40" spans="1:7" x14ac:dyDescent="0.3">
      <c r="A40" s="92"/>
      <c r="B40" s="96">
        <v>2</v>
      </c>
      <c r="C40" s="97">
        <v>6</v>
      </c>
      <c r="D40" s="97" t="str">
        <f t="shared" si="0"/>
        <v>26</v>
      </c>
      <c r="E40" s="98">
        <v>5000</v>
      </c>
      <c r="F40" s="97">
        <v>6001</v>
      </c>
      <c r="G40" s="93"/>
    </row>
    <row r="41" spans="1:7" x14ac:dyDescent="0.3">
      <c r="A41" s="92"/>
      <c r="B41" s="96">
        <v>3</v>
      </c>
      <c r="C41" s="97">
        <v>6</v>
      </c>
      <c r="D41" s="97" t="str">
        <f t="shared" si="0"/>
        <v>36</v>
      </c>
      <c r="E41" s="98">
        <v>5001</v>
      </c>
      <c r="F41" s="97">
        <v>6000</v>
      </c>
      <c r="G41" s="93"/>
    </row>
    <row r="42" spans="1:7" x14ac:dyDescent="0.3">
      <c r="A42" s="92"/>
      <c r="B42" s="96">
        <v>4</v>
      </c>
      <c r="C42" s="97">
        <v>6</v>
      </c>
      <c r="D42" s="97" t="str">
        <f t="shared" si="0"/>
        <v>46</v>
      </c>
      <c r="E42" s="98">
        <v>5000</v>
      </c>
      <c r="F42" s="97">
        <v>6001</v>
      </c>
      <c r="G42" s="93"/>
    </row>
    <row r="43" spans="1:7" x14ac:dyDescent="0.3">
      <c r="A43" s="92"/>
      <c r="B43" s="96">
        <v>5</v>
      </c>
      <c r="C43" s="97">
        <v>6</v>
      </c>
      <c r="D43" s="97" t="str">
        <f t="shared" si="0"/>
        <v>56</v>
      </c>
      <c r="E43" s="98">
        <v>5001</v>
      </c>
      <c r="F43" s="97">
        <v>6000</v>
      </c>
      <c r="G43" s="93"/>
    </row>
    <row r="44" spans="1:7" x14ac:dyDescent="0.3">
      <c r="A44" s="92"/>
      <c r="B44" s="96">
        <v>6</v>
      </c>
      <c r="C44" s="97">
        <v>6</v>
      </c>
      <c r="D44" s="97" t="str">
        <f t="shared" si="0"/>
        <v>66</v>
      </c>
      <c r="E44" s="98">
        <v>5000</v>
      </c>
      <c r="F44" s="97">
        <v>6001</v>
      </c>
      <c r="G44" s="93"/>
    </row>
    <row r="45" spans="1:7" x14ac:dyDescent="0.3">
      <c r="A45" s="92"/>
      <c r="B45" s="96">
        <v>1</v>
      </c>
      <c r="C45" s="97">
        <v>7</v>
      </c>
      <c r="D45" s="97" t="str">
        <f t="shared" si="0"/>
        <v>17</v>
      </c>
      <c r="E45" s="98">
        <v>5001</v>
      </c>
      <c r="F45" s="97">
        <v>6000</v>
      </c>
      <c r="G45" s="93"/>
    </row>
    <row r="46" spans="1:7" x14ac:dyDescent="0.3">
      <c r="A46" s="92"/>
      <c r="B46" s="96">
        <v>2</v>
      </c>
      <c r="C46" s="97">
        <v>7</v>
      </c>
      <c r="D46" s="97" t="str">
        <f t="shared" si="0"/>
        <v>27</v>
      </c>
      <c r="E46" s="98">
        <v>5000</v>
      </c>
      <c r="F46" s="97">
        <v>6001</v>
      </c>
      <c r="G46" s="93"/>
    </row>
    <row r="47" spans="1:7" x14ac:dyDescent="0.3">
      <c r="A47" s="92"/>
      <c r="B47" s="96">
        <v>3</v>
      </c>
      <c r="C47" s="97">
        <v>7</v>
      </c>
      <c r="D47" s="97" t="str">
        <f t="shared" si="0"/>
        <v>37</v>
      </c>
      <c r="E47" s="98">
        <v>5001</v>
      </c>
      <c r="F47" s="97">
        <v>6000</v>
      </c>
      <c r="G47" s="93"/>
    </row>
    <row r="48" spans="1:7" x14ac:dyDescent="0.3">
      <c r="A48" s="92"/>
      <c r="B48" s="96">
        <v>4</v>
      </c>
      <c r="C48" s="97">
        <v>7</v>
      </c>
      <c r="D48" s="97" t="str">
        <f t="shared" si="0"/>
        <v>47</v>
      </c>
      <c r="E48" s="98">
        <v>5000</v>
      </c>
      <c r="F48" s="97">
        <v>6001</v>
      </c>
      <c r="G48" s="93"/>
    </row>
    <row r="49" spans="1:7" x14ac:dyDescent="0.3">
      <c r="A49" s="92"/>
      <c r="B49" s="96">
        <v>5</v>
      </c>
      <c r="C49" s="97">
        <v>7</v>
      </c>
      <c r="D49" s="97" t="str">
        <f t="shared" si="0"/>
        <v>57</v>
      </c>
      <c r="E49" s="98">
        <v>5001</v>
      </c>
      <c r="F49" s="97">
        <v>6000</v>
      </c>
      <c r="G49" s="93"/>
    </row>
    <row r="50" spans="1:7" x14ac:dyDescent="0.3">
      <c r="A50" s="92"/>
      <c r="B50" s="96">
        <v>6</v>
      </c>
      <c r="C50" s="97">
        <v>7</v>
      </c>
      <c r="D50" s="97" t="str">
        <f t="shared" si="0"/>
        <v>67</v>
      </c>
      <c r="E50" s="98">
        <v>5000</v>
      </c>
      <c r="F50" s="97">
        <v>6001</v>
      </c>
      <c r="G50" s="93"/>
    </row>
    <row r="51" spans="1:7" x14ac:dyDescent="0.3">
      <c r="A51" s="92"/>
      <c r="B51" s="96">
        <v>1</v>
      </c>
      <c r="C51" s="97">
        <v>8</v>
      </c>
      <c r="D51" s="97" t="str">
        <f t="shared" si="0"/>
        <v>18</v>
      </c>
      <c r="E51" s="98">
        <v>5001</v>
      </c>
      <c r="F51" s="97">
        <v>6000</v>
      </c>
      <c r="G51" s="93"/>
    </row>
    <row r="52" spans="1:7" x14ac:dyDescent="0.3">
      <c r="A52" s="92"/>
      <c r="B52" s="96">
        <v>2</v>
      </c>
      <c r="C52" s="97">
        <v>8</v>
      </c>
      <c r="D52" s="97" t="str">
        <f t="shared" si="0"/>
        <v>28</v>
      </c>
      <c r="E52" s="98">
        <v>5000</v>
      </c>
      <c r="F52" s="97">
        <v>6001</v>
      </c>
      <c r="G52" s="93"/>
    </row>
    <row r="53" spans="1:7" x14ac:dyDescent="0.3">
      <c r="A53" s="92"/>
      <c r="B53" s="96">
        <v>3</v>
      </c>
      <c r="C53" s="97">
        <v>8</v>
      </c>
      <c r="D53" s="97" t="str">
        <f t="shared" si="0"/>
        <v>38</v>
      </c>
      <c r="E53" s="98">
        <v>5001</v>
      </c>
      <c r="F53" s="97">
        <v>6000</v>
      </c>
      <c r="G53" s="93"/>
    </row>
    <row r="54" spans="1:7" x14ac:dyDescent="0.3">
      <c r="A54" s="92"/>
      <c r="B54" s="96">
        <v>4</v>
      </c>
      <c r="C54" s="97">
        <v>8</v>
      </c>
      <c r="D54" s="97" t="str">
        <f t="shared" si="0"/>
        <v>48</v>
      </c>
      <c r="E54" s="98">
        <v>5000</v>
      </c>
      <c r="F54" s="97">
        <v>6001</v>
      </c>
      <c r="G54" s="93"/>
    </row>
    <row r="55" spans="1:7" x14ac:dyDescent="0.3">
      <c r="A55" s="92"/>
      <c r="B55" s="96">
        <v>5</v>
      </c>
      <c r="C55" s="97">
        <v>8</v>
      </c>
      <c r="D55" s="97" t="str">
        <f t="shared" si="0"/>
        <v>58</v>
      </c>
      <c r="E55" s="98">
        <v>5001</v>
      </c>
      <c r="F55" s="97">
        <v>6000</v>
      </c>
      <c r="G55" s="93"/>
    </row>
    <row r="56" spans="1:7" x14ac:dyDescent="0.3">
      <c r="A56" s="92"/>
      <c r="B56" s="96">
        <v>6</v>
      </c>
      <c r="C56" s="97">
        <v>8</v>
      </c>
      <c r="D56" s="97" t="str">
        <f t="shared" si="0"/>
        <v>68</v>
      </c>
      <c r="E56" s="98">
        <v>5000</v>
      </c>
      <c r="F56" s="97">
        <v>6001</v>
      </c>
      <c r="G56" s="93"/>
    </row>
    <row r="57" spans="1:7" x14ac:dyDescent="0.3">
      <c r="B57" s="95"/>
      <c r="C57" s="95"/>
      <c r="D57" s="95"/>
      <c r="E57" s="95"/>
      <c r="F57" s="95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1</vt:i4>
      </vt:variant>
    </vt:vector>
  </HeadingPairs>
  <TitlesOfParts>
    <vt:vector size="8" baseType="lpstr">
      <vt:lpstr>#칼럼명세</vt:lpstr>
      <vt:lpstr>#각종 참고</vt:lpstr>
      <vt:lpstr>item_equip_base</vt:lpstr>
      <vt:lpstr>#item_equip_base_원본</vt:lpstr>
      <vt:lpstr>#무게관련</vt:lpstr>
      <vt:lpstr>#status</vt:lpstr>
      <vt:lpstr>#enum</vt:lpstr>
      <vt:lpstr>감정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Kang Hyunuk</dc:creator>
  <cp:lastModifiedBy>Yim Un-Yong</cp:lastModifiedBy>
  <cp:lastPrinted>2024-08-20T04:56:28Z</cp:lastPrinted>
  <dcterms:created xsi:type="dcterms:W3CDTF">2023-06-07T09:22:31Z</dcterms:created>
  <dcterms:modified xsi:type="dcterms:W3CDTF">2025-06-26T08:34:52Z</dcterms:modified>
</cp:coreProperties>
</file>